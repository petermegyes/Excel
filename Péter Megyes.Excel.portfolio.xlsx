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Péter\Desktop\gyakorlás\"/>
    </mc:Choice>
  </mc:AlternateContent>
  <xr:revisionPtr revIDLastSave="0" documentId="13_ncr:1_{8E1C5E2F-A3C4-4925-921C-EEE8BD1D823F}" xr6:coauthVersionLast="47" xr6:coauthVersionMax="47" xr10:uidLastSave="{00000000-0000-0000-0000-000000000000}"/>
  <bookViews>
    <workbookView xWindow="-120" yWindow="-120" windowWidth="29040" windowHeight="15720" activeTab="4" xr2:uid="{00000000-000D-0000-FFFF-FFFF00000000}"/>
  </bookViews>
  <sheets>
    <sheet name="1.1 Dashboard" sheetId="2" r:id="rId1"/>
    <sheet name="1.2 Working Sheet" sheetId="3" r:id="rId2"/>
    <sheet name="1.3 Pivot Table" sheetId="4" state="hidden" r:id="rId3"/>
    <sheet name="1.4 Data" sheetId="1" state="hidden" r:id="rId4"/>
    <sheet name="2.1 Chart" sheetId="8" r:id="rId5"/>
    <sheet name="2.2 Working Sheet" sheetId="9" r:id="rId6"/>
    <sheet name="2.3 Data" sheetId="6" r:id="rId7"/>
    <sheet name="2.4 Data" sheetId="5" r:id="rId8"/>
  </sheets>
  <definedNames>
    <definedName name="_xlnm._FilterDatabase" localSheetId="1" hidden="1">'1.2 Working Sheet'!$A$1:$N$1</definedName>
    <definedName name="_xlnm._FilterDatabase" localSheetId="3" hidden="1">'1.4 Data'!$A$1:$M$1001</definedName>
    <definedName name="_xlnm._FilterDatabase" localSheetId="5" hidden="1">'2.2 Working Sheet'!$A$1:$J$2</definedName>
    <definedName name="Slicer_Education">#N/A</definedName>
    <definedName name="Slicer_Maritial_Status">#N/A</definedName>
    <definedName name="Slicer_Region">#N/A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9" l="1"/>
  <c r="D19" i="9"/>
  <c r="C20" i="9"/>
  <c r="D20" i="9"/>
  <c r="C21" i="9"/>
  <c r="D21" i="9"/>
  <c r="C22" i="9"/>
  <c r="D22" i="9"/>
  <c r="C23" i="9"/>
  <c r="D23" i="9"/>
  <c r="C24" i="9"/>
  <c r="D24" i="9"/>
  <c r="C25" i="9"/>
  <c r="D25" i="9"/>
  <c r="C26" i="9"/>
  <c r="D26" i="9"/>
  <c r="C27" i="9"/>
  <c r="D27" i="9"/>
  <c r="C28" i="9"/>
  <c r="D28" i="9"/>
  <c r="C29" i="9"/>
  <c r="D29" i="9"/>
  <c r="C30" i="9"/>
  <c r="D30" i="9"/>
  <c r="C31" i="9"/>
  <c r="D31" i="9"/>
  <c r="C32" i="9"/>
  <c r="D32" i="9"/>
  <c r="C33" i="9"/>
  <c r="D33" i="9"/>
  <c r="C34" i="9"/>
  <c r="D34" i="9"/>
  <c r="C35" i="9"/>
  <c r="D35" i="9"/>
  <c r="C36" i="9"/>
  <c r="D36" i="9"/>
  <c r="C37" i="9"/>
  <c r="D37" i="9"/>
  <c r="C38" i="9"/>
  <c r="D38" i="9"/>
  <c r="C39" i="9"/>
  <c r="D39" i="9"/>
  <c r="C40" i="9"/>
  <c r="D40" i="9"/>
  <c r="C41" i="9"/>
  <c r="D41" i="9"/>
  <c r="C42" i="9"/>
  <c r="D42" i="9"/>
  <c r="C43" i="9"/>
  <c r="D43" i="9"/>
  <c r="C44" i="9"/>
  <c r="D44" i="9"/>
  <c r="C45" i="9"/>
  <c r="D45" i="9"/>
  <c r="C46" i="9"/>
  <c r="D46" i="9"/>
  <c r="C47" i="9"/>
  <c r="D47" i="9"/>
  <c r="C48" i="9"/>
  <c r="D48" i="9"/>
  <c r="C49" i="9"/>
  <c r="D49" i="9"/>
  <c r="C50" i="9"/>
  <c r="D50" i="9"/>
  <c r="C51" i="9"/>
  <c r="D51" i="9"/>
  <c r="C52" i="9"/>
  <c r="D52" i="9"/>
  <c r="C53" i="9"/>
  <c r="D53" i="9"/>
  <c r="C54" i="9"/>
  <c r="D54" i="9"/>
  <c r="C55" i="9"/>
  <c r="D55" i="9"/>
  <c r="C56" i="9"/>
  <c r="D56" i="9"/>
  <c r="C57" i="9"/>
  <c r="D57" i="9"/>
  <c r="C58" i="9"/>
  <c r="D58" i="9"/>
  <c r="C59" i="9"/>
  <c r="D59" i="9"/>
  <c r="C60" i="9"/>
  <c r="D60" i="9"/>
  <c r="C61" i="9"/>
  <c r="D61" i="9"/>
  <c r="C62" i="9"/>
  <c r="D62" i="9"/>
  <c r="C63" i="9"/>
  <c r="D63" i="9"/>
  <c r="C64" i="9"/>
  <c r="D64" i="9"/>
  <c r="C65" i="9"/>
  <c r="D65" i="9"/>
  <c r="C66" i="9"/>
  <c r="D66" i="9"/>
  <c r="C67" i="9"/>
  <c r="D67" i="9"/>
  <c r="C68" i="9"/>
  <c r="D68" i="9"/>
  <c r="C69" i="9"/>
  <c r="D69" i="9"/>
  <c r="C70" i="9"/>
  <c r="D70" i="9"/>
  <c r="C71" i="9"/>
  <c r="D71" i="9"/>
  <c r="C72" i="9"/>
  <c r="D72" i="9"/>
  <c r="C73" i="9"/>
  <c r="D73" i="9"/>
  <c r="C74" i="9"/>
  <c r="D74" i="9"/>
  <c r="C75" i="9"/>
  <c r="D75" i="9"/>
  <c r="C76" i="9"/>
  <c r="D76" i="9"/>
  <c r="C77" i="9"/>
  <c r="D77" i="9"/>
  <c r="C78" i="9"/>
  <c r="D78" i="9"/>
  <c r="C79" i="9"/>
  <c r="D79" i="9"/>
  <c r="C80" i="9"/>
  <c r="D80" i="9"/>
  <c r="C81" i="9"/>
  <c r="D81" i="9"/>
  <c r="C82" i="9"/>
  <c r="D82" i="9"/>
  <c r="C83" i="9"/>
  <c r="D83" i="9"/>
  <c r="C84" i="9"/>
  <c r="D84" i="9"/>
  <c r="C85" i="9"/>
  <c r="D85" i="9"/>
  <c r="C86" i="9"/>
  <c r="D86" i="9"/>
  <c r="C87" i="9"/>
  <c r="D87" i="9"/>
  <c r="C88" i="9"/>
  <c r="D88" i="9"/>
  <c r="C89" i="9"/>
  <c r="D89" i="9"/>
  <c r="C90" i="9"/>
  <c r="D90" i="9"/>
  <c r="C91" i="9"/>
  <c r="D91" i="9"/>
  <c r="C92" i="9"/>
  <c r="D92" i="9"/>
  <c r="C93" i="9"/>
  <c r="D93" i="9"/>
  <c r="C94" i="9"/>
  <c r="D94" i="9"/>
  <c r="C95" i="9"/>
  <c r="D95" i="9"/>
  <c r="C96" i="9"/>
  <c r="D96" i="9"/>
  <c r="C97" i="9"/>
  <c r="D97" i="9"/>
  <c r="C98" i="9"/>
  <c r="D98" i="9"/>
  <c r="C99" i="9"/>
  <c r="D99" i="9"/>
  <c r="C100" i="9"/>
  <c r="D100" i="9"/>
  <c r="C101" i="9"/>
  <c r="D101" i="9"/>
  <c r="C102" i="9"/>
  <c r="D102" i="9"/>
  <c r="C103" i="9"/>
  <c r="D103" i="9"/>
  <c r="C104" i="9"/>
  <c r="D104" i="9"/>
  <c r="C105" i="9"/>
  <c r="D105" i="9"/>
  <c r="C106" i="9"/>
  <c r="D106" i="9"/>
  <c r="C107" i="9"/>
  <c r="D107" i="9"/>
  <c r="C108" i="9"/>
  <c r="D108" i="9"/>
  <c r="C109" i="9"/>
  <c r="D109" i="9"/>
  <c r="C110" i="9"/>
  <c r="D110" i="9"/>
  <c r="C111" i="9"/>
  <c r="D111" i="9"/>
  <c r="C112" i="9"/>
  <c r="D112" i="9"/>
  <c r="C113" i="9"/>
  <c r="D113" i="9"/>
  <c r="C114" i="9"/>
  <c r="D114" i="9"/>
  <c r="C115" i="9"/>
  <c r="D115" i="9"/>
  <c r="C116" i="9"/>
  <c r="D116" i="9"/>
  <c r="C117" i="9"/>
  <c r="D117" i="9"/>
  <c r="C118" i="9"/>
  <c r="D118" i="9"/>
  <c r="C119" i="9"/>
  <c r="D119" i="9"/>
  <c r="C120" i="9"/>
  <c r="D120" i="9"/>
  <c r="C121" i="9"/>
  <c r="D121" i="9"/>
  <c r="C122" i="9"/>
  <c r="D122" i="9"/>
  <c r="C123" i="9"/>
  <c r="D123" i="9"/>
  <c r="C124" i="9"/>
  <c r="D124" i="9"/>
  <c r="C125" i="9"/>
  <c r="D125" i="9"/>
  <c r="C126" i="9"/>
  <c r="D126" i="9"/>
  <c r="C127" i="9"/>
  <c r="D127" i="9"/>
  <c r="C128" i="9"/>
  <c r="D128" i="9"/>
  <c r="C129" i="9"/>
  <c r="D129" i="9"/>
  <c r="C130" i="9"/>
  <c r="D130" i="9"/>
  <c r="C131" i="9"/>
  <c r="D131" i="9"/>
  <c r="C132" i="9"/>
  <c r="D132" i="9"/>
  <c r="C133" i="9"/>
  <c r="D133" i="9"/>
  <c r="C134" i="9"/>
  <c r="D134" i="9"/>
  <c r="C135" i="9"/>
  <c r="D135" i="9"/>
  <c r="C136" i="9"/>
  <c r="D136" i="9"/>
  <c r="C137" i="9"/>
  <c r="D137" i="9"/>
  <c r="C138" i="9"/>
  <c r="D138" i="9"/>
  <c r="C139" i="9"/>
  <c r="D139" i="9"/>
  <c r="C140" i="9"/>
  <c r="D140" i="9"/>
  <c r="C141" i="9"/>
  <c r="D141" i="9"/>
  <c r="C142" i="9"/>
  <c r="D142" i="9"/>
  <c r="C143" i="9"/>
  <c r="D143" i="9"/>
  <c r="C144" i="9"/>
  <c r="D144" i="9"/>
  <c r="C145" i="9"/>
  <c r="D145" i="9"/>
  <c r="C146" i="9"/>
  <c r="D146" i="9"/>
  <c r="C147" i="9"/>
  <c r="D147" i="9"/>
  <c r="C148" i="9"/>
  <c r="D148" i="9"/>
  <c r="C149" i="9"/>
  <c r="D149" i="9"/>
  <c r="C150" i="9"/>
  <c r="D150" i="9"/>
  <c r="C151" i="9"/>
  <c r="D151" i="9"/>
  <c r="C152" i="9"/>
  <c r="D152" i="9"/>
  <c r="C153" i="9"/>
  <c r="D153" i="9"/>
  <c r="C154" i="9"/>
  <c r="D154" i="9"/>
  <c r="C155" i="9"/>
  <c r="D155" i="9"/>
  <c r="C156" i="9"/>
  <c r="D156" i="9"/>
  <c r="C157" i="9"/>
  <c r="D157" i="9"/>
  <c r="C158" i="9"/>
  <c r="D158" i="9"/>
  <c r="C159" i="9"/>
  <c r="D159" i="9"/>
  <c r="C160" i="9"/>
  <c r="D160" i="9"/>
  <c r="C161" i="9"/>
  <c r="D161" i="9"/>
  <c r="C162" i="9"/>
  <c r="D162" i="9"/>
  <c r="C163" i="9"/>
  <c r="D163" i="9"/>
  <c r="C164" i="9"/>
  <c r="D164" i="9"/>
  <c r="C165" i="9"/>
  <c r="D165" i="9"/>
  <c r="C166" i="9"/>
  <c r="D166" i="9"/>
  <c r="C167" i="9"/>
  <c r="D167" i="9"/>
  <c r="C168" i="9"/>
  <c r="D168" i="9"/>
  <c r="C169" i="9"/>
  <c r="D169" i="9"/>
  <c r="C170" i="9"/>
  <c r="D170" i="9"/>
  <c r="C171" i="9"/>
  <c r="D171" i="9"/>
  <c r="C172" i="9"/>
  <c r="D172" i="9"/>
  <c r="C173" i="9"/>
  <c r="D173" i="9"/>
  <c r="C174" i="9"/>
  <c r="D174" i="9"/>
  <c r="C175" i="9"/>
  <c r="D175" i="9"/>
  <c r="C176" i="9"/>
  <c r="D176" i="9"/>
  <c r="C177" i="9"/>
  <c r="D177" i="9"/>
  <c r="C178" i="9"/>
  <c r="D178" i="9"/>
  <c r="C179" i="9"/>
  <c r="D179" i="9"/>
  <c r="C180" i="9"/>
  <c r="D180" i="9"/>
  <c r="C181" i="9"/>
  <c r="D181" i="9"/>
  <c r="C182" i="9"/>
  <c r="D182" i="9"/>
  <c r="C183" i="9"/>
  <c r="D183" i="9"/>
  <c r="C184" i="9"/>
  <c r="D184" i="9"/>
  <c r="C185" i="9"/>
  <c r="D185" i="9"/>
  <c r="C186" i="9"/>
  <c r="D186" i="9"/>
  <c r="C187" i="9"/>
  <c r="D187" i="9"/>
  <c r="C188" i="9"/>
  <c r="D188" i="9"/>
  <c r="C189" i="9"/>
  <c r="D189" i="9"/>
  <c r="C190" i="9"/>
  <c r="D190" i="9"/>
  <c r="C191" i="9"/>
  <c r="D191" i="9"/>
  <c r="C192" i="9"/>
  <c r="D192" i="9"/>
  <c r="C193" i="9"/>
  <c r="D193" i="9"/>
  <c r="C194" i="9"/>
  <c r="D194" i="9"/>
  <c r="C195" i="9"/>
  <c r="D195" i="9"/>
  <c r="C196" i="9"/>
  <c r="D196" i="9"/>
  <c r="C197" i="9"/>
  <c r="D197" i="9"/>
  <c r="C198" i="9"/>
  <c r="D198" i="9"/>
  <c r="C199" i="9"/>
  <c r="D199" i="9"/>
  <c r="C200" i="9"/>
  <c r="D200" i="9"/>
  <c r="C201" i="9"/>
  <c r="D201" i="9"/>
  <c r="C202" i="9"/>
  <c r="D202" i="9"/>
  <c r="C203" i="9"/>
  <c r="D203" i="9"/>
  <c r="C204" i="9"/>
  <c r="D204" i="9"/>
  <c r="C205" i="9"/>
  <c r="D205" i="9"/>
  <c r="C206" i="9"/>
  <c r="D206" i="9"/>
  <c r="C207" i="9"/>
  <c r="D207" i="9"/>
  <c r="C208" i="9"/>
  <c r="D208" i="9"/>
  <c r="C209" i="9"/>
  <c r="D209" i="9"/>
  <c r="C210" i="9"/>
  <c r="D210" i="9"/>
  <c r="C211" i="9"/>
  <c r="D211" i="9"/>
  <c r="C212" i="9"/>
  <c r="D212" i="9"/>
  <c r="C213" i="9"/>
  <c r="D213" i="9"/>
  <c r="C214" i="9"/>
  <c r="D214" i="9"/>
  <c r="C215" i="9"/>
  <c r="D215" i="9"/>
  <c r="C216" i="9"/>
  <c r="D216" i="9"/>
  <c r="C217" i="9"/>
  <c r="D217" i="9"/>
  <c r="C218" i="9"/>
  <c r="D218" i="9"/>
  <c r="C219" i="9"/>
  <c r="D219" i="9"/>
  <c r="C220" i="9"/>
  <c r="D220" i="9"/>
  <c r="C221" i="9"/>
  <c r="D221" i="9"/>
  <c r="C222" i="9"/>
  <c r="D222" i="9"/>
  <c r="C223" i="9"/>
  <c r="D223" i="9"/>
  <c r="C224" i="9"/>
  <c r="D224" i="9"/>
  <c r="C225" i="9"/>
  <c r="D225" i="9"/>
  <c r="C226" i="9"/>
  <c r="D226" i="9"/>
  <c r="C227" i="9"/>
  <c r="D227" i="9"/>
  <c r="C228" i="9"/>
  <c r="D228" i="9"/>
  <c r="C229" i="9"/>
  <c r="D229" i="9"/>
  <c r="C230" i="9"/>
  <c r="D230" i="9"/>
  <c r="C231" i="9"/>
  <c r="D231" i="9"/>
  <c r="C232" i="9"/>
  <c r="D232" i="9"/>
  <c r="C233" i="9"/>
  <c r="D233" i="9"/>
  <c r="C234" i="9"/>
  <c r="D234" i="9"/>
  <c r="C235" i="9"/>
  <c r="D235" i="9"/>
  <c r="C236" i="9"/>
  <c r="D236" i="9"/>
  <c r="C237" i="9"/>
  <c r="D237" i="9"/>
  <c r="C238" i="9"/>
  <c r="D238" i="9"/>
  <c r="C239" i="9"/>
  <c r="D239" i="9"/>
  <c r="C240" i="9"/>
  <c r="D240" i="9"/>
  <c r="C241" i="9"/>
  <c r="D241" i="9"/>
  <c r="C242" i="9"/>
  <c r="D242" i="9"/>
  <c r="C243" i="9"/>
  <c r="D243" i="9"/>
  <c r="C244" i="9"/>
  <c r="D244" i="9"/>
  <c r="C245" i="9"/>
  <c r="D245" i="9"/>
  <c r="C246" i="9"/>
  <c r="D246" i="9"/>
  <c r="C247" i="9"/>
  <c r="D247" i="9"/>
  <c r="C248" i="9"/>
  <c r="D248" i="9"/>
  <c r="C249" i="9"/>
  <c r="D249" i="9"/>
  <c r="C250" i="9"/>
  <c r="D250" i="9"/>
  <c r="C251" i="9"/>
  <c r="D251" i="9"/>
  <c r="C252" i="9"/>
  <c r="D252" i="9"/>
  <c r="C253" i="9"/>
  <c r="D253" i="9"/>
  <c r="C254" i="9"/>
  <c r="D254" i="9"/>
  <c r="C255" i="9"/>
  <c r="D255" i="9"/>
  <c r="C256" i="9"/>
  <c r="D256" i="9"/>
  <c r="C257" i="9"/>
  <c r="D257" i="9"/>
  <c r="C258" i="9"/>
  <c r="D258" i="9"/>
  <c r="C259" i="9"/>
  <c r="D259" i="9"/>
  <c r="C260" i="9"/>
  <c r="D260" i="9"/>
  <c r="C261" i="9"/>
  <c r="D261" i="9"/>
  <c r="C262" i="9"/>
  <c r="D262" i="9"/>
  <c r="C263" i="9"/>
  <c r="D263" i="9"/>
  <c r="C264" i="9"/>
  <c r="D264" i="9"/>
  <c r="C265" i="9"/>
  <c r="D265" i="9"/>
  <c r="C266" i="9"/>
  <c r="D266" i="9"/>
  <c r="C267" i="9"/>
  <c r="D267" i="9"/>
  <c r="C268" i="9"/>
  <c r="D268" i="9"/>
  <c r="C269" i="9"/>
  <c r="D269" i="9"/>
  <c r="C270" i="9"/>
  <c r="D270" i="9"/>
  <c r="C271" i="9"/>
  <c r="D271" i="9"/>
  <c r="C272" i="9"/>
  <c r="D272" i="9"/>
  <c r="C273" i="9"/>
  <c r="D273" i="9"/>
  <c r="C274" i="9"/>
  <c r="D274" i="9"/>
  <c r="C275" i="9"/>
  <c r="D275" i="9"/>
  <c r="C276" i="9"/>
  <c r="D276" i="9"/>
  <c r="C277" i="9"/>
  <c r="D277" i="9"/>
  <c r="C278" i="9"/>
  <c r="D278" i="9"/>
  <c r="C279" i="9"/>
  <c r="D279" i="9"/>
  <c r="C280" i="9"/>
  <c r="D280" i="9"/>
  <c r="C281" i="9"/>
  <c r="D281" i="9"/>
  <c r="C282" i="9"/>
  <c r="D282" i="9"/>
  <c r="C283" i="9"/>
  <c r="D283" i="9"/>
  <c r="C284" i="9"/>
  <c r="D284" i="9"/>
  <c r="C285" i="9"/>
  <c r="D285" i="9"/>
  <c r="C286" i="9"/>
  <c r="D286" i="9"/>
  <c r="C287" i="9"/>
  <c r="D287" i="9"/>
  <c r="C288" i="9"/>
  <c r="D288" i="9"/>
  <c r="C289" i="9"/>
  <c r="D289" i="9"/>
  <c r="C290" i="9"/>
  <c r="D290" i="9"/>
  <c r="C291" i="9"/>
  <c r="D291" i="9"/>
  <c r="C292" i="9"/>
  <c r="D292" i="9"/>
  <c r="C293" i="9"/>
  <c r="D293" i="9"/>
  <c r="C294" i="9"/>
  <c r="D294" i="9"/>
  <c r="C295" i="9"/>
  <c r="D295" i="9"/>
  <c r="C296" i="9"/>
  <c r="D296" i="9"/>
  <c r="C297" i="9"/>
  <c r="D297" i="9"/>
  <c r="C298" i="9"/>
  <c r="D298" i="9"/>
  <c r="C299" i="9"/>
  <c r="D299" i="9"/>
  <c r="C300" i="9"/>
  <c r="D300" i="9"/>
  <c r="C301" i="9"/>
  <c r="D301" i="9"/>
  <c r="C302" i="9"/>
  <c r="D302" i="9"/>
  <c r="C303" i="9"/>
  <c r="D303" i="9"/>
  <c r="C304" i="9"/>
  <c r="D304" i="9"/>
  <c r="C305" i="9"/>
  <c r="D305" i="9"/>
  <c r="C306" i="9"/>
  <c r="D306" i="9"/>
  <c r="C307" i="9"/>
  <c r="D307" i="9"/>
  <c r="C308" i="9"/>
  <c r="D308" i="9"/>
  <c r="C309" i="9"/>
  <c r="D309" i="9"/>
  <c r="C310" i="9"/>
  <c r="D310" i="9"/>
  <c r="C311" i="9"/>
  <c r="D311" i="9"/>
  <c r="C312" i="9"/>
  <c r="D312" i="9"/>
  <c r="C313" i="9"/>
  <c r="D313" i="9"/>
  <c r="C314" i="9"/>
  <c r="D314" i="9"/>
  <c r="C315" i="9"/>
  <c r="D315" i="9"/>
  <c r="C316" i="9"/>
  <c r="D316" i="9"/>
  <c r="C317" i="9"/>
  <c r="D317" i="9"/>
  <c r="C318" i="9"/>
  <c r="D318" i="9"/>
  <c r="C319" i="9"/>
  <c r="D319" i="9"/>
  <c r="C320" i="9"/>
  <c r="D320" i="9"/>
  <c r="C321" i="9"/>
  <c r="D321" i="9"/>
  <c r="C322" i="9"/>
  <c r="D322" i="9"/>
  <c r="C323" i="9"/>
  <c r="D323" i="9"/>
  <c r="C324" i="9"/>
  <c r="D324" i="9"/>
  <c r="C325" i="9"/>
  <c r="D325" i="9"/>
  <c r="C326" i="9"/>
  <c r="D326" i="9"/>
  <c r="C327" i="9"/>
  <c r="D327" i="9"/>
  <c r="C328" i="9"/>
  <c r="D328" i="9"/>
  <c r="C329" i="9"/>
  <c r="D329" i="9"/>
  <c r="C330" i="9"/>
  <c r="D330" i="9"/>
  <c r="C331" i="9"/>
  <c r="D331" i="9"/>
  <c r="C332" i="9"/>
  <c r="D332" i="9"/>
  <c r="C333" i="9"/>
  <c r="D333" i="9"/>
  <c r="C334" i="9"/>
  <c r="D334" i="9"/>
  <c r="C335" i="9"/>
  <c r="D335" i="9"/>
  <c r="C336" i="9"/>
  <c r="D336" i="9"/>
  <c r="C337" i="9"/>
  <c r="D337" i="9"/>
  <c r="C338" i="9"/>
  <c r="D338" i="9"/>
  <c r="C339" i="9"/>
  <c r="D339" i="9"/>
  <c r="C340" i="9"/>
  <c r="D340" i="9"/>
  <c r="C341" i="9"/>
  <c r="D341" i="9"/>
  <c r="C342" i="9"/>
  <c r="D342" i="9"/>
  <c r="C343" i="9"/>
  <c r="D343" i="9"/>
  <c r="C344" i="9"/>
  <c r="D344" i="9"/>
  <c r="C345" i="9"/>
  <c r="D345" i="9"/>
  <c r="C346" i="9"/>
  <c r="D346" i="9"/>
  <c r="C347" i="9"/>
  <c r="D347" i="9"/>
  <c r="C348" i="9"/>
  <c r="D348" i="9"/>
  <c r="C349" i="9"/>
  <c r="D349" i="9"/>
  <c r="C350" i="9"/>
  <c r="D350" i="9"/>
  <c r="C351" i="9"/>
  <c r="D351" i="9"/>
  <c r="C352" i="9"/>
  <c r="D352" i="9"/>
  <c r="C353" i="9"/>
  <c r="D353" i="9"/>
  <c r="C354" i="9"/>
  <c r="D354" i="9"/>
  <c r="C355" i="9"/>
  <c r="D355" i="9"/>
  <c r="C356" i="9"/>
  <c r="D356" i="9"/>
  <c r="C357" i="9"/>
  <c r="D357" i="9"/>
  <c r="C358" i="9"/>
  <c r="D358" i="9"/>
  <c r="C359" i="9"/>
  <c r="D359" i="9"/>
  <c r="C360" i="9"/>
  <c r="D360" i="9"/>
  <c r="C361" i="9"/>
  <c r="D361" i="9"/>
  <c r="C362" i="9"/>
  <c r="D362" i="9"/>
  <c r="C363" i="9"/>
  <c r="D363" i="9"/>
  <c r="C364" i="9"/>
  <c r="D364" i="9"/>
  <c r="C365" i="9"/>
  <c r="D365" i="9"/>
  <c r="C366" i="9"/>
  <c r="D366" i="9"/>
  <c r="C367" i="9"/>
  <c r="D367" i="9"/>
  <c r="C368" i="9"/>
  <c r="D368" i="9"/>
  <c r="C369" i="9"/>
  <c r="D369" i="9"/>
  <c r="C370" i="9"/>
  <c r="D370" i="9"/>
  <c r="C371" i="9"/>
  <c r="D371" i="9"/>
  <c r="C372" i="9"/>
  <c r="D372" i="9"/>
  <c r="C373" i="9"/>
  <c r="D373" i="9"/>
  <c r="C374" i="9"/>
  <c r="D374" i="9"/>
  <c r="C375" i="9"/>
  <c r="D375" i="9"/>
  <c r="C376" i="9"/>
  <c r="D376" i="9"/>
  <c r="C377" i="9"/>
  <c r="D377" i="9"/>
  <c r="C378" i="9"/>
  <c r="D378" i="9"/>
  <c r="C379" i="9"/>
  <c r="D379" i="9"/>
  <c r="C380" i="9"/>
  <c r="D380" i="9"/>
  <c r="C381" i="9"/>
  <c r="D381" i="9"/>
  <c r="C382" i="9"/>
  <c r="D382" i="9"/>
  <c r="C383" i="9"/>
  <c r="D383" i="9"/>
  <c r="C384" i="9"/>
  <c r="D384" i="9"/>
  <c r="C385" i="9"/>
  <c r="D385" i="9"/>
  <c r="C386" i="9"/>
  <c r="D386" i="9"/>
  <c r="C387" i="9"/>
  <c r="D387" i="9"/>
  <c r="C388" i="9"/>
  <c r="D388" i="9"/>
  <c r="C389" i="9"/>
  <c r="D389" i="9"/>
  <c r="C390" i="9"/>
  <c r="D390" i="9"/>
  <c r="C391" i="9"/>
  <c r="D391" i="9"/>
  <c r="C392" i="9"/>
  <c r="D392" i="9"/>
  <c r="C393" i="9"/>
  <c r="D393" i="9"/>
  <c r="C394" i="9"/>
  <c r="D394" i="9"/>
  <c r="C395" i="9"/>
  <c r="D395" i="9"/>
  <c r="C396" i="9"/>
  <c r="D396" i="9"/>
  <c r="C397" i="9"/>
  <c r="D397" i="9"/>
  <c r="C398" i="9"/>
  <c r="D398" i="9"/>
  <c r="C399" i="9"/>
  <c r="D399" i="9"/>
  <c r="C400" i="9"/>
  <c r="D400" i="9"/>
  <c r="C401" i="9"/>
  <c r="D401" i="9"/>
  <c r="C402" i="9"/>
  <c r="D402" i="9"/>
  <c r="C403" i="9"/>
  <c r="D403" i="9"/>
  <c r="C404" i="9"/>
  <c r="D404" i="9"/>
  <c r="C405" i="9"/>
  <c r="D405" i="9"/>
  <c r="C406" i="9"/>
  <c r="D406" i="9"/>
  <c r="C407" i="9"/>
  <c r="D407" i="9"/>
  <c r="C408" i="9"/>
  <c r="D408" i="9"/>
  <c r="C409" i="9"/>
  <c r="D409" i="9"/>
  <c r="C410" i="9"/>
  <c r="D410" i="9"/>
  <c r="C411" i="9"/>
  <c r="D411" i="9"/>
  <c r="C412" i="9"/>
  <c r="D412" i="9"/>
  <c r="C413" i="9"/>
  <c r="D413" i="9"/>
  <c r="C414" i="9"/>
  <c r="D414" i="9"/>
  <c r="C415" i="9"/>
  <c r="D415" i="9"/>
  <c r="C416" i="9"/>
  <c r="D416" i="9"/>
  <c r="C417" i="9"/>
  <c r="D417" i="9"/>
  <c r="C418" i="9"/>
  <c r="D418" i="9"/>
  <c r="C419" i="9"/>
  <c r="D419" i="9"/>
  <c r="C420" i="9"/>
  <c r="D420" i="9"/>
  <c r="C421" i="9"/>
  <c r="D421" i="9"/>
  <c r="C422" i="9"/>
  <c r="D422" i="9"/>
  <c r="C423" i="9"/>
  <c r="D423" i="9"/>
  <c r="C424" i="9"/>
  <c r="D424" i="9"/>
  <c r="C425" i="9"/>
  <c r="D425" i="9"/>
  <c r="C426" i="9"/>
  <c r="D426" i="9"/>
  <c r="C427" i="9"/>
  <c r="D427" i="9"/>
  <c r="C428" i="9"/>
  <c r="D428" i="9"/>
  <c r="C429" i="9"/>
  <c r="D429" i="9"/>
  <c r="C430" i="9"/>
  <c r="D430" i="9"/>
  <c r="C431" i="9"/>
  <c r="D431" i="9"/>
  <c r="C432" i="9"/>
  <c r="D432" i="9"/>
  <c r="C433" i="9"/>
  <c r="D433" i="9"/>
  <c r="C434" i="9"/>
  <c r="D434" i="9"/>
  <c r="C435" i="9"/>
  <c r="D435" i="9"/>
  <c r="C436" i="9"/>
  <c r="D436" i="9"/>
  <c r="C437" i="9"/>
  <c r="D437" i="9"/>
  <c r="C438" i="9"/>
  <c r="D438" i="9"/>
  <c r="C439" i="9"/>
  <c r="D439" i="9"/>
  <c r="C440" i="9"/>
  <c r="D440" i="9"/>
  <c r="C441" i="9"/>
  <c r="D441" i="9"/>
  <c r="C442" i="9"/>
  <c r="D442" i="9"/>
  <c r="C443" i="9"/>
  <c r="D443" i="9"/>
  <c r="C444" i="9"/>
  <c r="D444" i="9"/>
  <c r="C445" i="9"/>
  <c r="D445" i="9"/>
  <c r="C446" i="9"/>
  <c r="D446" i="9"/>
  <c r="C447" i="9"/>
  <c r="D447" i="9"/>
  <c r="C448" i="9"/>
  <c r="D448" i="9"/>
  <c r="C449" i="9"/>
  <c r="D449" i="9"/>
  <c r="C450" i="9"/>
  <c r="D450" i="9"/>
  <c r="C451" i="9"/>
  <c r="D451" i="9"/>
  <c r="C452" i="9"/>
  <c r="D452" i="9"/>
  <c r="C453" i="9"/>
  <c r="D453" i="9"/>
  <c r="C454" i="9"/>
  <c r="D454" i="9"/>
  <c r="C455" i="9"/>
  <c r="D455" i="9"/>
  <c r="C456" i="9"/>
  <c r="D456" i="9"/>
  <c r="C457" i="9"/>
  <c r="D457" i="9"/>
  <c r="C458" i="9"/>
  <c r="D458" i="9"/>
  <c r="C459" i="9"/>
  <c r="D459" i="9"/>
  <c r="C460" i="9"/>
  <c r="D460" i="9"/>
  <c r="C461" i="9"/>
  <c r="D461" i="9"/>
  <c r="C462" i="9"/>
  <c r="D462" i="9"/>
  <c r="C463" i="9"/>
  <c r="D463" i="9"/>
  <c r="C464" i="9"/>
  <c r="D464" i="9"/>
  <c r="C465" i="9"/>
  <c r="D465" i="9"/>
  <c r="C466" i="9"/>
  <c r="D466" i="9"/>
  <c r="C467" i="9"/>
  <c r="D467" i="9"/>
  <c r="C468" i="9"/>
  <c r="D468" i="9"/>
  <c r="C469" i="9"/>
  <c r="D469" i="9"/>
  <c r="C470" i="9"/>
  <c r="D470" i="9"/>
  <c r="C471" i="9"/>
  <c r="D471" i="9"/>
  <c r="C472" i="9"/>
  <c r="D472" i="9"/>
  <c r="C473" i="9"/>
  <c r="D473" i="9"/>
  <c r="C474" i="9"/>
  <c r="D474" i="9"/>
  <c r="C475" i="9"/>
  <c r="D475" i="9"/>
  <c r="C476" i="9"/>
  <c r="D476" i="9"/>
  <c r="C477" i="9"/>
  <c r="D477" i="9"/>
  <c r="C478" i="9"/>
  <c r="D478" i="9"/>
  <c r="C479" i="9"/>
  <c r="D479" i="9"/>
  <c r="C480" i="9"/>
  <c r="D480" i="9"/>
  <c r="C481" i="9"/>
  <c r="D481" i="9"/>
  <c r="C482" i="9"/>
  <c r="D482" i="9"/>
  <c r="C483" i="9"/>
  <c r="D483" i="9"/>
  <c r="C484" i="9"/>
  <c r="D484" i="9"/>
  <c r="C485" i="9"/>
  <c r="D485" i="9"/>
  <c r="C486" i="9"/>
  <c r="D486" i="9"/>
  <c r="C487" i="9"/>
  <c r="D487" i="9"/>
  <c r="C488" i="9"/>
  <c r="D488" i="9"/>
  <c r="C489" i="9"/>
  <c r="D489" i="9"/>
  <c r="C490" i="9"/>
  <c r="D490" i="9"/>
  <c r="C491" i="9"/>
  <c r="D491" i="9"/>
  <c r="C492" i="9"/>
  <c r="D492" i="9"/>
  <c r="C493" i="9"/>
  <c r="D493" i="9"/>
  <c r="C494" i="9"/>
  <c r="D494" i="9"/>
  <c r="C495" i="9"/>
  <c r="D495" i="9"/>
  <c r="C496" i="9"/>
  <c r="D496" i="9"/>
  <c r="C497" i="9"/>
  <c r="D497" i="9"/>
  <c r="C498" i="9"/>
  <c r="D498" i="9"/>
  <c r="C499" i="9"/>
  <c r="D499" i="9"/>
  <c r="C500" i="9"/>
  <c r="D500" i="9"/>
  <c r="C501" i="9"/>
  <c r="D501" i="9"/>
  <c r="C502" i="9"/>
  <c r="D502" i="9"/>
  <c r="C503" i="9"/>
  <c r="D503" i="9"/>
  <c r="C504" i="9"/>
  <c r="D504" i="9"/>
  <c r="C505" i="9"/>
  <c r="D505" i="9"/>
  <c r="C506" i="9"/>
  <c r="D506" i="9"/>
  <c r="C507" i="9"/>
  <c r="D507" i="9"/>
  <c r="C508" i="9"/>
  <c r="D508" i="9"/>
  <c r="C509" i="9"/>
  <c r="D509" i="9"/>
  <c r="C510" i="9"/>
  <c r="D510" i="9"/>
  <c r="C511" i="9"/>
  <c r="D511" i="9"/>
  <c r="C512" i="9"/>
  <c r="D512" i="9"/>
  <c r="C513" i="9"/>
  <c r="D513" i="9"/>
  <c r="C514" i="9"/>
  <c r="D514" i="9"/>
  <c r="C515" i="9"/>
  <c r="D515" i="9"/>
  <c r="C516" i="9"/>
  <c r="D516" i="9"/>
  <c r="C517" i="9"/>
  <c r="D517" i="9"/>
  <c r="C518" i="9"/>
  <c r="D518" i="9"/>
  <c r="C519" i="9"/>
  <c r="D519" i="9"/>
  <c r="C520" i="9"/>
  <c r="D520" i="9"/>
  <c r="C521" i="9"/>
  <c r="D521" i="9"/>
  <c r="C522" i="9"/>
  <c r="D522" i="9"/>
  <c r="C523" i="9"/>
  <c r="D523" i="9"/>
  <c r="C524" i="9"/>
  <c r="D524" i="9"/>
  <c r="C525" i="9"/>
  <c r="D525" i="9"/>
  <c r="C526" i="9"/>
  <c r="D526" i="9"/>
  <c r="C527" i="9"/>
  <c r="D527" i="9"/>
  <c r="C528" i="9"/>
  <c r="D528" i="9"/>
  <c r="C529" i="9"/>
  <c r="D529" i="9"/>
  <c r="C530" i="9"/>
  <c r="D530" i="9"/>
  <c r="C531" i="9"/>
  <c r="D531" i="9"/>
  <c r="C532" i="9"/>
  <c r="D532" i="9"/>
  <c r="C533" i="9"/>
  <c r="D533" i="9"/>
  <c r="C534" i="9"/>
  <c r="D534" i="9"/>
  <c r="C535" i="9"/>
  <c r="D535" i="9"/>
  <c r="C536" i="9"/>
  <c r="D536" i="9"/>
  <c r="C537" i="9"/>
  <c r="D537" i="9"/>
  <c r="C538" i="9"/>
  <c r="D538" i="9"/>
  <c r="C539" i="9"/>
  <c r="D539" i="9"/>
  <c r="C540" i="9"/>
  <c r="D540" i="9"/>
  <c r="C541" i="9"/>
  <c r="D541" i="9"/>
  <c r="C542" i="9"/>
  <c r="D542" i="9"/>
  <c r="C543" i="9"/>
  <c r="D543" i="9"/>
  <c r="C544" i="9"/>
  <c r="D544" i="9"/>
  <c r="C545" i="9"/>
  <c r="D545" i="9"/>
  <c r="C546" i="9"/>
  <c r="D546" i="9"/>
  <c r="C547" i="9"/>
  <c r="D547" i="9"/>
  <c r="C548" i="9"/>
  <c r="D548" i="9"/>
  <c r="C549" i="9"/>
  <c r="D549" i="9"/>
  <c r="C550" i="9"/>
  <c r="D550" i="9"/>
  <c r="C551" i="9"/>
  <c r="D551" i="9"/>
  <c r="C552" i="9"/>
  <c r="D552" i="9"/>
  <c r="C553" i="9"/>
  <c r="D553" i="9"/>
  <c r="C554" i="9"/>
  <c r="D554" i="9"/>
  <c r="C555" i="9"/>
  <c r="D555" i="9"/>
  <c r="C556" i="9"/>
  <c r="D556" i="9"/>
  <c r="C557" i="9"/>
  <c r="D557" i="9"/>
  <c r="C558" i="9"/>
  <c r="D558" i="9"/>
  <c r="C559" i="9"/>
  <c r="D559" i="9"/>
  <c r="C560" i="9"/>
  <c r="D560" i="9"/>
  <c r="C561" i="9"/>
  <c r="D561" i="9"/>
  <c r="C562" i="9"/>
  <c r="D562" i="9"/>
  <c r="C563" i="9"/>
  <c r="D563" i="9"/>
  <c r="C564" i="9"/>
  <c r="D564" i="9"/>
  <c r="C565" i="9"/>
  <c r="D565" i="9"/>
  <c r="C566" i="9"/>
  <c r="D566" i="9"/>
  <c r="C567" i="9"/>
  <c r="D567" i="9"/>
  <c r="C568" i="9"/>
  <c r="D568" i="9"/>
  <c r="C569" i="9"/>
  <c r="D569" i="9"/>
  <c r="C570" i="9"/>
  <c r="D570" i="9"/>
  <c r="C571" i="9"/>
  <c r="D571" i="9"/>
  <c r="C572" i="9"/>
  <c r="D572" i="9"/>
  <c r="C573" i="9"/>
  <c r="D573" i="9"/>
  <c r="C574" i="9"/>
  <c r="D574" i="9"/>
  <c r="C575" i="9"/>
  <c r="D575" i="9"/>
  <c r="C576" i="9"/>
  <c r="D576" i="9"/>
  <c r="C577" i="9"/>
  <c r="D577" i="9"/>
  <c r="C578" i="9"/>
  <c r="D578" i="9"/>
  <c r="C579" i="9"/>
  <c r="D579" i="9"/>
  <c r="C580" i="9"/>
  <c r="D580" i="9"/>
  <c r="C581" i="9"/>
  <c r="D581" i="9"/>
  <c r="C582" i="9"/>
  <c r="D582" i="9"/>
  <c r="C583" i="9"/>
  <c r="D583" i="9"/>
  <c r="C584" i="9"/>
  <c r="D584" i="9"/>
  <c r="C585" i="9"/>
  <c r="D585" i="9"/>
  <c r="C586" i="9"/>
  <c r="D586" i="9"/>
  <c r="C587" i="9"/>
  <c r="D587" i="9"/>
  <c r="C588" i="9"/>
  <c r="D588" i="9"/>
  <c r="C589" i="9"/>
  <c r="D589" i="9"/>
  <c r="C590" i="9"/>
  <c r="D590" i="9"/>
  <c r="C591" i="9"/>
  <c r="D591" i="9"/>
  <c r="C592" i="9"/>
  <c r="D592" i="9"/>
  <c r="C593" i="9"/>
  <c r="D593" i="9"/>
  <c r="C594" i="9"/>
  <c r="D594" i="9"/>
  <c r="C595" i="9"/>
  <c r="D595" i="9"/>
  <c r="C596" i="9"/>
  <c r="D596" i="9"/>
  <c r="C597" i="9"/>
  <c r="D597" i="9"/>
  <c r="C598" i="9"/>
  <c r="D598" i="9"/>
  <c r="C599" i="9"/>
  <c r="D599" i="9"/>
  <c r="C600" i="9"/>
  <c r="D600" i="9"/>
  <c r="C601" i="9"/>
  <c r="D601" i="9"/>
  <c r="C602" i="9"/>
  <c r="D602" i="9"/>
  <c r="C603" i="9"/>
  <c r="D603" i="9"/>
  <c r="C604" i="9"/>
  <c r="D604" i="9"/>
  <c r="C605" i="9"/>
  <c r="D605" i="9"/>
  <c r="C606" i="9"/>
  <c r="D606" i="9"/>
  <c r="C607" i="9"/>
  <c r="D607" i="9"/>
  <c r="C608" i="9"/>
  <c r="D608" i="9"/>
  <c r="C609" i="9"/>
  <c r="D609" i="9"/>
  <c r="C610" i="9"/>
  <c r="D610" i="9"/>
  <c r="C611" i="9"/>
  <c r="D611" i="9"/>
  <c r="C612" i="9"/>
  <c r="D612" i="9"/>
  <c r="C613" i="9"/>
  <c r="D613" i="9"/>
  <c r="C614" i="9"/>
  <c r="D614" i="9"/>
  <c r="C615" i="9"/>
  <c r="D615" i="9"/>
  <c r="C616" i="9"/>
  <c r="D616" i="9"/>
  <c r="C617" i="9"/>
  <c r="D617" i="9"/>
  <c r="C618" i="9"/>
  <c r="D618" i="9"/>
  <c r="C619" i="9"/>
  <c r="D619" i="9"/>
  <c r="C620" i="9"/>
  <c r="D620" i="9"/>
  <c r="C621" i="9"/>
  <c r="D621" i="9"/>
  <c r="C622" i="9"/>
  <c r="D622" i="9"/>
  <c r="C623" i="9"/>
  <c r="D623" i="9"/>
  <c r="C624" i="9"/>
  <c r="D624" i="9"/>
  <c r="C625" i="9"/>
  <c r="D625" i="9"/>
  <c r="C626" i="9"/>
  <c r="D626" i="9"/>
  <c r="C627" i="9"/>
  <c r="D627" i="9"/>
  <c r="C628" i="9"/>
  <c r="D628" i="9"/>
  <c r="C629" i="9"/>
  <c r="D629" i="9"/>
  <c r="C630" i="9"/>
  <c r="D630" i="9"/>
  <c r="C631" i="9"/>
  <c r="D631" i="9"/>
  <c r="C632" i="9"/>
  <c r="D632" i="9"/>
  <c r="C633" i="9"/>
  <c r="D633" i="9"/>
  <c r="C634" i="9"/>
  <c r="D634" i="9"/>
  <c r="C635" i="9"/>
  <c r="D635" i="9"/>
  <c r="C636" i="9"/>
  <c r="D636" i="9"/>
  <c r="C637" i="9"/>
  <c r="D637" i="9"/>
  <c r="C638" i="9"/>
  <c r="D638" i="9"/>
  <c r="C639" i="9"/>
  <c r="D639" i="9"/>
  <c r="C640" i="9"/>
  <c r="D640" i="9"/>
  <c r="C641" i="9"/>
  <c r="D641" i="9"/>
  <c r="C642" i="9"/>
  <c r="D642" i="9"/>
  <c r="C643" i="9"/>
  <c r="D643" i="9"/>
  <c r="C644" i="9"/>
  <c r="D644" i="9"/>
  <c r="C645" i="9"/>
  <c r="D645" i="9"/>
  <c r="C646" i="9"/>
  <c r="D646" i="9"/>
  <c r="C647" i="9"/>
  <c r="D647" i="9"/>
  <c r="C648" i="9"/>
  <c r="D648" i="9"/>
  <c r="C649" i="9"/>
  <c r="D649" i="9"/>
  <c r="C650" i="9"/>
  <c r="D650" i="9"/>
  <c r="C651" i="9"/>
  <c r="D651" i="9"/>
  <c r="C652" i="9"/>
  <c r="D652" i="9"/>
  <c r="C653" i="9"/>
  <c r="D653" i="9"/>
  <c r="C654" i="9"/>
  <c r="D654" i="9"/>
  <c r="C655" i="9"/>
  <c r="D655" i="9"/>
  <c r="C656" i="9"/>
  <c r="D656" i="9"/>
  <c r="C657" i="9"/>
  <c r="D657" i="9"/>
  <c r="C658" i="9"/>
  <c r="D658" i="9"/>
  <c r="C659" i="9"/>
  <c r="D659" i="9"/>
  <c r="C660" i="9"/>
  <c r="D660" i="9"/>
  <c r="C661" i="9"/>
  <c r="D661" i="9"/>
  <c r="C662" i="9"/>
  <c r="D662" i="9"/>
  <c r="C663" i="9"/>
  <c r="D663" i="9"/>
  <c r="C664" i="9"/>
  <c r="D664" i="9"/>
  <c r="C665" i="9"/>
  <c r="D665" i="9"/>
  <c r="C666" i="9"/>
  <c r="D666" i="9"/>
  <c r="C667" i="9"/>
  <c r="D667" i="9"/>
  <c r="C668" i="9"/>
  <c r="D668" i="9"/>
  <c r="C669" i="9"/>
  <c r="D669" i="9"/>
  <c r="C670" i="9"/>
  <c r="D670" i="9"/>
  <c r="C671" i="9"/>
  <c r="D671" i="9"/>
  <c r="C672" i="9"/>
  <c r="D672" i="9"/>
  <c r="C673" i="9"/>
  <c r="D673" i="9"/>
  <c r="C674" i="9"/>
  <c r="D674" i="9"/>
  <c r="C675" i="9"/>
  <c r="D675" i="9"/>
  <c r="C676" i="9"/>
  <c r="D676" i="9"/>
  <c r="C677" i="9"/>
  <c r="D677" i="9"/>
  <c r="C678" i="9"/>
  <c r="D678" i="9"/>
  <c r="C679" i="9"/>
  <c r="D679" i="9"/>
  <c r="C680" i="9"/>
  <c r="D680" i="9"/>
  <c r="C681" i="9"/>
  <c r="D681" i="9"/>
  <c r="C682" i="9"/>
  <c r="D682" i="9"/>
  <c r="C683" i="9"/>
  <c r="D683" i="9"/>
  <c r="C684" i="9"/>
  <c r="D684" i="9"/>
  <c r="C685" i="9"/>
  <c r="D685" i="9"/>
  <c r="C686" i="9"/>
  <c r="D686" i="9"/>
  <c r="C687" i="9"/>
  <c r="D687" i="9"/>
  <c r="C688" i="9"/>
  <c r="D688" i="9"/>
  <c r="C689" i="9"/>
  <c r="D689" i="9"/>
  <c r="C690" i="9"/>
  <c r="D690" i="9"/>
  <c r="C691" i="9"/>
  <c r="D691" i="9"/>
  <c r="C692" i="9"/>
  <c r="D692" i="9"/>
  <c r="C693" i="9"/>
  <c r="D693" i="9"/>
  <c r="C694" i="9"/>
  <c r="D694" i="9"/>
  <c r="C695" i="9"/>
  <c r="D695" i="9"/>
  <c r="C696" i="9"/>
  <c r="D696" i="9"/>
  <c r="C697" i="9"/>
  <c r="D697" i="9"/>
  <c r="C698" i="9"/>
  <c r="D698" i="9"/>
  <c r="C699" i="9"/>
  <c r="D699" i="9"/>
  <c r="C700" i="9"/>
  <c r="D700" i="9"/>
  <c r="C701" i="9"/>
  <c r="D701" i="9"/>
  <c r="C702" i="9"/>
  <c r="D702" i="9"/>
  <c r="C703" i="9"/>
  <c r="D703" i="9"/>
  <c r="C704" i="9"/>
  <c r="D704" i="9"/>
  <c r="C705" i="9"/>
  <c r="D705" i="9"/>
  <c r="C706" i="9"/>
  <c r="D706" i="9"/>
  <c r="C707" i="9"/>
  <c r="D707" i="9"/>
  <c r="C708" i="9"/>
  <c r="D708" i="9"/>
  <c r="C709" i="9"/>
  <c r="D709" i="9"/>
  <c r="C710" i="9"/>
  <c r="D710" i="9"/>
  <c r="C711" i="9"/>
  <c r="D711" i="9"/>
  <c r="C712" i="9"/>
  <c r="D712" i="9"/>
  <c r="C713" i="9"/>
  <c r="D713" i="9"/>
  <c r="C714" i="9"/>
  <c r="D714" i="9"/>
  <c r="C715" i="9"/>
  <c r="D715" i="9"/>
  <c r="C716" i="9"/>
  <c r="D716" i="9"/>
  <c r="C717" i="9"/>
  <c r="D717" i="9"/>
  <c r="C718" i="9"/>
  <c r="D718" i="9"/>
  <c r="C719" i="9"/>
  <c r="D719" i="9"/>
  <c r="C720" i="9"/>
  <c r="D720" i="9"/>
  <c r="C721" i="9"/>
  <c r="D721" i="9"/>
  <c r="C722" i="9"/>
  <c r="D722" i="9"/>
  <c r="C723" i="9"/>
  <c r="D723" i="9"/>
  <c r="C724" i="9"/>
  <c r="D724" i="9"/>
  <c r="C725" i="9"/>
  <c r="D725" i="9"/>
  <c r="C726" i="9"/>
  <c r="D726" i="9"/>
  <c r="C727" i="9"/>
  <c r="D727" i="9"/>
  <c r="C728" i="9"/>
  <c r="D728" i="9"/>
  <c r="C729" i="9"/>
  <c r="D729" i="9"/>
  <c r="C730" i="9"/>
  <c r="D730" i="9"/>
  <c r="C731" i="9"/>
  <c r="D731" i="9"/>
  <c r="C732" i="9"/>
  <c r="D732" i="9"/>
  <c r="C733" i="9"/>
  <c r="D733" i="9"/>
  <c r="C734" i="9"/>
  <c r="D734" i="9"/>
  <c r="C735" i="9"/>
  <c r="D735" i="9"/>
  <c r="C736" i="9"/>
  <c r="D736" i="9"/>
  <c r="C737" i="9"/>
  <c r="D737" i="9"/>
  <c r="C738" i="9"/>
  <c r="D738" i="9"/>
  <c r="C739" i="9"/>
  <c r="D739" i="9"/>
  <c r="C740" i="9"/>
  <c r="D740" i="9"/>
  <c r="C741" i="9"/>
  <c r="D741" i="9"/>
  <c r="C742" i="9"/>
  <c r="D742" i="9"/>
  <c r="C743" i="9"/>
  <c r="D743" i="9"/>
  <c r="C744" i="9"/>
  <c r="D744" i="9"/>
  <c r="C745" i="9"/>
  <c r="D745" i="9"/>
  <c r="C746" i="9"/>
  <c r="D746" i="9"/>
  <c r="C747" i="9"/>
  <c r="D747" i="9"/>
  <c r="C748" i="9"/>
  <c r="D748" i="9"/>
  <c r="C749" i="9"/>
  <c r="D749" i="9"/>
  <c r="C750" i="9"/>
  <c r="D750" i="9"/>
  <c r="C751" i="9"/>
  <c r="D751" i="9"/>
  <c r="C752" i="9"/>
  <c r="D752" i="9"/>
  <c r="C753" i="9"/>
  <c r="D753" i="9"/>
  <c r="C754" i="9"/>
  <c r="D754" i="9"/>
  <c r="C755" i="9"/>
  <c r="D755" i="9"/>
  <c r="C756" i="9"/>
  <c r="D756" i="9"/>
  <c r="C757" i="9"/>
  <c r="D757" i="9"/>
  <c r="C758" i="9"/>
  <c r="D758" i="9"/>
  <c r="C759" i="9"/>
  <c r="D759" i="9"/>
  <c r="C760" i="9"/>
  <c r="D760" i="9"/>
  <c r="C761" i="9"/>
  <c r="D761" i="9"/>
  <c r="C762" i="9"/>
  <c r="D762" i="9"/>
  <c r="C763" i="9"/>
  <c r="D763" i="9"/>
  <c r="C764" i="9"/>
  <c r="D764" i="9"/>
  <c r="C765" i="9"/>
  <c r="D765" i="9"/>
  <c r="C766" i="9"/>
  <c r="D766" i="9"/>
  <c r="C767" i="9"/>
  <c r="D767" i="9"/>
  <c r="C768" i="9"/>
  <c r="D768" i="9"/>
  <c r="C769" i="9"/>
  <c r="D769" i="9"/>
  <c r="C770" i="9"/>
  <c r="D770" i="9"/>
  <c r="C771" i="9"/>
  <c r="D771" i="9"/>
  <c r="C772" i="9"/>
  <c r="D772" i="9"/>
  <c r="C773" i="9"/>
  <c r="D773" i="9"/>
  <c r="C774" i="9"/>
  <c r="D774" i="9"/>
  <c r="C775" i="9"/>
  <c r="D775" i="9"/>
  <c r="C776" i="9"/>
  <c r="D776" i="9"/>
  <c r="C777" i="9"/>
  <c r="D777" i="9"/>
  <c r="C778" i="9"/>
  <c r="D778" i="9"/>
  <c r="C779" i="9"/>
  <c r="D779" i="9"/>
  <c r="C780" i="9"/>
  <c r="D780" i="9"/>
  <c r="C781" i="9"/>
  <c r="D781" i="9"/>
  <c r="C782" i="9"/>
  <c r="D782" i="9"/>
  <c r="C783" i="9"/>
  <c r="D783" i="9"/>
  <c r="C784" i="9"/>
  <c r="D784" i="9"/>
  <c r="C785" i="9"/>
  <c r="D785" i="9"/>
  <c r="C786" i="9"/>
  <c r="D786" i="9"/>
  <c r="C787" i="9"/>
  <c r="D787" i="9"/>
  <c r="C788" i="9"/>
  <c r="D788" i="9"/>
  <c r="C789" i="9"/>
  <c r="D789" i="9"/>
  <c r="C790" i="9"/>
  <c r="D790" i="9"/>
  <c r="C791" i="9"/>
  <c r="D791" i="9"/>
  <c r="C792" i="9"/>
  <c r="D792" i="9"/>
  <c r="C793" i="9"/>
  <c r="D793" i="9"/>
  <c r="C794" i="9"/>
  <c r="D794" i="9"/>
  <c r="C795" i="9"/>
  <c r="D795" i="9"/>
  <c r="C796" i="9"/>
  <c r="D796" i="9"/>
  <c r="C797" i="9"/>
  <c r="D797" i="9"/>
  <c r="C798" i="9"/>
  <c r="D798" i="9"/>
  <c r="C799" i="9"/>
  <c r="D799" i="9"/>
  <c r="C800" i="9"/>
  <c r="D800" i="9"/>
  <c r="C801" i="9"/>
  <c r="D801" i="9"/>
  <c r="C802" i="9"/>
  <c r="D802" i="9"/>
  <c r="C803" i="9"/>
  <c r="D803" i="9"/>
  <c r="C804" i="9"/>
  <c r="D804" i="9"/>
  <c r="C805" i="9"/>
  <c r="D805" i="9"/>
  <c r="C806" i="9"/>
  <c r="D806" i="9"/>
  <c r="C807" i="9"/>
  <c r="D807" i="9"/>
  <c r="C808" i="9"/>
  <c r="D808" i="9"/>
  <c r="C809" i="9"/>
  <c r="D809" i="9"/>
  <c r="C810" i="9"/>
  <c r="D810" i="9"/>
  <c r="C811" i="9"/>
  <c r="D811" i="9"/>
  <c r="C812" i="9"/>
  <c r="D812" i="9"/>
  <c r="C813" i="9"/>
  <c r="D813" i="9"/>
  <c r="C814" i="9"/>
  <c r="D814" i="9"/>
  <c r="C815" i="9"/>
  <c r="D815" i="9"/>
  <c r="C816" i="9"/>
  <c r="D816" i="9"/>
  <c r="C817" i="9"/>
  <c r="D817" i="9"/>
  <c r="C818" i="9"/>
  <c r="D818" i="9"/>
  <c r="C819" i="9"/>
  <c r="D819" i="9"/>
  <c r="C820" i="9"/>
  <c r="D820" i="9"/>
  <c r="C821" i="9"/>
  <c r="D821" i="9"/>
  <c r="C822" i="9"/>
  <c r="D822" i="9"/>
  <c r="C823" i="9"/>
  <c r="D823" i="9"/>
  <c r="C824" i="9"/>
  <c r="D824" i="9"/>
  <c r="C825" i="9"/>
  <c r="D825" i="9"/>
  <c r="C826" i="9"/>
  <c r="D826" i="9"/>
  <c r="C827" i="9"/>
  <c r="D827" i="9"/>
  <c r="C828" i="9"/>
  <c r="D828" i="9"/>
  <c r="C829" i="9"/>
  <c r="D829" i="9"/>
  <c r="C830" i="9"/>
  <c r="D830" i="9"/>
  <c r="C831" i="9"/>
  <c r="D831" i="9"/>
  <c r="C832" i="9"/>
  <c r="D832" i="9"/>
  <c r="C833" i="9"/>
  <c r="D833" i="9"/>
  <c r="C834" i="9"/>
  <c r="D834" i="9"/>
  <c r="C835" i="9"/>
  <c r="D835" i="9"/>
  <c r="C836" i="9"/>
  <c r="D836" i="9"/>
  <c r="C837" i="9"/>
  <c r="D837" i="9"/>
  <c r="C838" i="9"/>
  <c r="D838" i="9"/>
  <c r="C839" i="9"/>
  <c r="D839" i="9"/>
  <c r="C840" i="9"/>
  <c r="D840" i="9"/>
  <c r="C841" i="9"/>
  <c r="D841" i="9"/>
  <c r="C842" i="9"/>
  <c r="D842" i="9"/>
  <c r="C843" i="9"/>
  <c r="D843" i="9"/>
  <c r="C844" i="9"/>
  <c r="D844" i="9"/>
  <c r="C845" i="9"/>
  <c r="D845" i="9"/>
  <c r="C846" i="9"/>
  <c r="D846" i="9"/>
  <c r="C847" i="9"/>
  <c r="D847" i="9"/>
  <c r="C848" i="9"/>
  <c r="D848" i="9"/>
  <c r="C849" i="9"/>
  <c r="D849" i="9"/>
  <c r="C850" i="9"/>
  <c r="D850" i="9"/>
  <c r="C851" i="9"/>
  <c r="D851" i="9"/>
  <c r="C852" i="9"/>
  <c r="D852" i="9"/>
  <c r="C853" i="9"/>
  <c r="D853" i="9"/>
  <c r="C854" i="9"/>
  <c r="D854" i="9"/>
  <c r="C855" i="9"/>
  <c r="D855" i="9"/>
  <c r="C856" i="9"/>
  <c r="D856" i="9"/>
  <c r="C857" i="9"/>
  <c r="D857" i="9"/>
  <c r="C858" i="9"/>
  <c r="D858" i="9"/>
  <c r="C859" i="9"/>
  <c r="D859" i="9"/>
  <c r="C860" i="9"/>
  <c r="D860" i="9"/>
  <c r="C861" i="9"/>
  <c r="D861" i="9"/>
  <c r="C862" i="9"/>
  <c r="D862" i="9"/>
  <c r="C863" i="9"/>
  <c r="D863" i="9"/>
  <c r="C864" i="9"/>
  <c r="D864" i="9"/>
  <c r="C865" i="9"/>
  <c r="D865" i="9"/>
  <c r="C866" i="9"/>
  <c r="D866" i="9"/>
  <c r="C867" i="9"/>
  <c r="D867" i="9"/>
  <c r="C868" i="9"/>
  <c r="D868" i="9"/>
  <c r="C869" i="9"/>
  <c r="D869" i="9"/>
  <c r="C870" i="9"/>
  <c r="D870" i="9"/>
  <c r="C871" i="9"/>
  <c r="D871" i="9"/>
  <c r="C872" i="9"/>
  <c r="D872" i="9"/>
  <c r="C873" i="9"/>
  <c r="D873" i="9"/>
  <c r="C874" i="9"/>
  <c r="D874" i="9"/>
  <c r="C875" i="9"/>
  <c r="D875" i="9"/>
  <c r="C876" i="9"/>
  <c r="D876" i="9"/>
  <c r="C877" i="9"/>
  <c r="D877" i="9"/>
  <c r="C878" i="9"/>
  <c r="D878" i="9"/>
  <c r="C879" i="9"/>
  <c r="D879" i="9"/>
  <c r="C880" i="9"/>
  <c r="D880" i="9"/>
  <c r="C881" i="9"/>
  <c r="D881" i="9"/>
  <c r="C882" i="9"/>
  <c r="D882" i="9"/>
  <c r="C883" i="9"/>
  <c r="D883" i="9"/>
  <c r="C884" i="9"/>
  <c r="D884" i="9"/>
  <c r="C885" i="9"/>
  <c r="D885" i="9"/>
  <c r="C886" i="9"/>
  <c r="D886" i="9"/>
  <c r="C887" i="9"/>
  <c r="D887" i="9"/>
  <c r="C888" i="9"/>
  <c r="D888" i="9"/>
  <c r="C889" i="9"/>
  <c r="D889" i="9"/>
  <c r="C890" i="9"/>
  <c r="D890" i="9"/>
  <c r="C891" i="9"/>
  <c r="D891" i="9"/>
  <c r="C892" i="9"/>
  <c r="D892" i="9"/>
  <c r="C893" i="9"/>
  <c r="D893" i="9"/>
  <c r="C894" i="9"/>
  <c r="D894" i="9"/>
  <c r="C895" i="9"/>
  <c r="D895" i="9"/>
  <c r="C896" i="9"/>
  <c r="D896" i="9"/>
  <c r="C897" i="9"/>
  <c r="D897" i="9"/>
  <c r="C898" i="9"/>
  <c r="D898" i="9"/>
  <c r="C899" i="9"/>
  <c r="D899" i="9"/>
  <c r="C900" i="9"/>
  <c r="D900" i="9"/>
  <c r="C901" i="9"/>
  <c r="D901" i="9"/>
  <c r="C902" i="9"/>
  <c r="D902" i="9"/>
  <c r="C903" i="9"/>
  <c r="D903" i="9"/>
  <c r="C904" i="9"/>
  <c r="D904" i="9"/>
  <c r="C905" i="9"/>
  <c r="D905" i="9"/>
  <c r="C906" i="9"/>
  <c r="D906" i="9"/>
  <c r="C907" i="9"/>
  <c r="D907" i="9"/>
  <c r="C908" i="9"/>
  <c r="D908" i="9"/>
  <c r="C909" i="9"/>
  <c r="D909" i="9"/>
  <c r="C910" i="9"/>
  <c r="D910" i="9"/>
  <c r="C911" i="9"/>
  <c r="D911" i="9"/>
  <c r="C912" i="9"/>
  <c r="D912" i="9"/>
  <c r="C913" i="9"/>
  <c r="D913" i="9"/>
  <c r="C914" i="9"/>
  <c r="D914" i="9"/>
  <c r="C915" i="9"/>
  <c r="D915" i="9"/>
  <c r="C916" i="9"/>
  <c r="D916" i="9"/>
  <c r="C917" i="9"/>
  <c r="D917" i="9"/>
  <c r="C918" i="9"/>
  <c r="D918" i="9"/>
  <c r="C919" i="9"/>
  <c r="D919" i="9"/>
  <c r="C920" i="9"/>
  <c r="D920" i="9"/>
  <c r="C921" i="9"/>
  <c r="D921" i="9"/>
  <c r="C922" i="9"/>
  <c r="D922" i="9"/>
  <c r="C923" i="9"/>
  <c r="D923" i="9"/>
  <c r="C924" i="9"/>
  <c r="D924" i="9"/>
  <c r="C925" i="9"/>
  <c r="D925" i="9"/>
  <c r="C926" i="9"/>
  <c r="D926" i="9"/>
  <c r="C927" i="9"/>
  <c r="D927" i="9"/>
  <c r="C928" i="9"/>
  <c r="D928" i="9"/>
  <c r="C929" i="9"/>
  <c r="D929" i="9"/>
  <c r="C930" i="9"/>
  <c r="D930" i="9"/>
  <c r="C931" i="9"/>
  <c r="D931" i="9"/>
  <c r="C932" i="9"/>
  <c r="D932" i="9"/>
  <c r="C933" i="9"/>
  <c r="D933" i="9"/>
  <c r="C934" i="9"/>
  <c r="D934" i="9"/>
  <c r="C935" i="9"/>
  <c r="D935" i="9"/>
  <c r="C936" i="9"/>
  <c r="D936" i="9"/>
  <c r="C937" i="9"/>
  <c r="D937" i="9"/>
  <c r="C938" i="9"/>
  <c r="D938" i="9"/>
  <c r="C939" i="9"/>
  <c r="D939" i="9"/>
  <c r="C940" i="9"/>
  <c r="D940" i="9"/>
  <c r="C941" i="9"/>
  <c r="D941" i="9"/>
  <c r="C942" i="9"/>
  <c r="D942" i="9"/>
  <c r="C943" i="9"/>
  <c r="D943" i="9"/>
  <c r="C944" i="9"/>
  <c r="D944" i="9"/>
  <c r="C945" i="9"/>
  <c r="D945" i="9"/>
  <c r="C946" i="9"/>
  <c r="D946" i="9"/>
  <c r="C947" i="9"/>
  <c r="D947" i="9"/>
  <c r="C948" i="9"/>
  <c r="D948" i="9"/>
  <c r="C949" i="9"/>
  <c r="D949" i="9"/>
  <c r="C950" i="9"/>
  <c r="D950" i="9"/>
  <c r="C951" i="9"/>
  <c r="D951" i="9"/>
  <c r="C952" i="9"/>
  <c r="D952" i="9"/>
  <c r="C953" i="9"/>
  <c r="D953" i="9"/>
  <c r="C954" i="9"/>
  <c r="D954" i="9"/>
  <c r="C955" i="9"/>
  <c r="D955" i="9"/>
  <c r="C956" i="9"/>
  <c r="D956" i="9"/>
  <c r="C957" i="9"/>
  <c r="D957" i="9"/>
  <c r="C958" i="9"/>
  <c r="D958" i="9"/>
  <c r="C959" i="9"/>
  <c r="D959" i="9"/>
  <c r="C960" i="9"/>
  <c r="D960" i="9"/>
  <c r="C961" i="9"/>
  <c r="D961" i="9"/>
  <c r="C962" i="9"/>
  <c r="D962" i="9"/>
  <c r="C963" i="9"/>
  <c r="D963" i="9"/>
  <c r="C964" i="9"/>
  <c r="D964" i="9"/>
  <c r="C965" i="9"/>
  <c r="D965" i="9"/>
  <c r="C966" i="9"/>
  <c r="D966" i="9"/>
  <c r="C967" i="9"/>
  <c r="D967" i="9"/>
  <c r="C968" i="9"/>
  <c r="D968" i="9"/>
  <c r="C969" i="9"/>
  <c r="D969" i="9"/>
  <c r="C970" i="9"/>
  <c r="D970" i="9"/>
  <c r="C971" i="9"/>
  <c r="D971" i="9"/>
  <c r="C972" i="9"/>
  <c r="D972" i="9"/>
  <c r="C973" i="9"/>
  <c r="D973" i="9"/>
  <c r="C974" i="9"/>
  <c r="D974" i="9"/>
  <c r="C975" i="9"/>
  <c r="D975" i="9"/>
  <c r="C976" i="9"/>
  <c r="D976" i="9"/>
  <c r="C977" i="9"/>
  <c r="D977" i="9"/>
  <c r="C978" i="9"/>
  <c r="D978" i="9"/>
  <c r="C979" i="9"/>
  <c r="D979" i="9"/>
  <c r="C980" i="9"/>
  <c r="D980" i="9"/>
  <c r="C981" i="9"/>
  <c r="D981" i="9"/>
  <c r="C982" i="9"/>
  <c r="D982" i="9"/>
  <c r="C983" i="9"/>
  <c r="D983" i="9"/>
  <c r="C984" i="9"/>
  <c r="D984" i="9"/>
  <c r="C985" i="9"/>
  <c r="D985" i="9"/>
  <c r="C986" i="9"/>
  <c r="D986" i="9"/>
  <c r="C987" i="9"/>
  <c r="D987" i="9"/>
  <c r="C988" i="9"/>
  <c r="D988" i="9"/>
  <c r="C989" i="9"/>
  <c r="D989" i="9"/>
  <c r="C990" i="9"/>
  <c r="D990" i="9"/>
  <c r="C991" i="9"/>
  <c r="D991" i="9"/>
  <c r="C992" i="9"/>
  <c r="D992" i="9"/>
  <c r="C993" i="9"/>
  <c r="D993" i="9"/>
  <c r="C994" i="9"/>
  <c r="D994" i="9"/>
  <c r="C995" i="9"/>
  <c r="D995" i="9"/>
  <c r="C996" i="9"/>
  <c r="D996" i="9"/>
  <c r="C997" i="9"/>
  <c r="D997" i="9"/>
  <c r="C998" i="9"/>
  <c r="D998" i="9"/>
  <c r="C999" i="9"/>
  <c r="D999" i="9"/>
  <c r="C1000" i="9"/>
  <c r="D1000" i="9"/>
  <c r="C1001" i="9"/>
  <c r="D1001" i="9"/>
  <c r="C1002" i="9"/>
  <c r="D1002" i="9"/>
  <c r="C1003" i="9"/>
  <c r="D1003" i="9"/>
  <c r="C1004" i="9"/>
  <c r="D1004" i="9"/>
  <c r="C1005" i="9"/>
  <c r="D1005" i="9"/>
  <c r="C1006" i="9"/>
  <c r="D1006" i="9"/>
  <c r="C1007" i="9"/>
  <c r="D1007" i="9"/>
  <c r="C1008" i="9"/>
  <c r="D1008" i="9"/>
  <c r="C1009" i="9"/>
  <c r="D1009" i="9"/>
  <c r="C1010" i="9"/>
  <c r="D1010" i="9"/>
  <c r="C1011" i="9"/>
  <c r="D1011" i="9"/>
  <c r="C1012" i="9"/>
  <c r="D1012" i="9"/>
  <c r="C1013" i="9"/>
  <c r="D1013" i="9"/>
  <c r="C1014" i="9"/>
  <c r="D1014" i="9"/>
  <c r="C1015" i="9"/>
  <c r="D1015" i="9"/>
  <c r="C1016" i="9"/>
  <c r="D1016" i="9"/>
  <c r="C1017" i="9"/>
  <c r="D1017" i="9"/>
  <c r="C1018" i="9"/>
  <c r="D1018" i="9"/>
  <c r="C1019" i="9"/>
  <c r="D1019" i="9"/>
  <c r="C1020" i="9"/>
  <c r="D1020" i="9"/>
  <c r="C1021" i="9"/>
  <c r="D1021" i="9"/>
  <c r="C1022" i="9"/>
  <c r="D1022" i="9"/>
  <c r="C1023" i="9"/>
  <c r="D1023" i="9"/>
  <c r="C1024" i="9"/>
  <c r="D1024" i="9"/>
  <c r="C1025" i="9"/>
  <c r="D1025" i="9"/>
  <c r="C1026" i="9"/>
  <c r="D1026" i="9"/>
  <c r="C1027" i="9"/>
  <c r="D1027" i="9"/>
  <c r="C1028" i="9"/>
  <c r="D1028" i="9"/>
  <c r="C1029" i="9"/>
  <c r="D1029" i="9"/>
  <c r="C1030" i="9"/>
  <c r="D1030" i="9"/>
  <c r="C1031" i="9"/>
  <c r="D1031" i="9"/>
  <c r="C1032" i="9"/>
  <c r="D1032" i="9"/>
  <c r="C1033" i="9"/>
  <c r="D1033" i="9"/>
  <c r="C1034" i="9"/>
  <c r="D1034" i="9"/>
  <c r="C1035" i="9"/>
  <c r="D1035" i="9"/>
  <c r="C1036" i="9"/>
  <c r="D1036" i="9"/>
  <c r="C1037" i="9"/>
  <c r="D1037" i="9"/>
  <c r="C1038" i="9"/>
  <c r="D1038" i="9"/>
  <c r="C1039" i="9"/>
  <c r="D1039" i="9"/>
  <c r="C1040" i="9"/>
  <c r="D1040" i="9"/>
  <c r="C1041" i="9"/>
  <c r="D1041" i="9"/>
  <c r="C1042" i="9"/>
  <c r="D1042" i="9"/>
  <c r="C1043" i="9"/>
  <c r="D1043" i="9"/>
  <c r="C1044" i="9"/>
  <c r="D1044" i="9"/>
  <c r="C1045" i="9"/>
  <c r="D1045" i="9"/>
  <c r="C1046" i="9"/>
  <c r="D1046" i="9"/>
  <c r="C1047" i="9"/>
  <c r="D1047" i="9"/>
  <c r="C1048" i="9"/>
  <c r="D1048" i="9"/>
  <c r="C1049" i="9"/>
  <c r="D1049" i="9"/>
  <c r="C1050" i="9"/>
  <c r="D1050" i="9"/>
  <c r="C1051" i="9"/>
  <c r="D1051" i="9"/>
  <c r="C1052" i="9"/>
  <c r="D1052" i="9"/>
  <c r="C1053" i="9"/>
  <c r="D1053" i="9"/>
  <c r="C1054" i="9"/>
  <c r="D1054" i="9"/>
  <c r="C1055" i="9"/>
  <c r="D1055" i="9"/>
  <c r="C1056" i="9"/>
  <c r="D1056" i="9"/>
  <c r="C1057" i="9"/>
  <c r="D1057" i="9"/>
  <c r="C1058" i="9"/>
  <c r="D1058" i="9"/>
  <c r="C1059" i="9"/>
  <c r="D1059" i="9"/>
  <c r="C1060" i="9"/>
  <c r="D1060" i="9"/>
  <c r="C1061" i="9"/>
  <c r="D1061" i="9"/>
  <c r="C1062" i="9"/>
  <c r="D1062" i="9"/>
  <c r="C1063" i="9"/>
  <c r="D1063" i="9"/>
  <c r="C1064" i="9"/>
  <c r="D1064" i="9"/>
  <c r="C1065" i="9"/>
  <c r="D1065" i="9"/>
  <c r="C1066" i="9"/>
  <c r="D1066" i="9"/>
  <c r="C1067" i="9"/>
  <c r="D1067" i="9"/>
  <c r="C1068" i="9"/>
  <c r="D1068" i="9"/>
  <c r="C1069" i="9"/>
  <c r="D1069" i="9"/>
  <c r="C1070" i="9"/>
  <c r="D1070" i="9"/>
  <c r="C1071" i="9"/>
  <c r="D1071" i="9"/>
  <c r="C1072" i="9"/>
  <c r="D1072" i="9"/>
  <c r="C1073" i="9"/>
  <c r="D1073" i="9"/>
  <c r="C1074" i="9"/>
  <c r="D1074" i="9"/>
  <c r="C1075" i="9"/>
  <c r="D1075" i="9"/>
  <c r="C1076" i="9"/>
  <c r="D1076" i="9"/>
  <c r="C1077" i="9"/>
  <c r="D1077" i="9"/>
  <c r="C1078" i="9"/>
  <c r="D1078" i="9"/>
  <c r="C1079" i="9"/>
  <c r="D1079" i="9"/>
  <c r="C1080" i="9"/>
  <c r="D1080" i="9"/>
  <c r="C1081" i="9"/>
  <c r="D1081" i="9"/>
  <c r="C1082" i="9"/>
  <c r="D1082" i="9"/>
  <c r="C1083" i="9"/>
  <c r="D1083" i="9"/>
  <c r="C1084" i="9"/>
  <c r="D1084" i="9"/>
  <c r="C1085" i="9"/>
  <c r="D1085" i="9"/>
  <c r="C1086" i="9"/>
  <c r="D1086" i="9"/>
  <c r="C1087" i="9"/>
  <c r="D1087" i="9"/>
  <c r="C1088" i="9"/>
  <c r="D1088" i="9"/>
  <c r="C1089" i="9"/>
  <c r="D1089" i="9"/>
  <c r="C1090" i="9"/>
  <c r="D1090" i="9"/>
  <c r="C1091" i="9"/>
  <c r="D1091" i="9"/>
  <c r="C1092" i="9"/>
  <c r="D1092" i="9"/>
  <c r="C1093" i="9"/>
  <c r="D1093" i="9"/>
  <c r="C1094" i="9"/>
  <c r="D1094" i="9"/>
  <c r="C1095" i="9"/>
  <c r="D1095" i="9"/>
  <c r="C1096" i="9"/>
  <c r="D1096" i="9"/>
  <c r="C1097" i="9"/>
  <c r="D1097" i="9"/>
  <c r="C1098" i="9"/>
  <c r="D1098" i="9"/>
  <c r="C1099" i="9"/>
  <c r="D1099" i="9"/>
  <c r="C1100" i="9"/>
  <c r="D1100" i="9"/>
  <c r="C1101" i="9"/>
  <c r="D1101" i="9"/>
  <c r="C1102" i="9"/>
  <c r="D1102" i="9"/>
  <c r="C1103" i="9"/>
  <c r="D1103" i="9"/>
  <c r="C1104" i="9"/>
  <c r="D1104" i="9"/>
  <c r="C1105" i="9"/>
  <c r="D1105" i="9"/>
  <c r="C1106" i="9"/>
  <c r="D1106" i="9"/>
  <c r="C1107" i="9"/>
  <c r="D1107" i="9"/>
  <c r="C1108" i="9"/>
  <c r="D1108" i="9"/>
  <c r="C1109" i="9"/>
  <c r="D1109" i="9"/>
  <c r="C1110" i="9"/>
  <c r="D1110" i="9"/>
  <c r="C1111" i="9"/>
  <c r="D1111" i="9"/>
  <c r="C1112" i="9"/>
  <c r="D1112" i="9"/>
  <c r="C1113" i="9"/>
  <c r="D1113" i="9"/>
  <c r="C1114" i="9"/>
  <c r="D1114" i="9"/>
  <c r="C1115" i="9"/>
  <c r="D1115" i="9"/>
  <c r="C1116" i="9"/>
  <c r="D1116" i="9"/>
  <c r="C1117" i="9"/>
  <c r="D1117" i="9"/>
  <c r="C1118" i="9"/>
  <c r="D1118" i="9"/>
  <c r="C1119" i="9"/>
  <c r="D1119" i="9"/>
  <c r="C1120" i="9"/>
  <c r="D1120" i="9"/>
  <c r="C1121" i="9"/>
  <c r="D1121" i="9"/>
  <c r="C1122" i="9"/>
  <c r="D1122" i="9"/>
  <c r="C1123" i="9"/>
  <c r="D1123" i="9"/>
  <c r="C1124" i="9"/>
  <c r="D1124" i="9"/>
  <c r="C1125" i="9"/>
  <c r="D1125" i="9"/>
  <c r="C1126" i="9"/>
  <c r="D1126" i="9"/>
  <c r="C1127" i="9"/>
  <c r="D1127" i="9"/>
  <c r="C1128" i="9"/>
  <c r="D1128" i="9"/>
  <c r="C1129" i="9"/>
  <c r="D1129" i="9"/>
  <c r="C1130" i="9"/>
  <c r="D1130" i="9"/>
  <c r="C1131" i="9"/>
  <c r="D1131" i="9"/>
  <c r="C1132" i="9"/>
  <c r="D1132" i="9"/>
  <c r="C1133" i="9"/>
  <c r="D1133" i="9"/>
  <c r="C1134" i="9"/>
  <c r="D1134" i="9"/>
  <c r="C1135" i="9"/>
  <c r="D1135" i="9"/>
  <c r="C1136" i="9"/>
  <c r="D1136" i="9"/>
  <c r="C1137" i="9"/>
  <c r="D1137" i="9"/>
  <c r="C1138" i="9"/>
  <c r="D1138" i="9"/>
  <c r="C1139" i="9"/>
  <c r="D1139" i="9"/>
  <c r="C1140" i="9"/>
  <c r="D1140" i="9"/>
  <c r="C1141" i="9"/>
  <c r="D1141" i="9"/>
  <c r="C1142" i="9"/>
  <c r="D1142" i="9"/>
  <c r="C1143" i="9"/>
  <c r="D1143" i="9"/>
  <c r="C1144" i="9"/>
  <c r="D1144" i="9"/>
  <c r="C1145" i="9"/>
  <c r="D1145" i="9"/>
  <c r="C1146" i="9"/>
  <c r="D1146" i="9"/>
  <c r="C1147" i="9"/>
  <c r="D1147" i="9"/>
  <c r="C1148" i="9"/>
  <c r="D1148" i="9"/>
  <c r="C1149" i="9"/>
  <c r="D1149" i="9"/>
  <c r="C1150" i="9"/>
  <c r="D1150" i="9"/>
  <c r="C1151" i="9"/>
  <c r="D1151" i="9"/>
  <c r="C1152" i="9"/>
  <c r="D1152" i="9"/>
  <c r="C1153" i="9"/>
  <c r="D1153" i="9"/>
  <c r="C1154" i="9"/>
  <c r="D1154" i="9"/>
  <c r="C1155" i="9"/>
  <c r="D1155" i="9"/>
  <c r="C1156" i="9"/>
  <c r="D1156" i="9"/>
  <c r="C1157" i="9"/>
  <c r="D1157" i="9"/>
  <c r="C1158" i="9"/>
  <c r="D1158" i="9"/>
  <c r="C1159" i="9"/>
  <c r="D1159" i="9"/>
  <c r="C1160" i="9"/>
  <c r="D1160" i="9"/>
  <c r="C1161" i="9"/>
  <c r="D1161" i="9"/>
  <c r="C1162" i="9"/>
  <c r="D1162" i="9"/>
  <c r="C1163" i="9"/>
  <c r="D1163" i="9"/>
  <c r="C1164" i="9"/>
  <c r="D1164" i="9"/>
  <c r="C1165" i="9"/>
  <c r="D1165" i="9"/>
  <c r="C1166" i="9"/>
  <c r="D1166" i="9"/>
  <c r="C1167" i="9"/>
  <c r="D1167" i="9"/>
  <c r="C1168" i="9"/>
  <c r="D1168" i="9"/>
  <c r="C1169" i="9"/>
  <c r="D1169" i="9"/>
  <c r="C1170" i="9"/>
  <c r="D1170" i="9"/>
  <c r="C1171" i="9"/>
  <c r="D1171" i="9"/>
  <c r="C1172" i="9"/>
  <c r="D1172" i="9"/>
  <c r="C1173" i="9"/>
  <c r="D1173" i="9"/>
  <c r="C1174" i="9"/>
  <c r="D1174" i="9"/>
  <c r="C1175" i="9"/>
  <c r="D1175" i="9"/>
  <c r="C1176" i="9"/>
  <c r="D1176" i="9"/>
  <c r="C1177" i="9"/>
  <c r="D1177" i="9"/>
  <c r="C1178" i="9"/>
  <c r="D1178" i="9"/>
  <c r="C1179" i="9"/>
  <c r="D1179" i="9"/>
  <c r="C1180" i="9"/>
  <c r="D1180" i="9"/>
  <c r="C1181" i="9"/>
  <c r="D1181" i="9"/>
  <c r="C1182" i="9"/>
  <c r="D1182" i="9"/>
  <c r="C1183" i="9"/>
  <c r="D1183" i="9"/>
  <c r="C1184" i="9"/>
  <c r="D1184" i="9"/>
  <c r="C1185" i="9"/>
  <c r="D1185" i="9"/>
  <c r="C1186" i="9"/>
  <c r="D1186" i="9"/>
  <c r="C1187" i="9"/>
  <c r="D1187" i="9"/>
  <c r="C1188" i="9"/>
  <c r="D1188" i="9"/>
  <c r="C1189" i="9"/>
  <c r="D1189" i="9"/>
  <c r="C1190" i="9"/>
  <c r="D1190" i="9"/>
  <c r="C1191" i="9"/>
  <c r="D1191" i="9"/>
  <c r="C1192" i="9"/>
  <c r="D1192" i="9"/>
  <c r="C1193" i="9"/>
  <c r="D1193" i="9"/>
  <c r="C1194" i="9"/>
  <c r="D1194" i="9"/>
  <c r="C1195" i="9"/>
  <c r="D1195" i="9"/>
  <c r="C1196" i="9"/>
  <c r="D1196" i="9"/>
  <c r="C1197" i="9"/>
  <c r="D1197" i="9"/>
  <c r="C1198" i="9"/>
  <c r="D1198" i="9"/>
  <c r="C1199" i="9"/>
  <c r="D1199" i="9"/>
  <c r="C1200" i="9"/>
  <c r="D1200" i="9"/>
  <c r="C1201" i="9"/>
  <c r="D1201" i="9"/>
  <c r="C1202" i="9"/>
  <c r="D1202" i="9"/>
  <c r="C1203" i="9"/>
  <c r="D1203" i="9"/>
  <c r="C1204" i="9"/>
  <c r="D1204" i="9"/>
  <c r="C1205" i="9"/>
  <c r="D1205" i="9"/>
  <c r="C1206" i="9"/>
  <c r="D1206" i="9"/>
  <c r="C1207" i="9"/>
  <c r="D1207" i="9"/>
  <c r="C1208" i="9"/>
  <c r="D1208" i="9"/>
  <c r="C1209" i="9"/>
  <c r="D1209" i="9"/>
  <c r="C1210" i="9"/>
  <c r="D1210" i="9"/>
  <c r="C1211" i="9"/>
  <c r="D1211" i="9"/>
  <c r="C1212" i="9"/>
  <c r="D1212" i="9"/>
  <c r="C1213" i="9"/>
  <c r="D1213" i="9"/>
  <c r="C1214" i="9"/>
  <c r="D1214" i="9"/>
  <c r="C1215" i="9"/>
  <c r="D1215" i="9"/>
  <c r="C1216" i="9"/>
  <c r="D1216" i="9"/>
  <c r="C1217" i="9"/>
  <c r="D1217" i="9"/>
  <c r="C1218" i="9"/>
  <c r="D1218" i="9"/>
  <c r="C1219" i="9"/>
  <c r="D1219" i="9"/>
  <c r="C1220" i="9"/>
  <c r="D1220" i="9"/>
  <c r="C1221" i="9"/>
  <c r="D1221" i="9"/>
  <c r="C1222" i="9"/>
  <c r="D1222" i="9"/>
  <c r="C1223" i="9"/>
  <c r="D1223" i="9"/>
  <c r="C1224" i="9"/>
  <c r="D1224" i="9"/>
  <c r="C1225" i="9"/>
  <c r="D1225" i="9"/>
  <c r="C1226" i="9"/>
  <c r="D1226" i="9"/>
  <c r="C1227" i="9"/>
  <c r="D1227" i="9"/>
  <c r="C1228" i="9"/>
  <c r="D1228" i="9"/>
  <c r="C1229" i="9"/>
  <c r="D1229" i="9"/>
  <c r="C1230" i="9"/>
  <c r="D1230" i="9"/>
  <c r="C1231" i="9"/>
  <c r="D1231" i="9"/>
  <c r="C1232" i="9"/>
  <c r="D1232" i="9"/>
  <c r="C1233" i="9"/>
  <c r="D1233" i="9"/>
  <c r="C1234" i="9"/>
  <c r="D1234" i="9"/>
  <c r="C1235" i="9"/>
  <c r="D1235" i="9"/>
  <c r="C1236" i="9"/>
  <c r="D1236" i="9"/>
  <c r="C1237" i="9"/>
  <c r="D1237" i="9"/>
  <c r="C1238" i="9"/>
  <c r="D1238" i="9"/>
  <c r="C1239" i="9"/>
  <c r="D1239" i="9"/>
  <c r="C1240" i="9"/>
  <c r="D1240" i="9"/>
  <c r="C1241" i="9"/>
  <c r="D1241" i="9"/>
  <c r="C1242" i="9"/>
  <c r="D1242" i="9"/>
  <c r="C1243" i="9"/>
  <c r="D1243" i="9"/>
  <c r="C1244" i="9"/>
  <c r="D1244" i="9"/>
  <c r="C1245" i="9"/>
  <c r="D1245" i="9"/>
  <c r="C1246" i="9"/>
  <c r="D1246" i="9"/>
  <c r="C1247" i="9"/>
  <c r="D1247" i="9"/>
  <c r="C1248" i="9"/>
  <c r="D1248" i="9"/>
  <c r="C1249" i="9"/>
  <c r="D1249" i="9"/>
  <c r="C1250" i="9"/>
  <c r="D1250" i="9"/>
  <c r="C1251" i="9"/>
  <c r="D1251" i="9"/>
  <c r="C1252" i="9"/>
  <c r="D1252" i="9"/>
  <c r="C1253" i="9"/>
  <c r="D1253" i="9"/>
  <c r="C1254" i="9"/>
  <c r="D1254" i="9"/>
  <c r="C1255" i="9"/>
  <c r="D1255" i="9"/>
  <c r="C1256" i="9"/>
  <c r="D1256" i="9"/>
  <c r="C1257" i="9"/>
  <c r="D1257" i="9"/>
  <c r="C1258" i="9"/>
  <c r="D1258" i="9"/>
  <c r="C1259" i="9"/>
  <c r="D1259" i="9"/>
  <c r="C1260" i="9"/>
  <c r="D1260" i="9"/>
  <c r="C1261" i="9"/>
  <c r="D1261" i="9"/>
  <c r="C1262" i="9"/>
  <c r="D1262" i="9"/>
  <c r="C1263" i="9"/>
  <c r="D1263" i="9"/>
  <c r="C1264" i="9"/>
  <c r="D1264" i="9"/>
  <c r="C1265" i="9"/>
  <c r="D1265" i="9"/>
  <c r="C1266" i="9"/>
  <c r="D1266" i="9"/>
  <c r="C1267" i="9"/>
  <c r="D1267" i="9"/>
  <c r="C1268" i="9"/>
  <c r="D1268" i="9"/>
  <c r="C1269" i="9"/>
  <c r="D1269" i="9"/>
  <c r="C1270" i="9"/>
  <c r="D1270" i="9"/>
  <c r="C1271" i="9"/>
  <c r="D1271" i="9"/>
  <c r="C1272" i="9"/>
  <c r="D1272" i="9"/>
  <c r="C1273" i="9"/>
  <c r="D1273" i="9"/>
  <c r="C1274" i="9"/>
  <c r="D1274" i="9"/>
  <c r="C1275" i="9"/>
  <c r="D1275" i="9"/>
  <c r="C1276" i="9"/>
  <c r="D1276" i="9"/>
  <c r="C1277" i="9"/>
  <c r="D1277" i="9"/>
  <c r="C1278" i="9"/>
  <c r="D1278" i="9"/>
  <c r="C1279" i="9"/>
  <c r="D1279" i="9"/>
  <c r="C1280" i="9"/>
  <c r="D1280" i="9"/>
  <c r="C1281" i="9"/>
  <c r="D1281" i="9"/>
  <c r="C1282" i="9"/>
  <c r="D1282" i="9"/>
  <c r="C1283" i="9"/>
  <c r="D1283" i="9"/>
  <c r="C1284" i="9"/>
  <c r="D1284" i="9"/>
  <c r="C1285" i="9"/>
  <c r="D1285" i="9"/>
  <c r="C1286" i="9"/>
  <c r="D1286" i="9"/>
  <c r="C1287" i="9"/>
  <c r="D1287" i="9"/>
  <c r="C1288" i="9"/>
  <c r="D1288" i="9"/>
  <c r="C1289" i="9"/>
  <c r="D1289" i="9"/>
  <c r="C1290" i="9"/>
  <c r="D1290" i="9"/>
  <c r="C1291" i="9"/>
  <c r="D1291" i="9"/>
  <c r="C1292" i="9"/>
  <c r="D1292" i="9"/>
  <c r="C1293" i="9"/>
  <c r="D1293" i="9"/>
  <c r="C1294" i="9"/>
  <c r="D1294" i="9"/>
  <c r="C1295" i="9"/>
  <c r="D1295" i="9"/>
  <c r="C1296" i="9"/>
  <c r="D1296" i="9"/>
  <c r="C1297" i="9"/>
  <c r="D1297" i="9"/>
  <c r="C1298" i="9"/>
  <c r="D1298" i="9"/>
  <c r="C1299" i="9"/>
  <c r="D1299" i="9"/>
  <c r="C1300" i="9"/>
  <c r="D1300" i="9"/>
  <c r="C1301" i="9"/>
  <c r="D1301" i="9"/>
  <c r="C1302" i="9"/>
  <c r="D1302" i="9"/>
  <c r="C1303" i="9"/>
  <c r="D1303" i="9"/>
  <c r="C1304" i="9"/>
  <c r="D1304" i="9"/>
  <c r="C1305" i="9"/>
  <c r="D1305" i="9"/>
  <c r="C1306" i="9"/>
  <c r="D1306" i="9"/>
  <c r="C1307" i="9"/>
  <c r="D1307" i="9"/>
  <c r="C1308" i="9"/>
  <c r="D1308" i="9"/>
  <c r="C1309" i="9"/>
  <c r="D1309" i="9"/>
  <c r="C1310" i="9"/>
  <c r="D1310" i="9"/>
  <c r="C1311" i="9"/>
  <c r="D1311" i="9"/>
  <c r="C1312" i="9"/>
  <c r="D1312" i="9"/>
  <c r="C1313" i="9"/>
  <c r="D1313" i="9"/>
  <c r="C1314" i="9"/>
  <c r="D1314" i="9"/>
  <c r="C1315" i="9"/>
  <c r="D1315" i="9"/>
  <c r="C1316" i="9"/>
  <c r="D1316" i="9"/>
  <c r="C1317" i="9"/>
  <c r="D1317" i="9"/>
  <c r="C1318" i="9"/>
  <c r="D1318" i="9"/>
  <c r="C1319" i="9"/>
  <c r="D1319" i="9"/>
  <c r="C1320" i="9"/>
  <c r="D1320" i="9"/>
  <c r="C1321" i="9"/>
  <c r="D1321" i="9"/>
  <c r="C1322" i="9"/>
  <c r="D1322" i="9"/>
  <c r="C1323" i="9"/>
  <c r="D1323" i="9"/>
  <c r="C1324" i="9"/>
  <c r="D1324" i="9"/>
  <c r="C1325" i="9"/>
  <c r="D1325" i="9"/>
  <c r="C1326" i="9"/>
  <c r="D1326" i="9"/>
  <c r="C1327" i="9"/>
  <c r="D1327" i="9"/>
  <c r="C1328" i="9"/>
  <c r="D1328" i="9"/>
  <c r="C1329" i="9"/>
  <c r="D1329" i="9"/>
  <c r="C1330" i="9"/>
  <c r="D1330" i="9"/>
  <c r="C1331" i="9"/>
  <c r="D1331" i="9"/>
  <c r="C1332" i="9"/>
  <c r="D1332" i="9"/>
  <c r="C1333" i="9"/>
  <c r="D1333" i="9"/>
  <c r="C1334" i="9"/>
  <c r="D1334" i="9"/>
  <c r="C1335" i="9"/>
  <c r="D1335" i="9"/>
  <c r="C1336" i="9"/>
  <c r="D1336" i="9"/>
  <c r="C1337" i="9"/>
  <c r="D1337" i="9"/>
  <c r="C1338" i="9"/>
  <c r="D1338" i="9"/>
  <c r="C1339" i="9"/>
  <c r="D1339" i="9"/>
  <c r="C1340" i="9"/>
  <c r="D1340" i="9"/>
  <c r="C1341" i="9"/>
  <c r="D1341" i="9"/>
  <c r="C1342" i="9"/>
  <c r="D1342" i="9"/>
  <c r="C1343" i="9"/>
  <c r="D1343" i="9"/>
  <c r="C1344" i="9"/>
  <c r="D1344" i="9"/>
  <c r="C1345" i="9"/>
  <c r="D1345" i="9"/>
  <c r="C1346" i="9"/>
  <c r="D1346" i="9"/>
  <c r="C1347" i="9"/>
  <c r="D1347" i="9"/>
  <c r="C1348" i="9"/>
  <c r="D1348" i="9"/>
  <c r="C1349" i="9"/>
  <c r="D1349" i="9"/>
  <c r="C1350" i="9"/>
  <c r="D1350" i="9"/>
  <c r="C1351" i="9"/>
  <c r="D1351" i="9"/>
  <c r="C1352" i="9"/>
  <c r="D1352" i="9"/>
  <c r="C1353" i="9"/>
  <c r="D1353" i="9"/>
  <c r="C5" i="9"/>
  <c r="D5" i="9"/>
  <c r="C6" i="9"/>
  <c r="D6" i="9"/>
  <c r="C7" i="9"/>
  <c r="D7" i="9"/>
  <c r="C8" i="9"/>
  <c r="D8" i="9"/>
  <c r="C9" i="9"/>
  <c r="D9" i="9"/>
  <c r="C10" i="9"/>
  <c r="D10" i="9"/>
  <c r="C11" i="9"/>
  <c r="D11" i="9"/>
  <c r="C12" i="9"/>
  <c r="D12" i="9"/>
  <c r="C13" i="9"/>
  <c r="D13" i="9"/>
  <c r="C14" i="9"/>
  <c r="D14" i="9"/>
  <c r="C15" i="9"/>
  <c r="D15" i="9"/>
  <c r="C16" i="9"/>
  <c r="D16" i="9"/>
  <c r="C17" i="9"/>
  <c r="D17" i="9"/>
  <c r="C18" i="9"/>
  <c r="D18" i="9"/>
  <c r="D4" i="9"/>
  <c r="C4" i="9"/>
  <c r="N4" i="9"/>
  <c r="Z4" i="8" s="1"/>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Z3" i="8" l="1"/>
  <c r="Z2" i="8"/>
  <c r="E102" i="9"/>
  <c r="E30" i="9"/>
  <c r="E1069" i="9"/>
  <c r="F1069" i="9" s="1"/>
  <c r="E1051" i="9"/>
  <c r="F1051" i="9" s="1"/>
  <c r="E1021" i="9"/>
  <c r="F1021" i="9" s="1"/>
  <c r="E991" i="9"/>
  <c r="F991" i="9" s="1"/>
  <c r="E955" i="9"/>
  <c r="F955" i="9" s="1"/>
  <c r="E931" i="9"/>
  <c r="F931" i="9" s="1"/>
  <c r="E901" i="9"/>
  <c r="F901" i="9" s="1"/>
  <c r="E877" i="9"/>
  <c r="F877" i="9" s="1"/>
  <c r="E841" i="9"/>
  <c r="F841" i="9" s="1"/>
  <c r="E811" i="9"/>
  <c r="F811" i="9" s="1"/>
  <c r="E787" i="9"/>
  <c r="F787" i="9" s="1"/>
  <c r="E757" i="9"/>
  <c r="F757" i="9" s="1"/>
  <c r="E727" i="9"/>
  <c r="F727" i="9" s="1"/>
  <c r="E703" i="9"/>
  <c r="F703" i="9" s="1"/>
  <c r="E673" i="9"/>
  <c r="F673" i="9" s="1"/>
  <c r="E649" i="9"/>
  <c r="F649" i="9" s="1"/>
  <c r="E631" i="9"/>
  <c r="F631" i="9" s="1"/>
  <c r="E85" i="9"/>
  <c r="F85" i="9" s="1"/>
  <c r="E1075" i="9"/>
  <c r="F1075" i="9" s="1"/>
  <c r="E1045" i="9"/>
  <c r="F1045" i="9" s="1"/>
  <c r="E1015" i="9"/>
  <c r="F1015" i="9" s="1"/>
  <c r="E985" i="9"/>
  <c r="E961" i="9"/>
  <c r="F961" i="9" s="1"/>
  <c r="E937" i="9"/>
  <c r="F937" i="9" s="1"/>
  <c r="E907" i="9"/>
  <c r="E871" i="9"/>
  <c r="F871" i="9" s="1"/>
  <c r="E847" i="9"/>
  <c r="E817" i="9"/>
  <c r="E793" i="9"/>
  <c r="F793" i="9" s="1"/>
  <c r="E763" i="9"/>
  <c r="F763" i="9" s="1"/>
  <c r="E733" i="9"/>
  <c r="F733" i="9" s="1"/>
  <c r="E709" i="9"/>
  <c r="F709" i="9" s="1"/>
  <c r="E679" i="9"/>
  <c r="F679" i="9" s="1"/>
  <c r="E655" i="9"/>
  <c r="F655" i="9" s="1"/>
  <c r="E625" i="9"/>
  <c r="F625" i="9" s="1"/>
  <c r="E133" i="9"/>
  <c r="F133" i="9" s="1"/>
  <c r="E1057" i="9"/>
  <c r="E1027" i="9"/>
  <c r="E1003" i="9"/>
  <c r="F1003" i="9" s="1"/>
  <c r="E979" i="9"/>
  <c r="E949" i="9"/>
  <c r="F949" i="9" s="1"/>
  <c r="E919" i="9"/>
  <c r="F919" i="9" s="1"/>
  <c r="E883" i="9"/>
  <c r="F883" i="9" s="1"/>
  <c r="E859" i="9"/>
  <c r="F859" i="9" s="1"/>
  <c r="E835" i="9"/>
  <c r="F835" i="9" s="1"/>
  <c r="E805" i="9"/>
  <c r="F805" i="9" s="1"/>
  <c r="E775" i="9"/>
  <c r="F775" i="9" s="1"/>
  <c r="E751" i="9"/>
  <c r="F751" i="9" s="1"/>
  <c r="E721" i="9"/>
  <c r="F721" i="9" s="1"/>
  <c r="E697" i="9"/>
  <c r="F697" i="9" s="1"/>
  <c r="E667" i="9"/>
  <c r="F667" i="9" s="1"/>
  <c r="E643" i="9"/>
  <c r="F643" i="9" s="1"/>
  <c r="E619" i="9"/>
  <c r="F619" i="9" s="1"/>
  <c r="E193" i="9"/>
  <c r="F193" i="9" s="1"/>
  <c r="E1081" i="9"/>
  <c r="F1081" i="9" s="1"/>
  <c r="E1039" i="9"/>
  <c r="F1039" i="9" s="1"/>
  <c r="E1009" i="9"/>
  <c r="F1009" i="9" s="1"/>
  <c r="E967" i="9"/>
  <c r="F967" i="9" s="1"/>
  <c r="E925" i="9"/>
  <c r="F925" i="9" s="1"/>
  <c r="E895" i="9"/>
  <c r="F895" i="9" s="1"/>
  <c r="E865" i="9"/>
  <c r="F865" i="9" s="1"/>
  <c r="E823" i="9"/>
  <c r="E781" i="9"/>
  <c r="F781" i="9" s="1"/>
  <c r="E745" i="9"/>
  <c r="F745" i="9" s="1"/>
  <c r="E691" i="9"/>
  <c r="F691" i="9" s="1"/>
  <c r="E637" i="9"/>
  <c r="F637" i="9" s="1"/>
  <c r="E1063" i="9"/>
  <c r="F1063" i="9" s="1"/>
  <c r="E1033" i="9"/>
  <c r="F1033" i="9" s="1"/>
  <c r="E997" i="9"/>
  <c r="F997" i="9" s="1"/>
  <c r="E973" i="9"/>
  <c r="F973" i="9" s="1"/>
  <c r="E943" i="9"/>
  <c r="F943" i="9" s="1"/>
  <c r="E913" i="9"/>
  <c r="F913" i="9" s="1"/>
  <c r="E889" i="9"/>
  <c r="F889" i="9" s="1"/>
  <c r="E853" i="9"/>
  <c r="E829" i="9"/>
  <c r="E799" i="9"/>
  <c r="F799" i="9" s="1"/>
  <c r="E769" i="9"/>
  <c r="F769" i="9" s="1"/>
  <c r="E739" i="9"/>
  <c r="F739" i="9" s="1"/>
  <c r="E715" i="9"/>
  <c r="F715" i="9" s="1"/>
  <c r="E685" i="9"/>
  <c r="F685" i="9" s="1"/>
  <c r="E661" i="9"/>
  <c r="F661" i="9" s="1"/>
  <c r="E613" i="9"/>
  <c r="F613" i="9" s="1"/>
  <c r="E1236" i="9"/>
  <c r="F1236" i="9" s="1"/>
  <c r="E1212" i="9"/>
  <c r="F1212" i="9" s="1"/>
  <c r="E1182" i="9"/>
  <c r="E1164" i="9"/>
  <c r="E1140" i="9"/>
  <c r="F1140" i="9" s="1"/>
  <c r="E1116" i="9"/>
  <c r="F1116" i="9" s="1"/>
  <c r="E1092" i="9"/>
  <c r="F1092" i="9" s="1"/>
  <c r="E1068" i="9"/>
  <c r="F1068" i="9" s="1"/>
  <c r="E1044" i="9"/>
  <c r="F1044" i="9" s="1"/>
  <c r="E1020" i="9"/>
  <c r="F1020" i="9" s="1"/>
  <c r="E990" i="9"/>
  <c r="F990" i="9" s="1"/>
  <c r="E966" i="9"/>
  <c r="F966" i="9" s="1"/>
  <c r="E948" i="9"/>
  <c r="F948" i="9" s="1"/>
  <c r="E924" i="9"/>
  <c r="F924" i="9" s="1"/>
  <c r="E906" i="9"/>
  <c r="F906" i="9" s="1"/>
  <c r="E882" i="9"/>
  <c r="F882" i="9" s="1"/>
  <c r="E852" i="9"/>
  <c r="F852" i="9" s="1"/>
  <c r="E828" i="9"/>
  <c r="F828" i="9" s="1"/>
  <c r="E798" i="9"/>
  <c r="F798" i="9" s="1"/>
  <c r="E780" i="9"/>
  <c r="F780" i="9" s="1"/>
  <c r="E756" i="9"/>
  <c r="F756" i="9" s="1"/>
  <c r="E726" i="9"/>
  <c r="F726" i="9" s="1"/>
  <c r="E708" i="9"/>
  <c r="F708" i="9" s="1"/>
  <c r="E684" i="9"/>
  <c r="F684" i="9" s="1"/>
  <c r="E654" i="9"/>
  <c r="F654" i="9" s="1"/>
  <c r="E648" i="9"/>
  <c r="F648" i="9" s="1"/>
  <c r="E209" i="9"/>
  <c r="F209" i="9" s="1"/>
  <c r="E101" i="9"/>
  <c r="E1012" i="9"/>
  <c r="E1242" i="9"/>
  <c r="F1242" i="9" s="1"/>
  <c r="E1224" i="9"/>
  <c r="F1224" i="9" s="1"/>
  <c r="E1200" i="9"/>
  <c r="E1176" i="9"/>
  <c r="F1176" i="9" s="1"/>
  <c r="E1152" i="9"/>
  <c r="F1152" i="9" s="1"/>
  <c r="E1128" i="9"/>
  <c r="F1128" i="9" s="1"/>
  <c r="E1098" i="9"/>
  <c r="F1098" i="9" s="1"/>
  <c r="E1074" i="9"/>
  <c r="F1074" i="9" s="1"/>
  <c r="E1050" i="9"/>
  <c r="F1050" i="9" s="1"/>
  <c r="E1026" i="9"/>
  <c r="E1002" i="9"/>
  <c r="F1002" i="9" s="1"/>
  <c r="E978" i="9"/>
  <c r="F978" i="9" s="1"/>
  <c r="E960" i="9"/>
  <c r="F960" i="9" s="1"/>
  <c r="E936" i="9"/>
  <c r="F936" i="9" s="1"/>
  <c r="E912" i="9"/>
  <c r="F912" i="9" s="1"/>
  <c r="E888" i="9"/>
  <c r="F888" i="9" s="1"/>
  <c r="E864" i="9"/>
  <c r="F864" i="9" s="1"/>
  <c r="E840" i="9"/>
  <c r="F840" i="9" s="1"/>
  <c r="E816" i="9"/>
  <c r="F816" i="9" s="1"/>
  <c r="E792" i="9"/>
  <c r="E768" i="9"/>
  <c r="F768" i="9" s="1"/>
  <c r="E744" i="9"/>
  <c r="E720" i="9"/>
  <c r="E696" i="9"/>
  <c r="F696" i="9" s="1"/>
  <c r="E666" i="9"/>
  <c r="E630" i="9"/>
  <c r="F630" i="9" s="1"/>
  <c r="E1174" i="9"/>
  <c r="F1174" i="9" s="1"/>
  <c r="E1096" i="9"/>
  <c r="F1096" i="9" s="1"/>
  <c r="E1018" i="9"/>
  <c r="F1018" i="9" s="1"/>
  <c r="E1230" i="9"/>
  <c r="F1230" i="9" s="1"/>
  <c r="E1206" i="9"/>
  <c r="F1206" i="9" s="1"/>
  <c r="E1188" i="9"/>
  <c r="F1188" i="9" s="1"/>
  <c r="E1158" i="9"/>
  <c r="F1158" i="9" s="1"/>
  <c r="E1134" i="9"/>
  <c r="E1110" i="9"/>
  <c r="E1086" i="9"/>
  <c r="F1086" i="9" s="1"/>
  <c r="E1062" i="9"/>
  <c r="F1062" i="9" s="1"/>
  <c r="E1038" i="9"/>
  <c r="F1038" i="9" s="1"/>
  <c r="E1014" i="9"/>
  <c r="F1014" i="9" s="1"/>
  <c r="E996" i="9"/>
  <c r="F996" i="9" s="1"/>
  <c r="E972" i="9"/>
  <c r="F972" i="9" s="1"/>
  <c r="E942" i="9"/>
  <c r="F942" i="9" s="1"/>
  <c r="E918" i="9"/>
  <c r="F918" i="9" s="1"/>
  <c r="E894" i="9"/>
  <c r="F894" i="9" s="1"/>
  <c r="E870" i="9"/>
  <c r="F870" i="9" s="1"/>
  <c r="E846" i="9"/>
  <c r="E822" i="9"/>
  <c r="F822" i="9" s="1"/>
  <c r="E804" i="9"/>
  <c r="F804" i="9" s="1"/>
  <c r="E774" i="9"/>
  <c r="F774" i="9" s="1"/>
  <c r="E750" i="9"/>
  <c r="F750" i="9" s="1"/>
  <c r="E732" i="9"/>
  <c r="F732" i="9" s="1"/>
  <c r="E702" i="9"/>
  <c r="F702" i="9" s="1"/>
  <c r="E678" i="9"/>
  <c r="F678" i="9" s="1"/>
  <c r="E660" i="9"/>
  <c r="F660" i="9" s="1"/>
  <c r="E642" i="9"/>
  <c r="F642" i="9" s="1"/>
  <c r="E527" i="9"/>
  <c r="F527" i="9" s="1"/>
  <c r="E257" i="9"/>
  <c r="F257" i="9" s="1"/>
  <c r="E137" i="9"/>
  <c r="F137" i="9" s="1"/>
  <c r="E53" i="9"/>
  <c r="F53" i="9" s="1"/>
  <c r="E1084" i="9"/>
  <c r="E1030" i="9"/>
  <c r="F1030" i="9" s="1"/>
  <c r="E1248" i="9"/>
  <c r="F1248" i="9" s="1"/>
  <c r="E1218" i="9"/>
  <c r="F1218" i="9" s="1"/>
  <c r="E1194" i="9"/>
  <c r="F1194" i="9" s="1"/>
  <c r="E1170" i="9"/>
  <c r="F1170" i="9" s="1"/>
  <c r="E1146" i="9"/>
  <c r="F1146" i="9" s="1"/>
  <c r="E1122" i="9"/>
  <c r="F1122" i="9" s="1"/>
  <c r="E1104" i="9"/>
  <c r="E1080" i="9"/>
  <c r="E1056" i="9"/>
  <c r="E1032" i="9"/>
  <c r="E1008" i="9"/>
  <c r="F1008" i="9" s="1"/>
  <c r="E984" i="9"/>
  <c r="F984" i="9" s="1"/>
  <c r="E954" i="9"/>
  <c r="F954" i="9" s="1"/>
  <c r="E930" i="9"/>
  <c r="F930" i="9" s="1"/>
  <c r="E900" i="9"/>
  <c r="F900" i="9" s="1"/>
  <c r="E876" i="9"/>
  <c r="F876" i="9" s="1"/>
  <c r="E858" i="9"/>
  <c r="F858" i="9" s="1"/>
  <c r="E834" i="9"/>
  <c r="F834" i="9" s="1"/>
  <c r="E810" i="9"/>
  <c r="F810" i="9" s="1"/>
  <c r="E786" i="9"/>
  <c r="F786" i="9" s="1"/>
  <c r="E762" i="9"/>
  <c r="F762" i="9" s="1"/>
  <c r="E738" i="9"/>
  <c r="E714" i="9"/>
  <c r="E690" i="9"/>
  <c r="F690" i="9" s="1"/>
  <c r="E672" i="9"/>
  <c r="F672" i="9" s="1"/>
  <c r="E636" i="9"/>
  <c r="F636" i="9" s="1"/>
  <c r="E1072" i="9"/>
  <c r="F1072" i="9" s="1"/>
  <c r="E1024" i="9"/>
  <c r="F1024" i="9" s="1"/>
  <c r="E5" i="9"/>
  <c r="F5" i="9" s="1"/>
  <c r="E17" i="9"/>
  <c r="F17" i="9" s="1"/>
  <c r="E1342" i="9"/>
  <c r="E1324" i="9"/>
  <c r="F1324" i="9" s="1"/>
  <c r="E1300" i="9"/>
  <c r="E1282" i="9"/>
  <c r="F1282" i="9" s="1"/>
  <c r="E1270" i="9"/>
  <c r="F1270" i="9" s="1"/>
  <c r="E1258" i="9"/>
  <c r="F1258" i="9" s="1"/>
  <c r="E1240" i="9"/>
  <c r="E1222" i="9"/>
  <c r="F1222" i="9" s="1"/>
  <c r="E1210" i="9"/>
  <c r="F1210" i="9" s="1"/>
  <c r="E1198" i="9"/>
  <c r="F1198" i="9" s="1"/>
  <c r="E1180" i="9"/>
  <c r="F1180" i="9" s="1"/>
  <c r="E1150" i="9"/>
  <c r="F1150" i="9" s="1"/>
  <c r="E1078" i="9"/>
  <c r="F1078" i="9" s="1"/>
  <c r="E11" i="9"/>
  <c r="F11" i="9" s="1"/>
  <c r="E1336" i="9"/>
  <c r="F1336" i="9" s="1"/>
  <c r="E1318" i="9"/>
  <c r="F1318" i="9" s="1"/>
  <c r="E1306" i="9"/>
  <c r="F1306" i="9" s="1"/>
  <c r="E1294" i="9"/>
  <c r="F1294" i="9" s="1"/>
  <c r="E1276" i="9"/>
  <c r="E1252" i="9"/>
  <c r="F1252" i="9" s="1"/>
  <c r="E1228" i="9"/>
  <c r="F1228" i="9" s="1"/>
  <c r="E1204" i="9"/>
  <c r="F1204" i="9" s="1"/>
  <c r="E1186" i="9"/>
  <c r="F1186" i="9" s="1"/>
  <c r="E1168" i="9"/>
  <c r="F1168" i="9" s="1"/>
  <c r="E1156" i="9"/>
  <c r="F1156" i="9" s="1"/>
  <c r="E1138" i="9"/>
  <c r="F1138" i="9" s="1"/>
  <c r="E1126" i="9"/>
  <c r="E1114" i="9"/>
  <c r="E1090" i="9"/>
  <c r="E1348" i="9"/>
  <c r="F1348" i="9" s="1"/>
  <c r="E1330" i="9"/>
  <c r="F1330" i="9" s="1"/>
  <c r="E1312" i="9"/>
  <c r="F1312" i="9" s="1"/>
  <c r="E1288" i="9"/>
  <c r="F1288" i="9" s="1"/>
  <c r="E1264" i="9"/>
  <c r="F1264" i="9" s="1"/>
  <c r="E1246" i="9"/>
  <c r="F1246" i="9" s="1"/>
  <c r="E1234" i="9"/>
  <c r="F1234" i="9" s="1"/>
  <c r="E1216" i="9"/>
  <c r="F1216" i="9" s="1"/>
  <c r="E1192" i="9"/>
  <c r="F1192" i="9" s="1"/>
  <c r="E1162" i="9"/>
  <c r="E1144" i="9"/>
  <c r="E1132" i="9"/>
  <c r="F1132" i="9" s="1"/>
  <c r="E1120" i="9"/>
  <c r="F1120" i="9" s="1"/>
  <c r="E1108" i="9"/>
  <c r="F1108" i="9" s="1"/>
  <c r="E1102" i="9"/>
  <c r="F1102" i="9" s="1"/>
  <c r="E7" i="9"/>
  <c r="F7" i="9" s="1"/>
  <c r="E1344" i="9"/>
  <c r="F1344" i="9" s="1"/>
  <c r="E1332" i="9"/>
  <c r="F1332" i="9" s="1"/>
  <c r="E1320" i="9"/>
  <c r="F1320" i="9" s="1"/>
  <c r="E1302" i="9"/>
  <c r="E1290" i="9"/>
  <c r="F1290" i="9" s="1"/>
  <c r="E1278" i="9"/>
  <c r="E1266" i="9"/>
  <c r="F1266" i="9" s="1"/>
  <c r="E1254" i="9"/>
  <c r="E13" i="9"/>
  <c r="E1350" i="9"/>
  <c r="F1350" i="9" s="1"/>
  <c r="E1338" i="9"/>
  <c r="F1338" i="9" s="1"/>
  <c r="E1326" i="9"/>
  <c r="F1326" i="9" s="1"/>
  <c r="E1314" i="9"/>
  <c r="F1314" i="9" s="1"/>
  <c r="E1308" i="9"/>
  <c r="F1308" i="9" s="1"/>
  <c r="E1296" i="9"/>
  <c r="F1296" i="9" s="1"/>
  <c r="E1284" i="9"/>
  <c r="E1272" i="9"/>
  <c r="F1272" i="9" s="1"/>
  <c r="E1260" i="9"/>
  <c r="E1066" i="9"/>
  <c r="E1060" i="9"/>
  <c r="E1054" i="9"/>
  <c r="E1048" i="9"/>
  <c r="F1048" i="9" s="1"/>
  <c r="E1036" i="9"/>
  <c r="F1036" i="9" s="1"/>
  <c r="E1006" i="9"/>
  <c r="F1006" i="9" s="1"/>
  <c r="E1000" i="9"/>
  <c r="F1000" i="9" s="1"/>
  <c r="E994" i="9"/>
  <c r="F994" i="9" s="1"/>
  <c r="E988" i="9"/>
  <c r="F988" i="9" s="1"/>
  <c r="E982" i="9"/>
  <c r="F982" i="9" s="1"/>
  <c r="E976" i="9"/>
  <c r="F976" i="9" s="1"/>
  <c r="E970" i="9"/>
  <c r="F970" i="9" s="1"/>
  <c r="E964" i="9"/>
  <c r="E958" i="9"/>
  <c r="E952" i="9"/>
  <c r="F952" i="9" s="1"/>
  <c r="E946" i="9"/>
  <c r="F946" i="9" s="1"/>
  <c r="E940" i="9"/>
  <c r="F940" i="9" s="1"/>
  <c r="E934" i="9"/>
  <c r="F934" i="9" s="1"/>
  <c r="E928" i="9"/>
  <c r="F928" i="9" s="1"/>
  <c r="E922" i="9"/>
  <c r="F922" i="9" s="1"/>
  <c r="E916" i="9"/>
  <c r="F916" i="9" s="1"/>
  <c r="E910" i="9"/>
  <c r="F910" i="9" s="1"/>
  <c r="E904" i="9"/>
  <c r="F904" i="9" s="1"/>
  <c r="E898" i="9"/>
  <c r="F898" i="9" s="1"/>
  <c r="E892" i="9"/>
  <c r="F892" i="9" s="1"/>
  <c r="E886" i="9"/>
  <c r="E880" i="9"/>
  <c r="F880" i="9" s="1"/>
  <c r="E874" i="9"/>
  <c r="F874" i="9" s="1"/>
  <c r="E868" i="9"/>
  <c r="F868" i="9" s="1"/>
  <c r="E862" i="9"/>
  <c r="F862" i="9" s="1"/>
  <c r="E856" i="9"/>
  <c r="F856" i="9" s="1"/>
  <c r="E850" i="9"/>
  <c r="F850" i="9" s="1"/>
  <c r="E844" i="9"/>
  <c r="F844" i="9" s="1"/>
  <c r="E838" i="9"/>
  <c r="F838" i="9" s="1"/>
  <c r="E832" i="9"/>
  <c r="F832" i="9" s="1"/>
  <c r="E826" i="9"/>
  <c r="E820" i="9"/>
  <c r="F820" i="9" s="1"/>
  <c r="E814" i="9"/>
  <c r="E808" i="9"/>
  <c r="F808" i="9" s="1"/>
  <c r="E802" i="9"/>
  <c r="F802" i="9" s="1"/>
  <c r="E796" i="9"/>
  <c r="F796" i="9" s="1"/>
  <c r="E790" i="9"/>
  <c r="F790" i="9" s="1"/>
  <c r="E784" i="9"/>
  <c r="F784" i="9" s="1"/>
  <c r="E778" i="9"/>
  <c r="F778" i="9" s="1"/>
  <c r="E772" i="9"/>
  <c r="F772" i="9" s="1"/>
  <c r="E766" i="9"/>
  <c r="F766" i="9" s="1"/>
  <c r="E760" i="9"/>
  <c r="F760" i="9" s="1"/>
  <c r="E754" i="9"/>
  <c r="E748" i="9"/>
  <c r="E742" i="9"/>
  <c r="E736" i="9"/>
  <c r="E730" i="9"/>
  <c r="F730" i="9" s="1"/>
  <c r="E724" i="9"/>
  <c r="F724" i="9" s="1"/>
  <c r="E718" i="9"/>
  <c r="F718" i="9" s="1"/>
  <c r="E712" i="9"/>
  <c r="F712" i="9" s="1"/>
  <c r="E706" i="9"/>
  <c r="F706" i="9" s="1"/>
  <c r="E700" i="9"/>
  <c r="F700" i="9" s="1"/>
  <c r="E694" i="9"/>
  <c r="F694" i="9" s="1"/>
  <c r="E688" i="9"/>
  <c r="F688" i="9" s="1"/>
  <c r="E682" i="9"/>
  <c r="F682" i="9" s="1"/>
  <c r="E676" i="9"/>
  <c r="F676" i="9" s="1"/>
  <c r="E670" i="9"/>
  <c r="F670" i="9" s="1"/>
  <c r="E664" i="9"/>
  <c r="F664" i="9" s="1"/>
  <c r="E658" i="9"/>
  <c r="F658" i="9" s="1"/>
  <c r="E652" i="9"/>
  <c r="F652" i="9" s="1"/>
  <c r="E646" i="9"/>
  <c r="F646" i="9" s="1"/>
  <c r="E640" i="9"/>
  <c r="F640" i="9" s="1"/>
  <c r="E634" i="9"/>
  <c r="F634" i="9" s="1"/>
  <c r="E628" i="9"/>
  <c r="F628" i="9" s="1"/>
  <c r="E622" i="9"/>
  <c r="F622" i="9" s="1"/>
  <c r="E616" i="9"/>
  <c r="F616" i="9" s="1"/>
  <c r="E610" i="9"/>
  <c r="F610" i="9" s="1"/>
  <c r="E604" i="9"/>
  <c r="F604" i="9" s="1"/>
  <c r="E598" i="9"/>
  <c r="F598" i="9" s="1"/>
  <c r="E592" i="9"/>
  <c r="E586" i="9"/>
  <c r="F586" i="9" s="1"/>
  <c r="E580" i="9"/>
  <c r="F580" i="9" s="1"/>
  <c r="E574" i="9"/>
  <c r="F574" i="9" s="1"/>
  <c r="E568" i="9"/>
  <c r="F568" i="9" s="1"/>
  <c r="E562" i="9"/>
  <c r="F562" i="9" s="1"/>
  <c r="E556" i="9"/>
  <c r="F556" i="9" s="1"/>
  <c r="E550" i="9"/>
  <c r="E544" i="9"/>
  <c r="F544" i="9" s="1"/>
  <c r="E538" i="9"/>
  <c r="F538" i="9" s="1"/>
  <c r="E532" i="9"/>
  <c r="F532" i="9" s="1"/>
  <c r="E16" i="9"/>
  <c r="E1341" i="9"/>
  <c r="E1305" i="9"/>
  <c r="F1305" i="9" s="1"/>
  <c r="E1275" i="9"/>
  <c r="F1275" i="9" s="1"/>
  <c r="E1245" i="9"/>
  <c r="F1245" i="9" s="1"/>
  <c r="E1221" i="9"/>
  <c r="F1221" i="9" s="1"/>
  <c r="E1197" i="9"/>
  <c r="F1197" i="9" s="1"/>
  <c r="E1173" i="9"/>
  <c r="F1173" i="9" s="1"/>
  <c r="E1143" i="9"/>
  <c r="F1143" i="9" s="1"/>
  <c r="E1119" i="9"/>
  <c r="F1119" i="9" s="1"/>
  <c r="E1095" i="9"/>
  <c r="F1095" i="9" s="1"/>
  <c r="E1065" i="9"/>
  <c r="E1041" i="9"/>
  <c r="E1017" i="9"/>
  <c r="E993" i="9"/>
  <c r="F993" i="9" s="1"/>
  <c r="E969" i="9"/>
  <c r="F969" i="9" s="1"/>
  <c r="E945" i="9"/>
  <c r="F945" i="9" s="1"/>
  <c r="E933" i="9"/>
  <c r="F933" i="9" s="1"/>
  <c r="E921" i="9"/>
  <c r="F921" i="9" s="1"/>
  <c r="E909" i="9"/>
  <c r="F909" i="9" s="1"/>
  <c r="E897" i="9"/>
  <c r="F897" i="9" s="1"/>
  <c r="E885" i="9"/>
  <c r="F885" i="9" s="1"/>
  <c r="E861" i="9"/>
  <c r="E855" i="9"/>
  <c r="E843" i="9"/>
  <c r="E837" i="9"/>
  <c r="E831" i="9"/>
  <c r="F831" i="9" s="1"/>
  <c r="E825" i="9"/>
  <c r="F825" i="9" s="1"/>
  <c r="E819" i="9"/>
  <c r="F819" i="9" s="1"/>
  <c r="E813" i="9"/>
  <c r="F813" i="9" s="1"/>
  <c r="E807" i="9"/>
  <c r="F807" i="9" s="1"/>
  <c r="E795" i="9"/>
  <c r="F795" i="9" s="1"/>
  <c r="E789" i="9"/>
  <c r="F789" i="9" s="1"/>
  <c r="E783" i="9"/>
  <c r="F783" i="9" s="1"/>
  <c r="E777" i="9"/>
  <c r="E771" i="9"/>
  <c r="F771" i="9" s="1"/>
  <c r="E765" i="9"/>
  <c r="E759" i="9"/>
  <c r="F759" i="9" s="1"/>
  <c r="E753" i="9"/>
  <c r="F753" i="9" s="1"/>
  <c r="E747" i="9"/>
  <c r="F747" i="9" s="1"/>
  <c r="E741" i="9"/>
  <c r="F741" i="9" s="1"/>
  <c r="E735" i="9"/>
  <c r="F735" i="9" s="1"/>
  <c r="E1347" i="9"/>
  <c r="F1347" i="9" s="1"/>
  <c r="E1317" i="9"/>
  <c r="F1317" i="9" s="1"/>
  <c r="E1299" i="9"/>
  <c r="F1299" i="9" s="1"/>
  <c r="E1281" i="9"/>
  <c r="F1281" i="9" s="1"/>
  <c r="E1257" i="9"/>
  <c r="E1233" i="9"/>
  <c r="F1233" i="9" s="1"/>
  <c r="E1209" i="9"/>
  <c r="E1179" i="9"/>
  <c r="F1179" i="9" s="1"/>
  <c r="E1161" i="9"/>
  <c r="F1161" i="9" s="1"/>
  <c r="E1131" i="9"/>
  <c r="F1131" i="9" s="1"/>
  <c r="E1107" i="9"/>
  <c r="F1107" i="9" s="1"/>
  <c r="E1077" i="9"/>
  <c r="F1077" i="9" s="1"/>
  <c r="E1053" i="9"/>
  <c r="F1053" i="9" s="1"/>
  <c r="E1029" i="9"/>
  <c r="F1029" i="9" s="1"/>
  <c r="E1011" i="9"/>
  <c r="F1011" i="9" s="1"/>
  <c r="E981" i="9"/>
  <c r="F981" i="9" s="1"/>
  <c r="E963" i="9"/>
  <c r="F963" i="9" s="1"/>
  <c r="E939" i="9"/>
  <c r="F939" i="9" s="1"/>
  <c r="E927" i="9"/>
  <c r="E915" i="9"/>
  <c r="E903" i="9"/>
  <c r="F903" i="9" s="1"/>
  <c r="E891" i="9"/>
  <c r="F891" i="9" s="1"/>
  <c r="E879" i="9"/>
  <c r="F879" i="9" s="1"/>
  <c r="E849" i="9"/>
  <c r="F849" i="9" s="1"/>
  <c r="E801" i="9"/>
  <c r="F801" i="9" s="1"/>
  <c r="E1042" i="9"/>
  <c r="F1042" i="9" s="1"/>
  <c r="E10" i="9"/>
  <c r="E1335" i="9"/>
  <c r="F1335" i="9" s="1"/>
  <c r="E1311" i="9"/>
  <c r="E1287" i="9"/>
  <c r="F1287" i="9" s="1"/>
  <c r="E1263" i="9"/>
  <c r="E1239" i="9"/>
  <c r="F1239" i="9" s="1"/>
  <c r="E1215" i="9"/>
  <c r="F1215" i="9" s="1"/>
  <c r="E1191" i="9"/>
  <c r="F1191" i="9" s="1"/>
  <c r="E1167" i="9"/>
  <c r="F1167" i="9" s="1"/>
  <c r="E1149" i="9"/>
  <c r="F1149" i="9" s="1"/>
  <c r="E1137" i="9"/>
  <c r="F1137" i="9" s="1"/>
  <c r="E1113" i="9"/>
  <c r="F1113" i="9" s="1"/>
  <c r="E1089" i="9"/>
  <c r="F1089" i="9" s="1"/>
  <c r="E1071" i="9"/>
  <c r="F1071" i="9" s="1"/>
  <c r="E1047" i="9"/>
  <c r="E1023" i="9"/>
  <c r="F1023" i="9" s="1"/>
  <c r="E999" i="9"/>
  <c r="E975" i="9"/>
  <c r="F975" i="9" s="1"/>
  <c r="E951" i="9"/>
  <c r="F951" i="9" s="1"/>
  <c r="E873" i="9"/>
  <c r="F873" i="9" s="1"/>
  <c r="E1353" i="9"/>
  <c r="F1353" i="9" s="1"/>
  <c r="E1323" i="9"/>
  <c r="F1323" i="9" s="1"/>
  <c r="E1293" i="9"/>
  <c r="F1293" i="9" s="1"/>
  <c r="E1269" i="9"/>
  <c r="F1269" i="9" s="1"/>
  <c r="E1251" i="9"/>
  <c r="F1251" i="9" s="1"/>
  <c r="E1227" i="9"/>
  <c r="F1227" i="9" s="1"/>
  <c r="E1203" i="9"/>
  <c r="E1185" i="9"/>
  <c r="E1155" i="9"/>
  <c r="E1125" i="9"/>
  <c r="F1125" i="9" s="1"/>
  <c r="E1101" i="9"/>
  <c r="F1101" i="9" s="1"/>
  <c r="E1083" i="9"/>
  <c r="F1083" i="9" s="1"/>
  <c r="E1059" i="9"/>
  <c r="F1059" i="9" s="1"/>
  <c r="E1035" i="9"/>
  <c r="F1035" i="9" s="1"/>
  <c r="E1005" i="9"/>
  <c r="F1005" i="9" s="1"/>
  <c r="E987" i="9"/>
  <c r="F987" i="9" s="1"/>
  <c r="E957" i="9"/>
  <c r="F957" i="9" s="1"/>
  <c r="E867" i="9"/>
  <c r="F867" i="9" s="1"/>
  <c r="E1329" i="9"/>
  <c r="E526" i="9"/>
  <c r="F526" i="9" s="1"/>
  <c r="E520" i="9"/>
  <c r="E514" i="9"/>
  <c r="F514" i="9" s="1"/>
  <c r="E508" i="9"/>
  <c r="F508" i="9" s="1"/>
  <c r="E502" i="9"/>
  <c r="F502" i="9" s="1"/>
  <c r="E496" i="9"/>
  <c r="F496" i="9" s="1"/>
  <c r="E490" i="9"/>
  <c r="F490" i="9" s="1"/>
  <c r="E484" i="9"/>
  <c r="F484" i="9" s="1"/>
  <c r="E478" i="9"/>
  <c r="F478" i="9" s="1"/>
  <c r="E472" i="9"/>
  <c r="F472" i="9" s="1"/>
  <c r="E466" i="9"/>
  <c r="F466" i="9" s="1"/>
  <c r="E460" i="9"/>
  <c r="F460" i="9" s="1"/>
  <c r="E454" i="9"/>
  <c r="F454" i="9" s="1"/>
  <c r="E448" i="9"/>
  <c r="F448" i="9" s="1"/>
  <c r="E442" i="9"/>
  <c r="F442" i="9" s="1"/>
  <c r="E436" i="9"/>
  <c r="F436" i="9" s="1"/>
  <c r="E430" i="9"/>
  <c r="F430" i="9" s="1"/>
  <c r="E424" i="9"/>
  <c r="F424" i="9" s="1"/>
  <c r="E418" i="9"/>
  <c r="F418" i="9" s="1"/>
  <c r="E412" i="9"/>
  <c r="F412" i="9" s="1"/>
  <c r="E406" i="9"/>
  <c r="F406" i="9" s="1"/>
  <c r="E400" i="9"/>
  <c r="F400" i="9" s="1"/>
  <c r="E394" i="9"/>
  <c r="F394" i="9" s="1"/>
  <c r="E388" i="9"/>
  <c r="E382" i="9"/>
  <c r="F382" i="9" s="1"/>
  <c r="E376" i="9"/>
  <c r="F376" i="9" s="1"/>
  <c r="E370" i="9"/>
  <c r="F370" i="9" s="1"/>
  <c r="E364" i="9"/>
  <c r="F364" i="9" s="1"/>
  <c r="E358" i="9"/>
  <c r="F358" i="9" s="1"/>
  <c r="E352" i="9"/>
  <c r="F352" i="9" s="1"/>
  <c r="E346" i="9"/>
  <c r="F346" i="9" s="1"/>
  <c r="E340" i="9"/>
  <c r="F340" i="9" s="1"/>
  <c r="E334" i="9"/>
  <c r="F334" i="9" s="1"/>
  <c r="E328" i="9"/>
  <c r="F328" i="9" s="1"/>
  <c r="E322" i="9"/>
  <c r="F322" i="9" s="1"/>
  <c r="E316" i="9"/>
  <c r="E310" i="9"/>
  <c r="E304" i="9"/>
  <c r="F304" i="9" s="1"/>
  <c r="E298" i="9"/>
  <c r="F298" i="9" s="1"/>
  <c r="E292" i="9"/>
  <c r="F292" i="9" s="1"/>
  <c r="E286" i="9"/>
  <c r="F286" i="9" s="1"/>
  <c r="E280" i="9"/>
  <c r="F280" i="9" s="1"/>
  <c r="E274" i="9"/>
  <c r="F274" i="9" s="1"/>
  <c r="E268" i="9"/>
  <c r="F268" i="9" s="1"/>
  <c r="E262" i="9"/>
  <c r="F262" i="9" s="1"/>
  <c r="E256" i="9"/>
  <c r="F256" i="9" s="1"/>
  <c r="E250" i="9"/>
  <c r="F250" i="9" s="1"/>
  <c r="E244" i="9"/>
  <c r="E238" i="9"/>
  <c r="E232" i="9"/>
  <c r="F232" i="9" s="1"/>
  <c r="E226" i="9"/>
  <c r="F226" i="9" s="1"/>
  <c r="E220" i="9"/>
  <c r="F220" i="9" s="1"/>
  <c r="E214" i="9"/>
  <c r="F214" i="9" s="1"/>
  <c r="E208" i="9"/>
  <c r="F208" i="9" s="1"/>
  <c r="E202" i="9"/>
  <c r="F202" i="9" s="1"/>
  <c r="E196" i="9"/>
  <c r="F196" i="9" s="1"/>
  <c r="E190" i="9"/>
  <c r="F190" i="9" s="1"/>
  <c r="E184" i="9"/>
  <c r="F184" i="9" s="1"/>
  <c r="E178" i="9"/>
  <c r="F178" i="9" s="1"/>
  <c r="E172" i="9"/>
  <c r="E166" i="9"/>
  <c r="F166" i="9" s="1"/>
  <c r="E160" i="9"/>
  <c r="E154" i="9"/>
  <c r="E148" i="9"/>
  <c r="F148" i="9" s="1"/>
  <c r="E142" i="9"/>
  <c r="F142" i="9" s="1"/>
  <c r="E136" i="9"/>
  <c r="F136" i="9" s="1"/>
  <c r="E130" i="9"/>
  <c r="F130" i="9" s="1"/>
  <c r="E124" i="9"/>
  <c r="F124" i="9" s="1"/>
  <c r="E118" i="9"/>
  <c r="F118" i="9" s="1"/>
  <c r="E112" i="9"/>
  <c r="E106" i="9"/>
  <c r="F106" i="9" s="1"/>
  <c r="E100" i="9"/>
  <c r="E94" i="9"/>
  <c r="E88" i="9"/>
  <c r="E82" i="9"/>
  <c r="F82" i="9" s="1"/>
  <c r="E76" i="9"/>
  <c r="F76" i="9" s="1"/>
  <c r="E70" i="9"/>
  <c r="F70" i="9" s="1"/>
  <c r="E64" i="9"/>
  <c r="F64" i="9" s="1"/>
  <c r="E58" i="9"/>
  <c r="F58" i="9" s="1"/>
  <c r="E52" i="9"/>
  <c r="F52" i="9" s="1"/>
  <c r="E46" i="9"/>
  <c r="F46" i="9" s="1"/>
  <c r="E40" i="9"/>
  <c r="F40" i="9" s="1"/>
  <c r="E34" i="9"/>
  <c r="F34" i="9" s="1"/>
  <c r="E28" i="9"/>
  <c r="E22" i="9"/>
  <c r="E729" i="9"/>
  <c r="F729" i="9" s="1"/>
  <c r="E723" i="9"/>
  <c r="F723" i="9" s="1"/>
  <c r="E717" i="9"/>
  <c r="F717" i="9" s="1"/>
  <c r="E711" i="9"/>
  <c r="F711" i="9" s="1"/>
  <c r="E705" i="9"/>
  <c r="F705" i="9" s="1"/>
  <c r="E699" i="9"/>
  <c r="F699" i="9" s="1"/>
  <c r="E693" i="9"/>
  <c r="F693" i="9" s="1"/>
  <c r="E687" i="9"/>
  <c r="F687" i="9" s="1"/>
  <c r="E681" i="9"/>
  <c r="E675" i="9"/>
  <c r="F675" i="9" s="1"/>
  <c r="E669" i="9"/>
  <c r="E663" i="9"/>
  <c r="F663" i="9" s="1"/>
  <c r="E657" i="9"/>
  <c r="F657" i="9" s="1"/>
  <c r="E651" i="9"/>
  <c r="F651" i="9" s="1"/>
  <c r="E603" i="9"/>
  <c r="F603" i="9" s="1"/>
  <c r="E591" i="9"/>
  <c r="F591" i="9" s="1"/>
  <c r="E579" i="9"/>
  <c r="F579" i="9" s="1"/>
  <c r="E567" i="9"/>
  <c r="F567" i="9" s="1"/>
  <c r="E555" i="9"/>
  <c r="F555" i="9" s="1"/>
  <c r="E543" i="9"/>
  <c r="F543" i="9" s="1"/>
  <c r="E531" i="9"/>
  <c r="E519" i="9"/>
  <c r="F519" i="9" s="1"/>
  <c r="E507" i="9"/>
  <c r="E495" i="9"/>
  <c r="F495" i="9" s="1"/>
  <c r="E483" i="9"/>
  <c r="F483" i="9" s="1"/>
  <c r="E471" i="9"/>
  <c r="E459" i="9"/>
  <c r="F459" i="9" s="1"/>
  <c r="E447" i="9"/>
  <c r="F447" i="9" s="1"/>
  <c r="E435" i="9"/>
  <c r="F435" i="9" s="1"/>
  <c r="E423" i="9"/>
  <c r="F423" i="9" s="1"/>
  <c r="E411" i="9"/>
  <c r="F411" i="9" s="1"/>
  <c r="E399" i="9"/>
  <c r="F399" i="9" s="1"/>
  <c r="E387" i="9"/>
  <c r="E375" i="9"/>
  <c r="F375" i="9" s="1"/>
  <c r="E363" i="9"/>
  <c r="F363" i="9" s="1"/>
  <c r="E607" i="9"/>
  <c r="F607" i="9" s="1"/>
  <c r="E601" i="9"/>
  <c r="F601" i="9" s="1"/>
  <c r="E595" i="9"/>
  <c r="F595" i="9" s="1"/>
  <c r="E589" i="9"/>
  <c r="F589" i="9" s="1"/>
  <c r="E583" i="9"/>
  <c r="F583" i="9" s="1"/>
  <c r="E577" i="9"/>
  <c r="F577" i="9" s="1"/>
  <c r="E571" i="9"/>
  <c r="F571" i="9" s="1"/>
  <c r="E565" i="9"/>
  <c r="F565" i="9" s="1"/>
  <c r="E559" i="9"/>
  <c r="F559" i="9" s="1"/>
  <c r="E553" i="9"/>
  <c r="F553" i="9" s="1"/>
  <c r="E547" i="9"/>
  <c r="F547" i="9" s="1"/>
  <c r="E541" i="9"/>
  <c r="E535" i="9"/>
  <c r="E277" i="9"/>
  <c r="E181" i="9"/>
  <c r="F181" i="9" s="1"/>
  <c r="E73" i="9"/>
  <c r="F73" i="9" s="1"/>
  <c r="E49" i="9"/>
  <c r="F49" i="9" s="1"/>
  <c r="E138" i="9"/>
  <c r="F138" i="9" s="1"/>
  <c r="E1223" i="9"/>
  <c r="F1223" i="9" s="1"/>
  <c r="E1187" i="9"/>
  <c r="F1187" i="9" s="1"/>
  <c r="E1151" i="9"/>
  <c r="F1151" i="9" s="1"/>
  <c r="E1115" i="9"/>
  <c r="F1115" i="9" s="1"/>
  <c r="E1079" i="9"/>
  <c r="F1079" i="9" s="1"/>
  <c r="E1067" i="9"/>
  <c r="E1043" i="9"/>
  <c r="E1031" i="9"/>
  <c r="E1007" i="9"/>
  <c r="F1007" i="9" s="1"/>
  <c r="E995" i="9"/>
  <c r="F995" i="9" s="1"/>
  <c r="E959" i="9"/>
  <c r="F959" i="9" s="1"/>
  <c r="E935" i="9"/>
  <c r="F935" i="9" s="1"/>
  <c r="E923" i="9"/>
  <c r="F923" i="9" s="1"/>
  <c r="E899" i="9"/>
  <c r="F899" i="9" s="1"/>
  <c r="E887" i="9"/>
  <c r="F887" i="9" s="1"/>
  <c r="E863" i="9"/>
  <c r="F863" i="9" s="1"/>
  <c r="E851" i="9"/>
  <c r="F851" i="9" s="1"/>
  <c r="E827" i="9"/>
  <c r="F827" i="9" s="1"/>
  <c r="E815" i="9"/>
  <c r="F815" i="9" s="1"/>
  <c r="E791" i="9"/>
  <c r="E779" i="9"/>
  <c r="F779" i="9" s="1"/>
  <c r="E743" i="9"/>
  <c r="F743" i="9" s="1"/>
  <c r="E707" i="9"/>
  <c r="F707" i="9" s="1"/>
  <c r="E683" i="9"/>
  <c r="F683" i="9" s="1"/>
  <c r="E671" i="9"/>
  <c r="F671" i="9" s="1"/>
  <c r="E647" i="9"/>
  <c r="F647" i="9" s="1"/>
  <c r="E635" i="9"/>
  <c r="F635" i="9" s="1"/>
  <c r="E611" i="9"/>
  <c r="F611" i="9" s="1"/>
  <c r="E515" i="9"/>
  <c r="F515" i="9" s="1"/>
  <c r="E467" i="9"/>
  <c r="F467" i="9" s="1"/>
  <c r="E371" i="9"/>
  <c r="E329" i="9"/>
  <c r="E317" i="9"/>
  <c r="F317" i="9" s="1"/>
  <c r="E293" i="9"/>
  <c r="F293" i="9" s="1"/>
  <c r="E281" i="9"/>
  <c r="F281" i="9" s="1"/>
  <c r="E269" i="9"/>
  <c r="F269" i="9" s="1"/>
  <c r="E245" i="9"/>
  <c r="F245" i="9" s="1"/>
  <c r="E233" i="9"/>
  <c r="F233" i="9" s="1"/>
  <c r="E221" i="9"/>
  <c r="F221" i="9" s="1"/>
  <c r="E197" i="9"/>
  <c r="F197" i="9" s="1"/>
  <c r="E185" i="9"/>
  <c r="F185" i="9" s="1"/>
  <c r="E161" i="9"/>
  <c r="F161" i="9" s="1"/>
  <c r="E149" i="9"/>
  <c r="F149" i="9" s="1"/>
  <c r="E125" i="9"/>
  <c r="F125" i="9" s="1"/>
  <c r="E113" i="9"/>
  <c r="F113" i="9" s="1"/>
  <c r="E89" i="9"/>
  <c r="F89" i="9" s="1"/>
  <c r="E77" i="9"/>
  <c r="F77" i="9" s="1"/>
  <c r="E41" i="9"/>
  <c r="F41" i="9" s="1"/>
  <c r="E23" i="9"/>
  <c r="F23" i="9" s="1"/>
  <c r="E15" i="9"/>
  <c r="F15" i="9" s="1"/>
  <c r="E9" i="9"/>
  <c r="F9" i="9" s="1"/>
  <c r="E1352" i="9"/>
  <c r="F1352" i="9" s="1"/>
  <c r="E1346" i="9"/>
  <c r="F1346" i="9" s="1"/>
  <c r="E1340" i="9"/>
  <c r="F1340" i="9" s="1"/>
  <c r="E1334" i="9"/>
  <c r="E1328" i="9"/>
  <c r="E1322" i="9"/>
  <c r="F1322" i="9" s="1"/>
  <c r="E1316" i="9"/>
  <c r="F1316" i="9" s="1"/>
  <c r="E1310" i="9"/>
  <c r="F1310" i="9" s="1"/>
  <c r="E1304" i="9"/>
  <c r="F1304" i="9" s="1"/>
  <c r="E1298" i="9"/>
  <c r="F1298" i="9" s="1"/>
  <c r="E1292" i="9"/>
  <c r="F1292" i="9" s="1"/>
  <c r="E1286" i="9"/>
  <c r="F1286" i="9" s="1"/>
  <c r="E1280" i="9"/>
  <c r="F1280" i="9" s="1"/>
  <c r="E1274" i="9"/>
  <c r="F1274" i="9" s="1"/>
  <c r="E1268" i="9"/>
  <c r="E1262" i="9"/>
  <c r="F1262" i="9" s="1"/>
  <c r="E1256" i="9"/>
  <c r="F1256" i="9" s="1"/>
  <c r="E1250" i="9"/>
  <c r="F1250" i="9" s="1"/>
  <c r="E1244" i="9"/>
  <c r="F1244" i="9" s="1"/>
  <c r="E1238" i="9"/>
  <c r="F1238" i="9" s="1"/>
  <c r="E1232" i="9"/>
  <c r="F1232" i="9" s="1"/>
  <c r="E1226" i="9"/>
  <c r="F1226" i="9" s="1"/>
  <c r="E1220" i="9"/>
  <c r="F1220" i="9" s="1"/>
  <c r="E1214" i="9"/>
  <c r="F1214" i="9" s="1"/>
  <c r="E1208" i="9"/>
  <c r="F1208" i="9" s="1"/>
  <c r="E1202" i="9"/>
  <c r="F1202" i="9" s="1"/>
  <c r="E1196" i="9"/>
  <c r="E1190" i="9"/>
  <c r="F1190" i="9" s="1"/>
  <c r="E1184" i="9"/>
  <c r="F1184" i="9" s="1"/>
  <c r="E1178" i="9"/>
  <c r="F1178" i="9" s="1"/>
  <c r="E1172" i="9"/>
  <c r="F1172" i="9" s="1"/>
  <c r="E1166" i="9"/>
  <c r="F1166" i="9" s="1"/>
  <c r="E1160" i="9"/>
  <c r="F1160" i="9" s="1"/>
  <c r="E1154" i="9"/>
  <c r="F1154" i="9" s="1"/>
  <c r="E1148" i="9"/>
  <c r="F1148" i="9" s="1"/>
  <c r="E1142" i="9"/>
  <c r="F1142" i="9" s="1"/>
  <c r="E1136" i="9"/>
  <c r="F1136" i="9" s="1"/>
  <c r="E1130" i="9"/>
  <c r="F1130" i="9" s="1"/>
  <c r="E1124" i="9"/>
  <c r="F1124" i="9" s="1"/>
  <c r="E1118" i="9"/>
  <c r="F1118" i="9" s="1"/>
  <c r="E1112" i="9"/>
  <c r="E1106" i="9"/>
  <c r="F1106" i="9" s="1"/>
  <c r="E1100" i="9"/>
  <c r="F1100" i="9" s="1"/>
  <c r="E1094" i="9"/>
  <c r="F1094" i="9" s="1"/>
  <c r="E1088" i="9"/>
  <c r="F1088" i="9" s="1"/>
  <c r="E1082" i="9"/>
  <c r="F1082" i="9" s="1"/>
  <c r="E1076" i="9"/>
  <c r="F1076" i="9" s="1"/>
  <c r="E1070" i="9"/>
  <c r="F1070" i="9" s="1"/>
  <c r="E1064" i="9"/>
  <c r="F1064" i="9" s="1"/>
  <c r="E1058" i="9"/>
  <c r="F1058" i="9" s="1"/>
  <c r="E1052" i="9"/>
  <c r="E1046" i="9"/>
  <c r="F1046" i="9" s="1"/>
  <c r="E1040" i="9"/>
  <c r="F1040" i="9" s="1"/>
  <c r="E1034" i="9"/>
  <c r="F1034" i="9" s="1"/>
  <c r="E1028" i="9"/>
  <c r="F1028" i="9" s="1"/>
  <c r="E1022" i="9"/>
  <c r="F1022" i="9" s="1"/>
  <c r="E1016" i="9"/>
  <c r="F1016" i="9" s="1"/>
  <c r="E1010" i="9"/>
  <c r="F1010" i="9" s="1"/>
  <c r="E1004" i="9"/>
  <c r="F1004" i="9" s="1"/>
  <c r="E998" i="9"/>
  <c r="F998" i="9" s="1"/>
  <c r="E351" i="9"/>
  <c r="F351" i="9" s="1"/>
  <c r="E339" i="9"/>
  <c r="F339" i="9" s="1"/>
  <c r="E333" i="9"/>
  <c r="E327" i="9"/>
  <c r="F327" i="9" s="1"/>
  <c r="E321" i="9"/>
  <c r="E315" i="9"/>
  <c r="F315" i="9" s="1"/>
  <c r="E309" i="9"/>
  <c r="F309" i="9" s="1"/>
  <c r="E303" i="9"/>
  <c r="F303" i="9" s="1"/>
  <c r="E297" i="9"/>
  <c r="F297" i="9" s="1"/>
  <c r="E291" i="9"/>
  <c r="F291" i="9" s="1"/>
  <c r="E285" i="9"/>
  <c r="F285" i="9" s="1"/>
  <c r="E279" i="9"/>
  <c r="F279" i="9" s="1"/>
  <c r="E273" i="9"/>
  <c r="F273" i="9" s="1"/>
  <c r="E267" i="9"/>
  <c r="F267" i="9" s="1"/>
  <c r="E261" i="9"/>
  <c r="E255" i="9"/>
  <c r="E249" i="9"/>
  <c r="F249" i="9" s="1"/>
  <c r="E243" i="9"/>
  <c r="F243" i="9" s="1"/>
  <c r="E237" i="9"/>
  <c r="F237" i="9" s="1"/>
  <c r="E231" i="9"/>
  <c r="F231" i="9" s="1"/>
  <c r="E225" i="9"/>
  <c r="F225" i="9" s="1"/>
  <c r="E219" i="9"/>
  <c r="F219" i="9" s="1"/>
  <c r="E213" i="9"/>
  <c r="F213" i="9" s="1"/>
  <c r="E207" i="9"/>
  <c r="F207" i="9" s="1"/>
  <c r="E201" i="9"/>
  <c r="F201" i="9" s="1"/>
  <c r="E195" i="9"/>
  <c r="F195" i="9" s="1"/>
  <c r="E189" i="9"/>
  <c r="E183" i="9"/>
  <c r="E177" i="9"/>
  <c r="F177" i="9" s="1"/>
  <c r="E171" i="9"/>
  <c r="F171" i="9" s="1"/>
  <c r="E165" i="9"/>
  <c r="F165" i="9" s="1"/>
  <c r="E159" i="9"/>
  <c r="F159" i="9" s="1"/>
  <c r="E153" i="9"/>
  <c r="F153" i="9" s="1"/>
  <c r="E147" i="9"/>
  <c r="F147" i="9" s="1"/>
  <c r="E141" i="9"/>
  <c r="F141" i="9" s="1"/>
  <c r="E135" i="9"/>
  <c r="F135" i="9" s="1"/>
  <c r="E129" i="9"/>
  <c r="F129" i="9" s="1"/>
  <c r="E123" i="9"/>
  <c r="F123" i="9" s="1"/>
  <c r="E117" i="9"/>
  <c r="E111" i="9"/>
  <c r="E105" i="9"/>
  <c r="F105" i="9" s="1"/>
  <c r="E99" i="9"/>
  <c r="F99" i="9" s="1"/>
  <c r="E93" i="9"/>
  <c r="F93" i="9" s="1"/>
  <c r="E87" i="9"/>
  <c r="F87" i="9" s="1"/>
  <c r="E81" i="9"/>
  <c r="F81" i="9" s="1"/>
  <c r="E75" i="9"/>
  <c r="F75" i="9" s="1"/>
  <c r="E69" i="9"/>
  <c r="F69" i="9" s="1"/>
  <c r="E63" i="9"/>
  <c r="F63" i="9" s="1"/>
  <c r="E57" i="9"/>
  <c r="F57" i="9" s="1"/>
  <c r="E51" i="9"/>
  <c r="F51" i="9" s="1"/>
  <c r="E45" i="9"/>
  <c r="F45" i="9" s="1"/>
  <c r="E39" i="9"/>
  <c r="E33" i="9"/>
  <c r="F33" i="9" s="1"/>
  <c r="E27" i="9"/>
  <c r="F27" i="9" s="1"/>
  <c r="E21" i="9"/>
  <c r="F21" i="9" s="1"/>
  <c r="E301" i="9"/>
  <c r="F301" i="9" s="1"/>
  <c r="E289" i="9"/>
  <c r="F289" i="9" s="1"/>
  <c r="E37" i="9"/>
  <c r="F37" i="9" s="1"/>
  <c r="E624" i="9"/>
  <c r="F624" i="9" s="1"/>
  <c r="E618" i="9"/>
  <c r="F618" i="9" s="1"/>
  <c r="E612" i="9"/>
  <c r="F612" i="9" s="1"/>
  <c r="E606" i="9"/>
  <c r="F606" i="9" s="1"/>
  <c r="E600" i="9"/>
  <c r="E594" i="9"/>
  <c r="E588" i="9"/>
  <c r="E582" i="9"/>
  <c r="F582" i="9" s="1"/>
  <c r="E576" i="9"/>
  <c r="F576" i="9" s="1"/>
  <c r="E570" i="9"/>
  <c r="F570" i="9" s="1"/>
  <c r="E564" i="9"/>
  <c r="F564" i="9" s="1"/>
  <c r="E558" i="9"/>
  <c r="F558" i="9" s="1"/>
  <c r="E552" i="9"/>
  <c r="F552" i="9" s="1"/>
  <c r="E546" i="9"/>
  <c r="F546" i="9" s="1"/>
  <c r="E540" i="9"/>
  <c r="F540" i="9" s="1"/>
  <c r="E534" i="9"/>
  <c r="F534" i="9" s="1"/>
  <c r="E528" i="9"/>
  <c r="F528" i="9" s="1"/>
  <c r="E522" i="9"/>
  <c r="F522" i="9" s="1"/>
  <c r="E516" i="9"/>
  <c r="F516" i="9" s="1"/>
  <c r="E510" i="9"/>
  <c r="F510" i="9" s="1"/>
  <c r="E504" i="9"/>
  <c r="F504" i="9" s="1"/>
  <c r="E498" i="9"/>
  <c r="F498" i="9" s="1"/>
  <c r="E492" i="9"/>
  <c r="F492" i="9" s="1"/>
  <c r="E486" i="9"/>
  <c r="F486" i="9" s="1"/>
  <c r="E480" i="9"/>
  <c r="F480" i="9" s="1"/>
  <c r="E474" i="9"/>
  <c r="F474" i="9" s="1"/>
  <c r="E468" i="9"/>
  <c r="F468" i="9" s="1"/>
  <c r="E462" i="9"/>
  <c r="E456" i="9"/>
  <c r="E450" i="9"/>
  <c r="F450" i="9" s="1"/>
  <c r="E444" i="9"/>
  <c r="F444" i="9" s="1"/>
  <c r="E438" i="9"/>
  <c r="F438" i="9" s="1"/>
  <c r="E432" i="9"/>
  <c r="F432" i="9" s="1"/>
  <c r="E426" i="9"/>
  <c r="F426" i="9" s="1"/>
  <c r="E420" i="9"/>
  <c r="F420" i="9" s="1"/>
  <c r="E414" i="9"/>
  <c r="F414" i="9" s="1"/>
  <c r="E408" i="9"/>
  <c r="F408" i="9" s="1"/>
  <c r="E402" i="9"/>
  <c r="F402" i="9" s="1"/>
  <c r="E396" i="9"/>
  <c r="F396" i="9" s="1"/>
  <c r="E390" i="9"/>
  <c r="F390" i="9" s="1"/>
  <c r="E384" i="9"/>
  <c r="E378" i="9"/>
  <c r="F378" i="9" s="1"/>
  <c r="E372" i="9"/>
  <c r="F372" i="9" s="1"/>
  <c r="E366" i="9"/>
  <c r="F366" i="9" s="1"/>
  <c r="E360" i="9"/>
  <c r="F360" i="9" s="1"/>
  <c r="E354" i="9"/>
  <c r="F354" i="9" s="1"/>
  <c r="E348" i="9"/>
  <c r="F348" i="9" s="1"/>
  <c r="E342" i="9"/>
  <c r="F342" i="9" s="1"/>
  <c r="E336" i="9"/>
  <c r="F336" i="9" s="1"/>
  <c r="E330" i="9"/>
  <c r="F330" i="9" s="1"/>
  <c r="E324" i="9"/>
  <c r="F324" i="9" s="1"/>
  <c r="E318" i="9"/>
  <c r="F318" i="9" s="1"/>
  <c r="E312" i="9"/>
  <c r="F312" i="9" s="1"/>
  <c r="E306" i="9"/>
  <c r="F306" i="9" s="1"/>
  <c r="E300" i="9"/>
  <c r="F300" i="9" s="1"/>
  <c r="E294" i="9"/>
  <c r="F294" i="9" s="1"/>
  <c r="E288" i="9"/>
  <c r="F288" i="9" s="1"/>
  <c r="E282" i="9"/>
  <c r="F282" i="9" s="1"/>
  <c r="E276" i="9"/>
  <c r="F276" i="9" s="1"/>
  <c r="E270" i="9"/>
  <c r="F270" i="9" s="1"/>
  <c r="E264" i="9"/>
  <c r="F264" i="9" s="1"/>
  <c r="E258" i="9"/>
  <c r="F258" i="9" s="1"/>
  <c r="E252" i="9"/>
  <c r="F252" i="9" s="1"/>
  <c r="E246" i="9"/>
  <c r="F246" i="9" s="1"/>
  <c r="E240" i="9"/>
  <c r="E234" i="9"/>
  <c r="F234" i="9" s="1"/>
  <c r="E228" i="9"/>
  <c r="F228" i="9" s="1"/>
  <c r="E222" i="9"/>
  <c r="F222" i="9" s="1"/>
  <c r="E216" i="9"/>
  <c r="F216" i="9" s="1"/>
  <c r="E210" i="9"/>
  <c r="F210" i="9" s="1"/>
  <c r="E204" i="9"/>
  <c r="F204" i="9" s="1"/>
  <c r="E198" i="9"/>
  <c r="F198" i="9" s="1"/>
  <c r="E192" i="9"/>
  <c r="F192" i="9" s="1"/>
  <c r="E186" i="9"/>
  <c r="F186" i="9" s="1"/>
  <c r="E180" i="9"/>
  <c r="F180" i="9" s="1"/>
  <c r="E174" i="9"/>
  <c r="F174" i="9" s="1"/>
  <c r="E168" i="9"/>
  <c r="F168" i="9" s="1"/>
  <c r="E162" i="9"/>
  <c r="E156" i="9"/>
  <c r="F156" i="9" s="1"/>
  <c r="E150" i="9"/>
  <c r="F150" i="9" s="1"/>
  <c r="E144" i="9"/>
  <c r="F144" i="9" s="1"/>
  <c r="E132" i="9"/>
  <c r="F132" i="9" s="1"/>
  <c r="E66" i="9"/>
  <c r="F66" i="9" s="1"/>
  <c r="E383" i="9"/>
  <c r="F383" i="9" s="1"/>
  <c r="E305" i="9"/>
  <c r="F305" i="9" s="1"/>
  <c r="E173" i="9"/>
  <c r="F173" i="9" s="1"/>
  <c r="E65" i="9"/>
  <c r="F65" i="9" s="1"/>
  <c r="E29" i="9"/>
  <c r="F29" i="9" s="1"/>
  <c r="E1339" i="9"/>
  <c r="F1339" i="9" s="1"/>
  <c r="E1303" i="9"/>
  <c r="E1261" i="9"/>
  <c r="F1261" i="9" s="1"/>
  <c r="E1237" i="9"/>
  <c r="F1237" i="9" s="1"/>
  <c r="E1213" i="9"/>
  <c r="F1213" i="9" s="1"/>
  <c r="E1171" i="9"/>
  <c r="F1171" i="9" s="1"/>
  <c r="E1153" i="9"/>
  <c r="F1153" i="9" s="1"/>
  <c r="E1135" i="9"/>
  <c r="F1135" i="9" s="1"/>
  <c r="E1129" i="9"/>
  <c r="F1129" i="9" s="1"/>
  <c r="E1123" i="9"/>
  <c r="F1123" i="9" s="1"/>
  <c r="E1117" i="9"/>
  <c r="F1117" i="9" s="1"/>
  <c r="E1099" i="9"/>
  <c r="F1099" i="9" s="1"/>
  <c r="E8" i="9"/>
  <c r="E1333" i="9"/>
  <c r="F1333" i="9" s="1"/>
  <c r="E1315" i="9"/>
  <c r="F1315" i="9" s="1"/>
  <c r="E1291" i="9"/>
  <c r="F1291" i="9" s="1"/>
  <c r="E1273" i="9"/>
  <c r="F1273" i="9" s="1"/>
  <c r="E1249" i="9"/>
  <c r="F1249" i="9" s="1"/>
  <c r="E1219" i="9"/>
  <c r="F1219" i="9" s="1"/>
  <c r="E1201" i="9"/>
  <c r="F1201" i="9" s="1"/>
  <c r="E1183" i="9"/>
  <c r="F1183" i="9" s="1"/>
  <c r="E1159" i="9"/>
  <c r="F1159" i="9" s="1"/>
  <c r="E1141" i="9"/>
  <c r="F1141" i="9" s="1"/>
  <c r="E1111" i="9"/>
  <c r="F1111" i="9" s="1"/>
  <c r="E1351" i="9"/>
  <c r="F1351" i="9" s="1"/>
  <c r="E1321" i="9"/>
  <c r="F1321" i="9" s="1"/>
  <c r="E1285" i="9"/>
  <c r="F1285" i="9" s="1"/>
  <c r="E1255" i="9"/>
  <c r="F1255" i="9" s="1"/>
  <c r="E1225" i="9"/>
  <c r="F1225" i="9" s="1"/>
  <c r="E1195" i="9"/>
  <c r="F1195" i="9" s="1"/>
  <c r="E1165" i="9"/>
  <c r="F1165" i="9" s="1"/>
  <c r="E1087" i="9"/>
  <c r="F1087" i="9" s="1"/>
  <c r="E14" i="9"/>
  <c r="F14" i="9" s="1"/>
  <c r="E1327" i="9"/>
  <c r="F1327" i="9" s="1"/>
  <c r="E1297" i="9"/>
  <c r="F1297" i="9" s="1"/>
  <c r="E1267" i="9"/>
  <c r="F1267" i="9" s="1"/>
  <c r="E1243" i="9"/>
  <c r="E1207" i="9"/>
  <c r="F1207" i="9" s="1"/>
  <c r="E1177" i="9"/>
  <c r="E1147" i="9"/>
  <c r="F1147" i="9" s="1"/>
  <c r="E1093" i="9"/>
  <c r="F1093" i="9" s="1"/>
  <c r="E1345" i="9"/>
  <c r="F1345" i="9" s="1"/>
  <c r="E1309" i="9"/>
  <c r="F1309" i="9" s="1"/>
  <c r="E1279" i="9"/>
  <c r="F1279" i="9" s="1"/>
  <c r="E1231" i="9"/>
  <c r="F1231" i="9" s="1"/>
  <c r="E1189" i="9"/>
  <c r="F1189" i="9" s="1"/>
  <c r="E1105" i="9"/>
  <c r="F1105" i="9" s="1"/>
  <c r="E18" i="9"/>
  <c r="F18" i="9" s="1"/>
  <c r="E12" i="9"/>
  <c r="E6" i="9"/>
  <c r="F6" i="9" s="1"/>
  <c r="E1349" i="9"/>
  <c r="E1343" i="9"/>
  <c r="F1343" i="9" s="1"/>
  <c r="E1337" i="9"/>
  <c r="F1337" i="9" s="1"/>
  <c r="E1331" i="9"/>
  <c r="F1331" i="9" s="1"/>
  <c r="E1325" i="9"/>
  <c r="F1325" i="9" s="1"/>
  <c r="E1295" i="9"/>
  <c r="F1295" i="9" s="1"/>
  <c r="E1259" i="9"/>
  <c r="F1259" i="9" s="1"/>
  <c r="E971" i="9"/>
  <c r="F971" i="9" s="1"/>
  <c r="E755" i="9"/>
  <c r="F755" i="9" s="1"/>
  <c r="E719" i="9"/>
  <c r="F719" i="9" s="1"/>
  <c r="E992" i="9"/>
  <c r="F992" i="9" s="1"/>
  <c r="E986" i="9"/>
  <c r="F986" i="9" s="1"/>
  <c r="E980" i="9"/>
  <c r="F980" i="9" s="1"/>
  <c r="E974" i="9"/>
  <c r="F974" i="9" s="1"/>
  <c r="E968" i="9"/>
  <c r="F968" i="9" s="1"/>
  <c r="E962" i="9"/>
  <c r="F962" i="9" s="1"/>
  <c r="E956" i="9"/>
  <c r="F956" i="9" s="1"/>
  <c r="E950" i="9"/>
  <c r="F950" i="9" s="1"/>
  <c r="E944" i="9"/>
  <c r="F944" i="9" s="1"/>
  <c r="E938" i="9"/>
  <c r="F938" i="9" s="1"/>
  <c r="E932" i="9"/>
  <c r="F932" i="9" s="1"/>
  <c r="E926" i="9"/>
  <c r="F926" i="9" s="1"/>
  <c r="E920" i="9"/>
  <c r="E914" i="9"/>
  <c r="E908" i="9"/>
  <c r="E902" i="9"/>
  <c r="F902" i="9" s="1"/>
  <c r="E896" i="9"/>
  <c r="F896" i="9" s="1"/>
  <c r="E890" i="9"/>
  <c r="F890" i="9" s="1"/>
  <c r="E884" i="9"/>
  <c r="F884" i="9" s="1"/>
  <c r="E878" i="9"/>
  <c r="F878" i="9" s="1"/>
  <c r="E872" i="9"/>
  <c r="F872" i="9" s="1"/>
  <c r="E866" i="9"/>
  <c r="F866" i="9" s="1"/>
  <c r="E860" i="9"/>
  <c r="F860" i="9" s="1"/>
  <c r="E854" i="9"/>
  <c r="F854" i="9" s="1"/>
  <c r="E848" i="9"/>
  <c r="E842" i="9"/>
  <c r="F842" i="9" s="1"/>
  <c r="E836" i="9"/>
  <c r="F836" i="9" s="1"/>
  <c r="E830" i="9"/>
  <c r="F830" i="9" s="1"/>
  <c r="E824" i="9"/>
  <c r="F824" i="9" s="1"/>
  <c r="E818" i="9"/>
  <c r="F818" i="9" s="1"/>
  <c r="E812" i="9"/>
  <c r="F812" i="9" s="1"/>
  <c r="E806" i="9"/>
  <c r="F806" i="9" s="1"/>
  <c r="E800" i="9"/>
  <c r="F800" i="9" s="1"/>
  <c r="E794" i="9"/>
  <c r="F794" i="9" s="1"/>
  <c r="E788" i="9"/>
  <c r="F788" i="9" s="1"/>
  <c r="E782" i="9"/>
  <c r="F782" i="9" s="1"/>
  <c r="E776" i="9"/>
  <c r="E770" i="9"/>
  <c r="F770" i="9" s="1"/>
  <c r="E764" i="9"/>
  <c r="F764" i="9" s="1"/>
  <c r="E758" i="9"/>
  <c r="F758" i="9" s="1"/>
  <c r="E752" i="9"/>
  <c r="F752" i="9" s="1"/>
  <c r="E746" i="9"/>
  <c r="F746" i="9" s="1"/>
  <c r="E740" i="9"/>
  <c r="F740" i="9" s="1"/>
  <c r="E734" i="9"/>
  <c r="F734" i="9" s="1"/>
  <c r="E728" i="9"/>
  <c r="F728" i="9" s="1"/>
  <c r="E722" i="9"/>
  <c r="F722" i="9" s="1"/>
  <c r="E716" i="9"/>
  <c r="F716" i="9" s="1"/>
  <c r="E710" i="9"/>
  <c r="F710" i="9" s="1"/>
  <c r="E704" i="9"/>
  <c r="E698" i="9"/>
  <c r="F698" i="9" s="1"/>
  <c r="E692" i="9"/>
  <c r="F692" i="9" s="1"/>
  <c r="E686" i="9"/>
  <c r="F686" i="9" s="1"/>
  <c r="E680" i="9"/>
  <c r="F680" i="9" s="1"/>
  <c r="E674" i="9"/>
  <c r="F674" i="9" s="1"/>
  <c r="E668" i="9"/>
  <c r="F668" i="9" s="1"/>
  <c r="E662" i="9"/>
  <c r="F662" i="9" s="1"/>
  <c r="E656" i="9"/>
  <c r="F656" i="9" s="1"/>
  <c r="E650" i="9"/>
  <c r="F650" i="9" s="1"/>
  <c r="E644" i="9"/>
  <c r="F644" i="9" s="1"/>
  <c r="E638" i="9"/>
  <c r="F638" i="9" s="1"/>
  <c r="E632" i="9"/>
  <c r="E626" i="9"/>
  <c r="F626" i="9" s="1"/>
  <c r="E620" i="9"/>
  <c r="E614" i="9"/>
  <c r="F614" i="9" s="1"/>
  <c r="E608" i="9"/>
  <c r="F608" i="9" s="1"/>
  <c r="E602" i="9"/>
  <c r="F602" i="9" s="1"/>
  <c r="E596" i="9"/>
  <c r="F596" i="9" s="1"/>
  <c r="E590" i="9"/>
  <c r="F590" i="9" s="1"/>
  <c r="E584" i="9"/>
  <c r="F584" i="9" s="1"/>
  <c r="E578" i="9"/>
  <c r="F578" i="9" s="1"/>
  <c r="E572" i="9"/>
  <c r="F572" i="9" s="1"/>
  <c r="E566" i="9"/>
  <c r="F566" i="9" s="1"/>
  <c r="E560" i="9"/>
  <c r="E554" i="9"/>
  <c r="F554" i="9" s="1"/>
  <c r="E548" i="9"/>
  <c r="E542" i="9"/>
  <c r="F542" i="9" s="1"/>
  <c r="E536" i="9"/>
  <c r="F536" i="9" s="1"/>
  <c r="E530" i="9"/>
  <c r="F530" i="9" s="1"/>
  <c r="E524" i="9"/>
  <c r="F524" i="9" s="1"/>
  <c r="E518" i="9"/>
  <c r="F518" i="9" s="1"/>
  <c r="E512" i="9"/>
  <c r="F512" i="9" s="1"/>
  <c r="E506" i="9"/>
  <c r="F506" i="9" s="1"/>
  <c r="E500" i="9"/>
  <c r="F500" i="9" s="1"/>
  <c r="E494" i="9"/>
  <c r="E529" i="9"/>
  <c r="F529" i="9" s="1"/>
  <c r="E523" i="9"/>
  <c r="F523" i="9" s="1"/>
  <c r="E517" i="9"/>
  <c r="F517" i="9" s="1"/>
  <c r="E511" i="9"/>
  <c r="F511" i="9" s="1"/>
  <c r="E505" i="9"/>
  <c r="F505" i="9" s="1"/>
  <c r="E499" i="9"/>
  <c r="F499" i="9" s="1"/>
  <c r="E493" i="9"/>
  <c r="F493" i="9" s="1"/>
  <c r="E487" i="9"/>
  <c r="F487" i="9" s="1"/>
  <c r="E481" i="9"/>
  <c r="F481" i="9" s="1"/>
  <c r="E475" i="9"/>
  <c r="F475" i="9" s="1"/>
  <c r="E469" i="9"/>
  <c r="F469" i="9" s="1"/>
  <c r="E463" i="9"/>
  <c r="F463" i="9" s="1"/>
  <c r="E457" i="9"/>
  <c r="E451" i="9"/>
  <c r="E445" i="9"/>
  <c r="F445" i="9" s="1"/>
  <c r="E439" i="9"/>
  <c r="F439" i="9" s="1"/>
  <c r="E433" i="9"/>
  <c r="F433" i="9" s="1"/>
  <c r="E427" i="9"/>
  <c r="F427" i="9" s="1"/>
  <c r="E421" i="9"/>
  <c r="F421" i="9" s="1"/>
  <c r="E415" i="9"/>
  <c r="F415" i="9" s="1"/>
  <c r="E409" i="9"/>
  <c r="F409" i="9" s="1"/>
  <c r="E325" i="9"/>
  <c r="F325" i="9" s="1"/>
  <c r="E313" i="9"/>
  <c r="F313" i="9" s="1"/>
  <c r="E265" i="9"/>
  <c r="F265" i="9" s="1"/>
  <c r="E253" i="9"/>
  <c r="E241" i="9"/>
  <c r="F241" i="9" s="1"/>
  <c r="E229" i="9"/>
  <c r="F229" i="9" s="1"/>
  <c r="E217" i="9"/>
  <c r="F217" i="9" s="1"/>
  <c r="E205" i="9"/>
  <c r="F205" i="9" s="1"/>
  <c r="E169" i="9"/>
  <c r="F169" i="9" s="1"/>
  <c r="E157" i="9"/>
  <c r="F157" i="9" s="1"/>
  <c r="E145" i="9"/>
  <c r="F145" i="9" s="1"/>
  <c r="E121" i="9"/>
  <c r="F121" i="9" s="1"/>
  <c r="E109" i="9"/>
  <c r="F109" i="9" s="1"/>
  <c r="E97" i="9"/>
  <c r="F97" i="9" s="1"/>
  <c r="E61" i="9"/>
  <c r="F61" i="9" s="1"/>
  <c r="E25" i="9"/>
  <c r="E488" i="9"/>
  <c r="F488" i="9" s="1"/>
  <c r="E482" i="9"/>
  <c r="F482" i="9" s="1"/>
  <c r="E476" i="9"/>
  <c r="F476" i="9" s="1"/>
  <c r="E470" i="9"/>
  <c r="F470" i="9" s="1"/>
  <c r="E464" i="9"/>
  <c r="F464" i="9" s="1"/>
  <c r="E458" i="9"/>
  <c r="F458" i="9" s="1"/>
  <c r="E452" i="9"/>
  <c r="F452" i="9" s="1"/>
  <c r="E446" i="9"/>
  <c r="F446" i="9" s="1"/>
  <c r="E440" i="9"/>
  <c r="F440" i="9" s="1"/>
  <c r="E434" i="9"/>
  <c r="F434" i="9" s="1"/>
  <c r="E428" i="9"/>
  <c r="F428" i="9" s="1"/>
  <c r="E422" i="9"/>
  <c r="F422" i="9" s="1"/>
  <c r="E416" i="9"/>
  <c r="F416" i="9" s="1"/>
  <c r="E410" i="9"/>
  <c r="F410" i="9" s="1"/>
  <c r="E404" i="9"/>
  <c r="F404" i="9" s="1"/>
  <c r="E398" i="9"/>
  <c r="F398" i="9" s="1"/>
  <c r="E392" i="9"/>
  <c r="F392" i="9" s="1"/>
  <c r="E386" i="9"/>
  <c r="F386" i="9" s="1"/>
  <c r="E380" i="9"/>
  <c r="F380" i="9" s="1"/>
  <c r="E374" i="9"/>
  <c r="F374" i="9" s="1"/>
  <c r="E368" i="9"/>
  <c r="F368" i="9" s="1"/>
  <c r="E362" i="9"/>
  <c r="F362" i="9" s="1"/>
  <c r="E356" i="9"/>
  <c r="F356" i="9" s="1"/>
  <c r="E350" i="9"/>
  <c r="F350" i="9" s="1"/>
  <c r="E344" i="9"/>
  <c r="F344" i="9" s="1"/>
  <c r="E338" i="9"/>
  <c r="F338" i="9" s="1"/>
  <c r="E332" i="9"/>
  <c r="F332" i="9" s="1"/>
  <c r="E326" i="9"/>
  <c r="F326" i="9" s="1"/>
  <c r="E320" i="9"/>
  <c r="F320" i="9" s="1"/>
  <c r="E314" i="9"/>
  <c r="F314" i="9" s="1"/>
  <c r="E308" i="9"/>
  <c r="F308" i="9" s="1"/>
  <c r="E302" i="9"/>
  <c r="F302" i="9" s="1"/>
  <c r="E296" i="9"/>
  <c r="F296" i="9" s="1"/>
  <c r="E290" i="9"/>
  <c r="F290" i="9" s="1"/>
  <c r="E284" i="9"/>
  <c r="F284" i="9" s="1"/>
  <c r="E278" i="9"/>
  <c r="E272" i="9"/>
  <c r="F272" i="9" s="1"/>
  <c r="E266" i="9"/>
  <c r="F266" i="9" s="1"/>
  <c r="E260" i="9"/>
  <c r="F260" i="9" s="1"/>
  <c r="E254" i="9"/>
  <c r="F254" i="9" s="1"/>
  <c r="E248" i="9"/>
  <c r="F248" i="9" s="1"/>
  <c r="E242" i="9"/>
  <c r="F242" i="9" s="1"/>
  <c r="E236" i="9"/>
  <c r="F236" i="9" s="1"/>
  <c r="E230" i="9"/>
  <c r="F230" i="9" s="1"/>
  <c r="E224" i="9"/>
  <c r="F224" i="9" s="1"/>
  <c r="E218" i="9"/>
  <c r="F218" i="9" s="1"/>
  <c r="E212" i="9"/>
  <c r="F212" i="9" s="1"/>
  <c r="E206" i="9"/>
  <c r="E200" i="9"/>
  <c r="E194" i="9"/>
  <c r="F194" i="9" s="1"/>
  <c r="E188" i="9"/>
  <c r="F188" i="9" s="1"/>
  <c r="E182" i="9"/>
  <c r="F182" i="9" s="1"/>
  <c r="E176" i="9"/>
  <c r="F176" i="9" s="1"/>
  <c r="E170" i="9"/>
  <c r="F170" i="9" s="1"/>
  <c r="E164" i="9"/>
  <c r="F164" i="9" s="1"/>
  <c r="E158" i="9"/>
  <c r="F158" i="9" s="1"/>
  <c r="E152" i="9"/>
  <c r="F152" i="9" s="1"/>
  <c r="E146" i="9"/>
  <c r="F146" i="9" s="1"/>
  <c r="E140" i="9"/>
  <c r="F140" i="9" s="1"/>
  <c r="E134" i="9"/>
  <c r="F134" i="9" s="1"/>
  <c r="E128" i="9"/>
  <c r="F128" i="9" s="1"/>
  <c r="E122" i="9"/>
  <c r="E116" i="9"/>
  <c r="F116" i="9" s="1"/>
  <c r="E110" i="9"/>
  <c r="F110" i="9" s="1"/>
  <c r="E104" i="9"/>
  <c r="F104" i="9" s="1"/>
  <c r="E98" i="9"/>
  <c r="F98" i="9" s="1"/>
  <c r="E92" i="9"/>
  <c r="F92" i="9" s="1"/>
  <c r="E86" i="9"/>
  <c r="F86" i="9" s="1"/>
  <c r="E80" i="9"/>
  <c r="F80" i="9" s="1"/>
  <c r="E74" i="9"/>
  <c r="F74" i="9" s="1"/>
  <c r="E68" i="9"/>
  <c r="F68" i="9" s="1"/>
  <c r="E62" i="9"/>
  <c r="E56" i="9"/>
  <c r="F56" i="9" s="1"/>
  <c r="E50" i="9"/>
  <c r="F50" i="9" s="1"/>
  <c r="E44" i="9"/>
  <c r="F44" i="9" s="1"/>
  <c r="E38" i="9"/>
  <c r="F38" i="9" s="1"/>
  <c r="E32" i="9"/>
  <c r="F32" i="9" s="1"/>
  <c r="E26" i="9"/>
  <c r="F26" i="9" s="1"/>
  <c r="E20" i="9"/>
  <c r="F20" i="9" s="1"/>
  <c r="E403" i="9"/>
  <c r="F403" i="9" s="1"/>
  <c r="E397" i="9"/>
  <c r="F397" i="9" s="1"/>
  <c r="E391" i="9"/>
  <c r="F391" i="9" s="1"/>
  <c r="E385" i="9"/>
  <c r="F385" i="9" s="1"/>
  <c r="E379" i="9"/>
  <c r="F379" i="9" s="1"/>
  <c r="E373" i="9"/>
  <c r="F373" i="9" s="1"/>
  <c r="E367" i="9"/>
  <c r="F367" i="9" s="1"/>
  <c r="E361" i="9"/>
  <c r="F361" i="9" s="1"/>
  <c r="E355" i="9"/>
  <c r="F355" i="9" s="1"/>
  <c r="E331" i="9"/>
  <c r="F331" i="9" s="1"/>
  <c r="E319" i="9"/>
  <c r="F319" i="9" s="1"/>
  <c r="E307" i="9"/>
  <c r="F307" i="9" s="1"/>
  <c r="E295" i="9"/>
  <c r="F295" i="9" s="1"/>
  <c r="E283" i="9"/>
  <c r="F283" i="9" s="1"/>
  <c r="E271" i="9"/>
  <c r="F271" i="9" s="1"/>
  <c r="E259" i="9"/>
  <c r="F259" i="9" s="1"/>
  <c r="E247" i="9"/>
  <c r="E235" i="9"/>
  <c r="F235" i="9" s="1"/>
  <c r="E223" i="9"/>
  <c r="F223" i="9" s="1"/>
  <c r="E211" i="9"/>
  <c r="F211" i="9" s="1"/>
  <c r="E199" i="9"/>
  <c r="F199" i="9" s="1"/>
  <c r="E187" i="9"/>
  <c r="F187" i="9" s="1"/>
  <c r="E175" i="9"/>
  <c r="F175" i="9" s="1"/>
  <c r="E163" i="9"/>
  <c r="F163" i="9" s="1"/>
  <c r="E151" i="9"/>
  <c r="F151" i="9" s="1"/>
  <c r="E139" i="9"/>
  <c r="F139" i="9" s="1"/>
  <c r="E127" i="9"/>
  <c r="F127" i="9" s="1"/>
  <c r="E115" i="9"/>
  <c r="F115" i="9" s="1"/>
  <c r="E103" i="9"/>
  <c r="E91" i="9"/>
  <c r="F91" i="9" s="1"/>
  <c r="E79" i="9"/>
  <c r="F79" i="9" s="1"/>
  <c r="E67" i="9"/>
  <c r="F67" i="9" s="1"/>
  <c r="E55" i="9"/>
  <c r="F55" i="9" s="1"/>
  <c r="E43" i="9"/>
  <c r="F43" i="9" s="1"/>
  <c r="E31" i="9"/>
  <c r="F31" i="9" s="1"/>
  <c r="E19" i="9"/>
  <c r="F19" i="9" s="1"/>
  <c r="E126" i="9"/>
  <c r="F126" i="9" s="1"/>
  <c r="E120" i="9"/>
  <c r="F120" i="9" s="1"/>
  <c r="E114" i="9"/>
  <c r="F114" i="9" s="1"/>
  <c r="E108" i="9"/>
  <c r="F108" i="9" s="1"/>
  <c r="E96" i="9"/>
  <c r="F96" i="9" s="1"/>
  <c r="E90" i="9"/>
  <c r="F90" i="9" s="1"/>
  <c r="E84" i="9"/>
  <c r="F84" i="9" s="1"/>
  <c r="E78" i="9"/>
  <c r="F78" i="9" s="1"/>
  <c r="E72" i="9"/>
  <c r="F72" i="9" s="1"/>
  <c r="E60" i="9"/>
  <c r="F60" i="9" s="1"/>
  <c r="E54" i="9"/>
  <c r="F54" i="9" s="1"/>
  <c r="E48" i="9"/>
  <c r="F48" i="9" s="1"/>
  <c r="E42" i="9"/>
  <c r="F42" i="9" s="1"/>
  <c r="E36" i="9"/>
  <c r="F36" i="9" s="1"/>
  <c r="E24" i="9"/>
  <c r="F24" i="9" s="1"/>
  <c r="E4" i="9"/>
  <c r="F4" i="9" s="1"/>
  <c r="E1319" i="9"/>
  <c r="F1319" i="9" s="1"/>
  <c r="E1313" i="9"/>
  <c r="F1313" i="9" s="1"/>
  <c r="E1307" i="9"/>
  <c r="F1307" i="9" s="1"/>
  <c r="E1301" i="9"/>
  <c r="F1301" i="9" s="1"/>
  <c r="E1289" i="9"/>
  <c r="F1289" i="9" s="1"/>
  <c r="E1283" i="9"/>
  <c r="F1283" i="9" s="1"/>
  <c r="E1277" i="9"/>
  <c r="F1277" i="9" s="1"/>
  <c r="E1271" i="9"/>
  <c r="F1271" i="9" s="1"/>
  <c r="E1265" i="9"/>
  <c r="F1265" i="9" s="1"/>
  <c r="E1253" i="9"/>
  <c r="F1253" i="9" s="1"/>
  <c r="E1247" i="9"/>
  <c r="F1247" i="9" s="1"/>
  <c r="E1235" i="9"/>
  <c r="F1235" i="9" s="1"/>
  <c r="E1211" i="9"/>
  <c r="E1199" i="9"/>
  <c r="F1199" i="9" s="1"/>
  <c r="E1175" i="9"/>
  <c r="F1175" i="9" s="1"/>
  <c r="E1163" i="9"/>
  <c r="F1163" i="9" s="1"/>
  <c r="E1139" i="9"/>
  <c r="F1139" i="9" s="1"/>
  <c r="E1127" i="9"/>
  <c r="F1127" i="9" s="1"/>
  <c r="E1103" i="9"/>
  <c r="F1103" i="9" s="1"/>
  <c r="E1091" i="9"/>
  <c r="F1091" i="9" s="1"/>
  <c r="E1055" i="9"/>
  <c r="F1055" i="9" s="1"/>
  <c r="E1019" i="9"/>
  <c r="F1019" i="9" s="1"/>
  <c r="E983" i="9"/>
  <c r="F983" i="9" s="1"/>
  <c r="E947" i="9"/>
  <c r="F947" i="9" s="1"/>
  <c r="E911" i="9"/>
  <c r="E875" i="9"/>
  <c r="F875" i="9" s="1"/>
  <c r="E839" i="9"/>
  <c r="F839" i="9" s="1"/>
  <c r="E803" i="9"/>
  <c r="F803" i="9" s="1"/>
  <c r="E767" i="9"/>
  <c r="F767" i="9" s="1"/>
  <c r="E731" i="9"/>
  <c r="F731" i="9" s="1"/>
  <c r="E695" i="9"/>
  <c r="F695" i="9" s="1"/>
  <c r="E659" i="9"/>
  <c r="F659" i="9" s="1"/>
  <c r="E623" i="9"/>
  <c r="F623" i="9" s="1"/>
  <c r="E599" i="9"/>
  <c r="F599" i="9" s="1"/>
  <c r="E587" i="9"/>
  <c r="F587" i="9" s="1"/>
  <c r="E575" i="9"/>
  <c r="F575" i="9" s="1"/>
  <c r="E563" i="9"/>
  <c r="F563" i="9" s="1"/>
  <c r="E551" i="9"/>
  <c r="E539" i="9"/>
  <c r="F539" i="9" s="1"/>
  <c r="E503" i="9"/>
  <c r="F503" i="9" s="1"/>
  <c r="E491" i="9"/>
  <c r="F491" i="9" s="1"/>
  <c r="E479" i="9"/>
  <c r="F479" i="9" s="1"/>
  <c r="E455" i="9"/>
  <c r="F455" i="9" s="1"/>
  <c r="E443" i="9"/>
  <c r="F443" i="9" s="1"/>
  <c r="E431" i="9"/>
  <c r="F431" i="9" s="1"/>
  <c r="E419" i="9"/>
  <c r="F419" i="9" s="1"/>
  <c r="E407" i="9"/>
  <c r="F407" i="9" s="1"/>
  <c r="E395" i="9"/>
  <c r="F395" i="9" s="1"/>
  <c r="E359" i="9"/>
  <c r="F359" i="9" s="1"/>
  <c r="E347" i="9"/>
  <c r="F347" i="9" s="1"/>
  <c r="E335" i="9"/>
  <c r="F335" i="9" s="1"/>
  <c r="E323" i="9"/>
  <c r="F323" i="9" s="1"/>
  <c r="E311" i="9"/>
  <c r="F311" i="9" s="1"/>
  <c r="E299" i="9"/>
  <c r="F299" i="9" s="1"/>
  <c r="E287" i="9"/>
  <c r="F287" i="9" s="1"/>
  <c r="E275" i="9"/>
  <c r="F275" i="9" s="1"/>
  <c r="E263" i="9"/>
  <c r="F263" i="9" s="1"/>
  <c r="E251" i="9"/>
  <c r="F251" i="9" s="1"/>
  <c r="E239" i="9"/>
  <c r="F239" i="9" s="1"/>
  <c r="E227" i="9"/>
  <c r="F227" i="9" s="1"/>
  <c r="E215" i="9"/>
  <c r="E203" i="9"/>
  <c r="F203" i="9" s="1"/>
  <c r="E191" i="9"/>
  <c r="F191" i="9" s="1"/>
  <c r="E179" i="9"/>
  <c r="F179" i="9" s="1"/>
  <c r="E167" i="9"/>
  <c r="F167" i="9" s="1"/>
  <c r="E155" i="9"/>
  <c r="F155" i="9" s="1"/>
  <c r="E143" i="9"/>
  <c r="F143" i="9" s="1"/>
  <c r="E131" i="9"/>
  <c r="F131" i="9" s="1"/>
  <c r="E119" i="9"/>
  <c r="F119" i="9" s="1"/>
  <c r="E107" i="9"/>
  <c r="F107" i="9" s="1"/>
  <c r="E95" i="9"/>
  <c r="F95" i="9" s="1"/>
  <c r="E83" i="9"/>
  <c r="F83" i="9" s="1"/>
  <c r="E71" i="9"/>
  <c r="F71" i="9" s="1"/>
  <c r="E59" i="9"/>
  <c r="F59" i="9" s="1"/>
  <c r="E47" i="9"/>
  <c r="F47" i="9" s="1"/>
  <c r="E35" i="9"/>
  <c r="F35" i="9" s="1"/>
  <c r="E349" i="9"/>
  <c r="F349" i="9" s="1"/>
  <c r="E343" i="9"/>
  <c r="F343" i="9" s="1"/>
  <c r="E337" i="9"/>
  <c r="F337" i="9" s="1"/>
  <c r="E1241" i="9"/>
  <c r="F1241" i="9" s="1"/>
  <c r="E1217" i="9"/>
  <c r="F1217" i="9" s="1"/>
  <c r="E1181" i="9"/>
  <c r="F1181" i="9" s="1"/>
  <c r="E1145" i="9"/>
  <c r="F1145" i="9" s="1"/>
  <c r="E1121" i="9"/>
  <c r="F1121" i="9" s="1"/>
  <c r="E1097" i="9"/>
  <c r="E1061" i="9"/>
  <c r="F1061" i="9" s="1"/>
  <c r="E1037" i="9"/>
  <c r="E1013" i="9"/>
  <c r="F1013" i="9" s="1"/>
  <c r="E1001" i="9"/>
  <c r="F1001" i="9" s="1"/>
  <c r="E977" i="9"/>
  <c r="F977" i="9" s="1"/>
  <c r="E965" i="9"/>
  <c r="F965" i="9" s="1"/>
  <c r="E953" i="9"/>
  <c r="F953" i="9" s="1"/>
  <c r="E941" i="9"/>
  <c r="F941" i="9" s="1"/>
  <c r="E929" i="9"/>
  <c r="F929" i="9" s="1"/>
  <c r="E905" i="9"/>
  <c r="F905" i="9" s="1"/>
  <c r="E893" i="9"/>
  <c r="F893" i="9" s="1"/>
  <c r="E881" i="9"/>
  <c r="F881" i="9" s="1"/>
  <c r="E869" i="9"/>
  <c r="F869" i="9" s="1"/>
  <c r="E857" i="9"/>
  <c r="F857" i="9" s="1"/>
  <c r="E845" i="9"/>
  <c r="F845" i="9" s="1"/>
  <c r="E833" i="9"/>
  <c r="F833" i="9" s="1"/>
  <c r="E821" i="9"/>
  <c r="F821" i="9" s="1"/>
  <c r="E809" i="9"/>
  <c r="F809" i="9" s="1"/>
  <c r="E797" i="9"/>
  <c r="F797" i="9" s="1"/>
  <c r="E785" i="9"/>
  <c r="F785" i="9" s="1"/>
  <c r="E773" i="9"/>
  <c r="F773" i="9" s="1"/>
  <c r="E761" i="9"/>
  <c r="F761" i="9" s="1"/>
  <c r="E749" i="9"/>
  <c r="F749" i="9" s="1"/>
  <c r="E737" i="9"/>
  <c r="F737" i="9" s="1"/>
  <c r="E725" i="9"/>
  <c r="F725" i="9" s="1"/>
  <c r="E713" i="9"/>
  <c r="F713" i="9" s="1"/>
  <c r="E701" i="9"/>
  <c r="F701" i="9" s="1"/>
  <c r="E689" i="9"/>
  <c r="F689" i="9" s="1"/>
  <c r="E677" i="9"/>
  <c r="F677" i="9" s="1"/>
  <c r="E665" i="9"/>
  <c r="F665" i="9" s="1"/>
  <c r="E653" i="9"/>
  <c r="F653" i="9" s="1"/>
  <c r="E641" i="9"/>
  <c r="F641" i="9" s="1"/>
  <c r="E629" i="9"/>
  <c r="F629" i="9" s="1"/>
  <c r="E617" i="9"/>
  <c r="F617" i="9" s="1"/>
  <c r="E605" i="9"/>
  <c r="F605" i="9" s="1"/>
  <c r="E593" i="9"/>
  <c r="F593" i="9" s="1"/>
  <c r="E581" i="9"/>
  <c r="F581" i="9" s="1"/>
  <c r="E569" i="9"/>
  <c r="F569" i="9" s="1"/>
  <c r="E557" i="9"/>
  <c r="F557" i="9" s="1"/>
  <c r="E545" i="9"/>
  <c r="F545" i="9" s="1"/>
  <c r="E533" i="9"/>
  <c r="F533" i="9" s="1"/>
  <c r="E521" i="9"/>
  <c r="F521" i="9" s="1"/>
  <c r="E509" i="9"/>
  <c r="F509" i="9" s="1"/>
  <c r="E497" i="9"/>
  <c r="F497" i="9" s="1"/>
  <c r="E485" i="9"/>
  <c r="F485" i="9" s="1"/>
  <c r="E473" i="9"/>
  <c r="F473" i="9" s="1"/>
  <c r="E461" i="9"/>
  <c r="F461" i="9" s="1"/>
  <c r="E449" i="9"/>
  <c r="F449" i="9" s="1"/>
  <c r="E437" i="9"/>
  <c r="E425" i="9"/>
  <c r="F425" i="9" s="1"/>
  <c r="E413" i="9"/>
  <c r="F413" i="9" s="1"/>
  <c r="E401" i="9"/>
  <c r="F401" i="9" s="1"/>
  <c r="E389" i="9"/>
  <c r="F389" i="9" s="1"/>
  <c r="E377" i="9"/>
  <c r="F377" i="9" s="1"/>
  <c r="E365" i="9"/>
  <c r="F365" i="9" s="1"/>
  <c r="E353" i="9"/>
  <c r="F353" i="9" s="1"/>
  <c r="E341" i="9"/>
  <c r="F341" i="9" s="1"/>
  <c r="E1229" i="9"/>
  <c r="F1229" i="9" s="1"/>
  <c r="E1205" i="9"/>
  <c r="F1205" i="9" s="1"/>
  <c r="E1193" i="9"/>
  <c r="E1169" i="9"/>
  <c r="F1169" i="9" s="1"/>
  <c r="E1157" i="9"/>
  <c r="F1157" i="9" s="1"/>
  <c r="E1133" i="9"/>
  <c r="F1133" i="9" s="1"/>
  <c r="E1109" i="9"/>
  <c r="F1109" i="9" s="1"/>
  <c r="E1085" i="9"/>
  <c r="F1085" i="9" s="1"/>
  <c r="E1073" i="9"/>
  <c r="F1073" i="9" s="1"/>
  <c r="E1049" i="9"/>
  <c r="F1049" i="9" s="1"/>
  <c r="E1025" i="9"/>
  <c r="F1025" i="9" s="1"/>
  <c r="E989" i="9"/>
  <c r="F989" i="9" s="1"/>
  <c r="E917" i="9"/>
  <c r="F917" i="9" s="1"/>
  <c r="E645" i="9"/>
  <c r="F645" i="9" s="1"/>
  <c r="E639" i="9"/>
  <c r="E633" i="9"/>
  <c r="F633" i="9" s="1"/>
  <c r="E627" i="9"/>
  <c r="F627" i="9" s="1"/>
  <c r="E621" i="9"/>
  <c r="F621" i="9" s="1"/>
  <c r="E615" i="9"/>
  <c r="F615" i="9" s="1"/>
  <c r="E609" i="9"/>
  <c r="F609" i="9" s="1"/>
  <c r="E597" i="9"/>
  <c r="F597" i="9" s="1"/>
  <c r="E585" i="9"/>
  <c r="F585" i="9" s="1"/>
  <c r="E573" i="9"/>
  <c r="F573" i="9" s="1"/>
  <c r="E561" i="9"/>
  <c r="F561" i="9" s="1"/>
  <c r="E549" i="9"/>
  <c r="F549" i="9" s="1"/>
  <c r="E537" i="9"/>
  <c r="F537" i="9" s="1"/>
  <c r="E525" i="9"/>
  <c r="F525" i="9" s="1"/>
  <c r="E513" i="9"/>
  <c r="F513" i="9" s="1"/>
  <c r="E501" i="9"/>
  <c r="E489" i="9"/>
  <c r="F489" i="9" s="1"/>
  <c r="E477" i="9"/>
  <c r="F477" i="9" s="1"/>
  <c r="E465" i="9"/>
  <c r="F465" i="9" s="1"/>
  <c r="E453" i="9"/>
  <c r="F453" i="9" s="1"/>
  <c r="E441" i="9"/>
  <c r="F441" i="9" s="1"/>
  <c r="E429" i="9"/>
  <c r="F429" i="9" s="1"/>
  <c r="E417" i="9"/>
  <c r="F417" i="9" s="1"/>
  <c r="E405" i="9"/>
  <c r="F405" i="9" s="1"/>
  <c r="E393" i="9"/>
  <c r="F393" i="9" s="1"/>
  <c r="E381" i="9"/>
  <c r="F381" i="9" s="1"/>
  <c r="E369" i="9"/>
  <c r="F369" i="9" s="1"/>
  <c r="E357" i="9"/>
  <c r="F357" i="9" s="1"/>
  <c r="E345" i="9"/>
  <c r="F345" i="9" s="1"/>
  <c r="F1276" i="9"/>
  <c r="F1240" i="9"/>
  <c r="F592" i="9"/>
  <c r="F112" i="9"/>
  <c r="F985" i="9"/>
  <c r="F541" i="9"/>
  <c r="F253" i="9"/>
  <c r="F1303" i="9"/>
  <c r="F1243" i="9"/>
  <c r="F1057" i="9"/>
  <c r="F979" i="9"/>
  <c r="F853" i="9"/>
  <c r="F817" i="9"/>
  <c r="F744" i="9"/>
  <c r="F714" i="9"/>
  <c r="F520" i="9"/>
  <c r="F1278" i="9"/>
  <c r="F1254" i="9"/>
  <c r="F1200" i="9"/>
  <c r="F1182" i="9"/>
  <c r="F792" i="9"/>
  <c r="F738" i="9"/>
  <c r="F720" i="9"/>
  <c r="F600" i="9"/>
  <c r="F1349" i="9"/>
  <c r="F13" i="9"/>
  <c r="F535" i="9"/>
  <c r="F457" i="9"/>
  <c r="F451" i="9"/>
  <c r="F277" i="9"/>
  <c r="F462" i="9"/>
  <c r="F384" i="9"/>
  <c r="F102" i="9"/>
  <c r="F1067" i="9"/>
  <c r="F1031" i="9"/>
  <c r="F437" i="9"/>
  <c r="F371" i="9"/>
  <c r="F329" i="9"/>
  <c r="F215" i="9"/>
  <c r="F101" i="9"/>
  <c r="F1144" i="9"/>
  <c r="F1126" i="9"/>
  <c r="F1090" i="9"/>
  <c r="F1012" i="9"/>
  <c r="F958" i="9"/>
  <c r="F742" i="9"/>
  <c r="F310" i="9"/>
  <c r="F238" i="9"/>
  <c r="F94" i="9"/>
  <c r="F22" i="9"/>
  <c r="F1043" i="9"/>
  <c r="F911" i="9"/>
  <c r="F1342" i="9"/>
  <c r="F1162" i="9"/>
  <c r="F1114" i="9"/>
  <c r="F1066" i="9"/>
  <c r="F1054" i="9"/>
  <c r="F886" i="9"/>
  <c r="F826" i="9"/>
  <c r="F1211" i="9"/>
  <c r="F964" i="9"/>
  <c r="F550" i="9"/>
  <c r="F388" i="9"/>
  <c r="F172" i="9"/>
  <c r="F154" i="9"/>
  <c r="F100" i="9"/>
  <c r="F28" i="9"/>
  <c r="F247" i="9"/>
  <c r="F103" i="9"/>
  <c r="F551" i="9"/>
  <c r="F1300" i="9"/>
  <c r="F1084" i="9"/>
  <c r="F122" i="9"/>
  <c r="F823" i="9"/>
  <c r="F588" i="9"/>
  <c r="F456" i="9"/>
  <c r="F1193" i="9"/>
  <c r="F1097" i="9"/>
  <c r="F791" i="9"/>
  <c r="F814" i="9"/>
  <c r="F748" i="9"/>
  <c r="F736" i="9"/>
  <c r="F1203" i="9"/>
  <c r="F316" i="9"/>
  <c r="F777" i="9"/>
  <c r="F669" i="9"/>
  <c r="F639" i="9"/>
  <c r="F501" i="9"/>
  <c r="F471" i="9"/>
  <c r="F1334" i="9"/>
  <c r="F244" i="9"/>
  <c r="F160" i="9"/>
  <c r="F16" i="9"/>
  <c r="F1263" i="9"/>
  <c r="F1047" i="9"/>
  <c r="F843" i="9"/>
  <c r="F765" i="9"/>
  <c r="F754" i="9"/>
  <c r="F10" i="9"/>
  <c r="F1329" i="9"/>
  <c r="F1257" i="9"/>
  <c r="F999" i="9"/>
  <c r="F855" i="9"/>
  <c r="F837" i="9"/>
  <c r="F531" i="9"/>
  <c r="F507" i="9"/>
  <c r="F1328" i="9"/>
  <c r="F1177" i="9"/>
  <c r="F704" i="9"/>
  <c r="F1302" i="9"/>
  <c r="F1284" i="9"/>
  <c r="F1260" i="9"/>
  <c r="F848" i="9"/>
  <c r="F1164" i="9"/>
  <c r="F907" i="9"/>
  <c r="F1037" i="9"/>
  <c r="F1032" i="9"/>
  <c r="F8" i="9"/>
  <c r="F278" i="9"/>
  <c r="F200" i="9"/>
  <c r="F387" i="9"/>
  <c r="F333" i="9"/>
  <c r="F261" i="9"/>
  <c r="F255" i="9"/>
  <c r="F189" i="9"/>
  <c r="F183" i="9"/>
  <c r="F117" i="9"/>
  <c r="F111" i="9"/>
  <c r="F39" i="9"/>
  <c r="F1268" i="9"/>
  <c r="F1209" i="9"/>
  <c r="F162" i="9"/>
  <c r="F1196" i="9"/>
  <c r="F1052" i="9"/>
  <c r="F1017" i="9"/>
  <c r="F776" i="9"/>
  <c r="F560" i="9"/>
  <c r="F847" i="9"/>
  <c r="F829" i="9"/>
  <c r="F12" i="9"/>
  <c r="F1185" i="9"/>
  <c r="F1155" i="9"/>
  <c r="F1041" i="9"/>
  <c r="F681" i="9"/>
  <c r="F1060" i="9"/>
  <c r="F1065" i="9"/>
  <c r="F846" i="9"/>
  <c r="F240" i="9"/>
  <c r="F1112" i="9"/>
  <c r="F1341" i="9"/>
  <c r="F1134" i="9"/>
  <c r="F1110" i="9"/>
  <c r="F1104" i="9"/>
  <c r="F1080" i="9"/>
  <c r="F1056" i="9"/>
  <c r="F1027" i="9"/>
  <c r="F927" i="9"/>
  <c r="F861" i="9"/>
  <c r="F1311" i="9"/>
  <c r="F1026" i="9"/>
  <c r="F920" i="9"/>
  <c r="F914" i="9"/>
  <c r="F908" i="9"/>
  <c r="F88" i="9"/>
  <c r="F620" i="9"/>
  <c r="F494" i="9"/>
  <c r="F206" i="9"/>
  <c r="F62" i="9"/>
  <c r="F915" i="9"/>
  <c r="F666" i="9"/>
  <c r="F25" i="9"/>
  <c r="F30" i="9"/>
  <c r="F632" i="9"/>
  <c r="F594" i="9"/>
  <c r="F321" i="9"/>
  <c r="F548" i="9"/>
  <c r="G393" i="9" l="1"/>
  <c r="G537" i="9"/>
  <c r="G645" i="9"/>
  <c r="G227" i="9"/>
  <c r="G61" i="9"/>
  <c r="G719" i="9"/>
  <c r="G534" i="9"/>
  <c r="G51" i="9"/>
  <c r="G267" i="9"/>
  <c r="G1130" i="9"/>
  <c r="G313" i="9"/>
  <c r="G318" i="9"/>
  <c r="G195" i="9"/>
  <c r="G185" i="9"/>
  <c r="G106" i="9"/>
  <c r="G178" i="9"/>
  <c r="G250" i="9"/>
  <c r="G322" i="9"/>
  <c r="G466" i="9"/>
  <c r="G1281" i="9"/>
  <c r="G1119" i="9"/>
  <c r="G544" i="9"/>
  <c r="G616" i="9"/>
  <c r="G688" i="9"/>
  <c r="G976" i="9"/>
  <c r="G1192" i="9"/>
  <c r="G11" i="9"/>
  <c r="G1324" i="9"/>
  <c r="G786" i="9"/>
  <c r="G870" i="9"/>
  <c r="G1050" i="9"/>
  <c r="G937" i="9"/>
  <c r="G757" i="9"/>
  <c r="G385" i="9"/>
  <c r="G146" i="9"/>
  <c r="G57" i="9"/>
  <c r="G328" i="9"/>
  <c r="G622" i="9"/>
  <c r="G894" i="9"/>
  <c r="G811" i="9"/>
  <c r="G901" i="9"/>
  <c r="G983" i="9"/>
  <c r="G396" i="9"/>
  <c r="G40" i="9"/>
  <c r="G1143" i="9"/>
  <c r="G810" i="9"/>
  <c r="G961" i="9"/>
  <c r="G1292" i="9"/>
  <c r="G835" i="9"/>
  <c r="G519" i="9"/>
  <c r="G1117" i="9"/>
  <c r="G863" i="9"/>
  <c r="G957" i="9"/>
  <c r="G1216" i="9"/>
  <c r="G625" i="9"/>
  <c r="G656" i="9"/>
  <c r="G685" i="9"/>
  <c r="G375" i="9"/>
  <c r="G472" i="9"/>
  <c r="G910" i="9"/>
  <c r="G1236" i="9"/>
  <c r="G613" i="9"/>
  <c r="G1186" i="9"/>
  <c r="G733" i="9"/>
  <c r="G1274" i="9"/>
  <c r="G362" i="9"/>
  <c r="G1064" i="9"/>
  <c r="G400" i="9"/>
  <c r="G766" i="9"/>
  <c r="G120" i="9"/>
  <c r="G1293" i="9"/>
  <c r="G1045" i="9"/>
  <c r="G675" i="9"/>
  <c r="G469" i="9"/>
  <c r="G1352" i="9"/>
  <c r="G948" i="9"/>
  <c r="G942" i="9"/>
  <c r="G26" i="9"/>
  <c r="G201" i="9"/>
  <c r="G1115" i="9"/>
  <c r="G1089" i="9"/>
  <c r="G1156" i="9"/>
  <c r="G925" i="9"/>
  <c r="G42" i="9"/>
  <c r="G661" i="9"/>
  <c r="G883" i="9"/>
  <c r="G644" i="9"/>
  <c r="G513" i="9"/>
  <c r="G70" i="9"/>
  <c r="G461" i="9"/>
  <c r="G575" i="9"/>
  <c r="G259" i="9"/>
  <c r="G265" i="9"/>
  <c r="G854" i="9"/>
  <c r="G390" i="9"/>
  <c r="G1079" i="9"/>
  <c r="G783" i="9"/>
  <c r="G257" i="9"/>
  <c r="G924" i="9"/>
  <c r="G10" i="9"/>
  <c r="G667" i="9"/>
  <c r="G1229" i="9"/>
  <c r="G95" i="9"/>
  <c r="G218" i="9"/>
  <c r="G755" i="9"/>
  <c r="G252" i="9"/>
  <c r="G324" i="9"/>
  <c r="G468" i="9"/>
  <c r="G540" i="9"/>
  <c r="G612" i="9"/>
  <c r="G129" i="9"/>
  <c r="G273" i="9"/>
  <c r="G351" i="9"/>
  <c r="G1136" i="9"/>
  <c r="G1208" i="9"/>
  <c r="G1280" i="9"/>
  <c r="G197" i="9"/>
  <c r="G611" i="9"/>
  <c r="G553" i="9"/>
  <c r="G184" i="9"/>
  <c r="G256" i="9"/>
  <c r="G1251" i="9"/>
  <c r="G1011" i="9"/>
  <c r="G1299" i="9"/>
  <c r="G789" i="9"/>
  <c r="G897" i="9"/>
  <c r="G694" i="9"/>
  <c r="G838" i="9"/>
  <c r="G982" i="9"/>
  <c r="G1078" i="9"/>
  <c r="G527" i="9"/>
  <c r="G1188" i="9"/>
  <c r="G1074" i="9"/>
  <c r="G654" i="9"/>
  <c r="G943" i="9"/>
  <c r="G775" i="9"/>
  <c r="G787" i="9"/>
  <c r="G594" i="9"/>
  <c r="G919" i="9"/>
  <c r="G90" i="9"/>
  <c r="G738" i="9"/>
  <c r="G395" i="9"/>
  <c r="G68" i="9"/>
  <c r="G566" i="9"/>
  <c r="G29" i="9"/>
  <c r="G339" i="9"/>
  <c r="G1227" i="9"/>
  <c r="G1290" i="9"/>
  <c r="G768" i="9"/>
  <c r="G836" i="9"/>
  <c r="G480" i="9"/>
  <c r="G617" i="9"/>
  <c r="G24" i="9"/>
  <c r="G434" i="9"/>
  <c r="G65" i="9"/>
  <c r="G681" i="9"/>
  <c r="G532" i="9"/>
  <c r="G417" i="9"/>
  <c r="G1181" i="9"/>
  <c r="G139" i="9"/>
  <c r="G152" i="9"/>
  <c r="G475" i="9"/>
  <c r="G971" i="9"/>
  <c r="G402" i="9"/>
  <c r="G279" i="9"/>
  <c r="G887" i="9"/>
  <c r="G1113" i="9"/>
  <c r="G62" i="9"/>
  <c r="G12" i="9"/>
  <c r="G1329" i="9"/>
  <c r="G1342" i="9"/>
  <c r="G1205" i="9"/>
  <c r="G83" i="9"/>
  <c r="G212" i="9"/>
  <c r="G638" i="9"/>
  <c r="G18" i="9"/>
  <c r="G123" i="9"/>
  <c r="G547" i="9"/>
  <c r="G1138" i="9"/>
  <c r="G1212" i="9"/>
  <c r="G572" i="9"/>
  <c r="G729" i="9"/>
  <c r="G792" i="9"/>
  <c r="G905" i="9"/>
  <c r="G127" i="9"/>
  <c r="G716" i="9"/>
  <c r="G180" i="9"/>
  <c r="G1336" i="9"/>
  <c r="G277" i="9"/>
  <c r="G561" i="9"/>
  <c r="G419" i="9"/>
  <c r="G397" i="9"/>
  <c r="G440" i="9"/>
  <c r="G506" i="9"/>
  <c r="G866" i="9"/>
  <c r="G173" i="9"/>
  <c r="G135" i="9"/>
  <c r="G1142" i="9"/>
  <c r="G559" i="9"/>
  <c r="G190" i="9"/>
  <c r="G478" i="9"/>
  <c r="G795" i="9"/>
  <c r="G700" i="9"/>
  <c r="G1320" i="9"/>
  <c r="G17" i="9"/>
  <c r="G1098" i="9"/>
  <c r="G59" i="9"/>
  <c r="G823" i="9"/>
  <c r="G691" i="9"/>
  <c r="G1025" i="9"/>
  <c r="G1217" i="9"/>
  <c r="G126" i="9"/>
  <c r="G230" i="9"/>
  <c r="G481" i="9"/>
  <c r="G872" i="9"/>
  <c r="G1183" i="9"/>
  <c r="G408" i="9"/>
  <c r="G141" i="9"/>
  <c r="G1220" i="9"/>
  <c r="G647" i="9"/>
  <c r="G411" i="9"/>
  <c r="G124" i="9"/>
  <c r="G484" i="9"/>
  <c r="G801" i="9"/>
  <c r="G921" i="9"/>
  <c r="G562" i="9"/>
  <c r="G850" i="9"/>
  <c r="G1180" i="9"/>
  <c r="G1230" i="9"/>
  <c r="G997" i="9"/>
  <c r="G649" i="9"/>
  <c r="G607" i="9"/>
  <c r="G467" i="9"/>
  <c r="G253" i="9"/>
  <c r="G653" i="9"/>
  <c r="G1241" i="9"/>
  <c r="G1271" i="9"/>
  <c r="G307" i="9"/>
  <c r="G380" i="9"/>
  <c r="G415" i="9"/>
  <c r="G662" i="9"/>
  <c r="G950" i="9"/>
  <c r="G198" i="9"/>
  <c r="G486" i="9"/>
  <c r="G147" i="9"/>
  <c r="G1298" i="9"/>
  <c r="G923" i="9"/>
  <c r="G567" i="9"/>
  <c r="G202" i="9"/>
  <c r="G1035" i="9"/>
  <c r="G1077" i="9"/>
  <c r="G1221" i="9"/>
  <c r="G1000" i="9"/>
  <c r="G1204" i="9"/>
  <c r="G1170" i="9"/>
  <c r="G864" i="9"/>
  <c r="G709" i="9"/>
  <c r="G846" i="9"/>
  <c r="G100" i="9"/>
  <c r="G1254" i="9"/>
  <c r="G521" i="9"/>
  <c r="G143" i="9"/>
  <c r="G170" i="9"/>
  <c r="G421" i="9"/>
  <c r="G740" i="9"/>
  <c r="G1165" i="9"/>
  <c r="G276" i="9"/>
  <c r="G153" i="9"/>
  <c r="G1160" i="9"/>
  <c r="G935" i="9"/>
  <c r="G64" i="9"/>
  <c r="G496" i="9"/>
  <c r="G1107" i="9"/>
  <c r="G1245" i="9"/>
  <c r="G7" i="9"/>
  <c r="G1210" i="9"/>
  <c r="G702" i="9"/>
  <c r="G1176" i="9"/>
  <c r="G1044" i="9"/>
  <c r="G1081" i="9"/>
  <c r="G1075" i="9"/>
  <c r="G78" i="9"/>
  <c r="G445" i="9"/>
  <c r="G261" i="9"/>
  <c r="G8" i="9"/>
  <c r="G619" i="9"/>
  <c r="G501" i="9"/>
  <c r="G939" i="9"/>
  <c r="G154" i="9"/>
  <c r="G802" i="9"/>
  <c r="G1066" i="9"/>
  <c r="G1126" i="9"/>
  <c r="G101" i="9"/>
  <c r="G1278" i="9"/>
  <c r="G1086" i="9"/>
  <c r="G663" i="9"/>
  <c r="G462" i="9"/>
  <c r="G605" i="9"/>
  <c r="G947" i="9"/>
  <c r="G284" i="9"/>
  <c r="G926" i="9"/>
  <c r="G174" i="9"/>
  <c r="G851" i="9"/>
  <c r="G1335" i="9"/>
  <c r="G648" i="9"/>
  <c r="G344" i="9"/>
  <c r="G531" i="9"/>
  <c r="G94" i="9"/>
  <c r="G473" i="9"/>
  <c r="G114" i="9"/>
  <c r="G97" i="9"/>
  <c r="G1141" i="9"/>
  <c r="G1110" i="9"/>
  <c r="G555" i="9"/>
  <c r="G798" i="9"/>
  <c r="G485" i="9"/>
  <c r="G36" i="9"/>
  <c r="G1296" i="9"/>
  <c r="G918" i="9"/>
  <c r="G684" i="9"/>
  <c r="G736" i="9"/>
  <c r="G803" i="9"/>
  <c r="G353" i="9"/>
  <c r="G119" i="9"/>
  <c r="G295" i="9"/>
  <c r="G374" i="9"/>
  <c r="G728" i="9"/>
  <c r="G285" i="9"/>
  <c r="G1187" i="9"/>
  <c r="G52" i="9"/>
  <c r="G1005" i="9"/>
  <c r="G1347" i="9"/>
  <c r="G778" i="9"/>
  <c r="G1332" i="9"/>
  <c r="G858" i="9"/>
  <c r="G840" i="9"/>
  <c r="G841" i="9"/>
  <c r="G76" i="9"/>
  <c r="G723" i="9"/>
  <c r="G376" i="9"/>
  <c r="G441" i="9"/>
  <c r="G365" i="9"/>
  <c r="G953" i="9"/>
  <c r="G1091" i="9"/>
  <c r="G19" i="9"/>
  <c r="G308" i="9"/>
  <c r="G145" i="9"/>
  <c r="G734" i="9"/>
  <c r="G1279" i="9"/>
  <c r="G383" i="9"/>
  <c r="G414" i="9"/>
  <c r="G291" i="9"/>
  <c r="G1154" i="9"/>
  <c r="G671" i="9"/>
  <c r="G571" i="9"/>
  <c r="G346" i="9"/>
  <c r="G1323" i="9"/>
  <c r="G735" i="9"/>
  <c r="G568" i="9"/>
  <c r="G856" i="9"/>
  <c r="G1344" i="9"/>
  <c r="G876" i="9"/>
  <c r="G726" i="9"/>
  <c r="G877" i="9"/>
  <c r="G379" i="9"/>
  <c r="G1054" i="9"/>
  <c r="G1073" i="9"/>
  <c r="G337" i="9"/>
  <c r="G1277" i="9"/>
  <c r="G242" i="9"/>
  <c r="G524" i="9"/>
  <c r="G956" i="9"/>
  <c r="G66" i="9"/>
  <c r="G564" i="9"/>
  <c r="G1088" i="9"/>
  <c r="G269" i="9"/>
  <c r="G579" i="9"/>
  <c r="G208" i="9"/>
  <c r="G1353" i="9"/>
  <c r="G819" i="9"/>
  <c r="G862" i="9"/>
  <c r="G1228" i="9"/>
  <c r="G1194" i="9"/>
  <c r="G756" i="9"/>
  <c r="G1063" i="9"/>
  <c r="G25" i="9"/>
  <c r="G1065" i="9"/>
  <c r="G1032" i="9"/>
  <c r="G16" i="9"/>
  <c r="G1179" i="9"/>
  <c r="G172" i="9"/>
  <c r="G820" i="9"/>
  <c r="G454" i="9"/>
  <c r="G1144" i="9"/>
  <c r="G696" i="9"/>
  <c r="G520" i="9"/>
  <c r="G1140" i="9"/>
  <c r="G853" i="9"/>
  <c r="G769" i="9"/>
  <c r="G355" i="9"/>
  <c r="G494" i="9"/>
  <c r="G981" i="9"/>
  <c r="G508" i="9"/>
  <c r="G655" i="9"/>
  <c r="G749" i="9"/>
  <c r="G108" i="9"/>
  <c r="G356" i="9"/>
  <c r="G710" i="9"/>
  <c r="G1111" i="9"/>
  <c r="G1346" i="9"/>
  <c r="G1071" i="9"/>
  <c r="G832" i="9"/>
  <c r="G751" i="9"/>
  <c r="G805" i="9"/>
  <c r="G1211" i="9"/>
  <c r="G1255" i="9"/>
  <c r="G761" i="9"/>
  <c r="G1247" i="9"/>
  <c r="G74" i="9"/>
  <c r="G1105" i="9"/>
  <c r="G620" i="9"/>
  <c r="G189" i="9"/>
  <c r="G673" i="9"/>
  <c r="G341" i="9"/>
  <c r="G107" i="9"/>
  <c r="G283" i="9"/>
  <c r="G224" i="9"/>
  <c r="G722" i="9"/>
  <c r="G1189" i="9"/>
  <c r="G258" i="9"/>
  <c r="G618" i="9"/>
  <c r="G1214" i="9"/>
  <c r="G1151" i="9"/>
  <c r="G118" i="9"/>
  <c r="G1269" i="9"/>
  <c r="G909" i="9"/>
  <c r="G772" i="9"/>
  <c r="G1234" i="9"/>
  <c r="G834" i="9"/>
  <c r="G816" i="9"/>
  <c r="G633" i="9"/>
  <c r="G550" i="9"/>
  <c r="G882" i="9"/>
  <c r="G497" i="9"/>
  <c r="G623" i="9"/>
  <c r="G158" i="9"/>
  <c r="G121" i="9"/>
  <c r="G800" i="9"/>
  <c r="G1129" i="9"/>
  <c r="G336" i="9"/>
  <c r="G213" i="9"/>
  <c r="G1148" i="9"/>
  <c r="G233" i="9"/>
  <c r="G693" i="9"/>
  <c r="G196" i="9"/>
  <c r="G412" i="9"/>
  <c r="G1137" i="9"/>
  <c r="G807" i="9"/>
  <c r="G1197" i="9"/>
  <c r="G706" i="9"/>
  <c r="G922" i="9"/>
  <c r="G1246" i="9"/>
  <c r="G660" i="9"/>
  <c r="G990" i="9"/>
  <c r="G113" i="9"/>
  <c r="G704" i="9"/>
  <c r="G886" i="9"/>
  <c r="G1051" i="9"/>
  <c r="G509" i="9"/>
  <c r="G131" i="9"/>
  <c r="G659" i="9"/>
  <c r="G20" i="9"/>
  <c r="G236" i="9"/>
  <c r="G487" i="9"/>
  <c r="G878" i="9"/>
  <c r="G1201" i="9"/>
  <c r="G342" i="9"/>
  <c r="G37" i="9"/>
  <c r="G1010" i="9"/>
  <c r="G23" i="9"/>
  <c r="G699" i="9"/>
  <c r="G274" i="9"/>
  <c r="G490" i="9"/>
  <c r="G849" i="9"/>
  <c r="G712" i="9"/>
  <c r="G1314" i="9"/>
  <c r="G1264" i="9"/>
  <c r="G678" i="9"/>
  <c r="G1152" i="9"/>
  <c r="G859" i="9"/>
  <c r="G88" i="9"/>
  <c r="G1023" i="9"/>
  <c r="G453" i="9"/>
  <c r="G665" i="9"/>
  <c r="G287" i="9"/>
  <c r="G31" i="9"/>
  <c r="G157" i="9"/>
  <c r="G668" i="9"/>
  <c r="G1325" i="9"/>
  <c r="G348" i="9"/>
  <c r="G81" i="9"/>
  <c r="G297" i="9"/>
  <c r="G1304" i="9"/>
  <c r="G577" i="9"/>
  <c r="G424" i="9"/>
  <c r="G879" i="9"/>
  <c r="G574" i="9"/>
  <c r="G934" i="9"/>
  <c r="G1288" i="9"/>
  <c r="G1096" i="9"/>
  <c r="G715" i="9"/>
  <c r="G181" i="9"/>
  <c r="G1101" i="9"/>
  <c r="G828" i="9"/>
  <c r="G1177" i="9"/>
  <c r="G548" i="9"/>
  <c r="G1069" i="9"/>
  <c r="G1125" i="9"/>
  <c r="G1209" i="9"/>
  <c r="G39" i="9"/>
  <c r="G1037" i="9"/>
  <c r="G160" i="9"/>
  <c r="G298" i="9"/>
  <c r="G215" i="9"/>
  <c r="G1349" i="9"/>
  <c r="G750" i="9"/>
  <c r="G781" i="9"/>
  <c r="G345" i="9"/>
  <c r="G996" i="9"/>
  <c r="G1080" i="9"/>
  <c r="G595" i="9"/>
  <c r="G670" i="9"/>
  <c r="G985" i="9"/>
  <c r="G893" i="9"/>
  <c r="G1235" i="9"/>
  <c r="G1267" i="9"/>
  <c r="G246" i="9"/>
  <c r="G1058" i="9"/>
  <c r="G515" i="9"/>
  <c r="G394" i="9"/>
  <c r="G885" i="9"/>
  <c r="G1272" i="9"/>
  <c r="G1158" i="9"/>
  <c r="G133" i="9"/>
  <c r="G116" i="9"/>
  <c r="G1348" i="9"/>
  <c r="G96" i="9"/>
  <c r="G1067" i="9"/>
  <c r="G991" i="9"/>
  <c r="G917" i="9"/>
  <c r="G1145" i="9"/>
  <c r="G587" i="9"/>
  <c r="G271" i="9"/>
  <c r="G500" i="9"/>
  <c r="G788" i="9"/>
  <c r="G860" i="9"/>
  <c r="G206" i="9"/>
  <c r="G936" i="9"/>
  <c r="G1284" i="9"/>
  <c r="G281" i="9"/>
  <c r="G989" i="9"/>
  <c r="G773" i="9"/>
  <c r="G251" i="9"/>
  <c r="G599" i="9"/>
  <c r="G80" i="9"/>
  <c r="G109" i="9"/>
  <c r="G325" i="9"/>
  <c r="G794" i="9"/>
  <c r="G938" i="9"/>
  <c r="G1123" i="9"/>
  <c r="G186" i="9"/>
  <c r="G546" i="9"/>
  <c r="G63" i="9"/>
  <c r="G1070" i="9"/>
  <c r="G1286" i="9"/>
  <c r="G635" i="9"/>
  <c r="G399" i="9"/>
  <c r="G687" i="9"/>
  <c r="G262" i="9"/>
  <c r="G987" i="9"/>
  <c r="G1042" i="9"/>
  <c r="G1173" i="9"/>
  <c r="G628" i="9"/>
  <c r="G916" i="9"/>
  <c r="G1168" i="9"/>
  <c r="G642" i="9"/>
  <c r="G1206" i="9"/>
  <c r="G30" i="9"/>
  <c r="G1302" i="9"/>
  <c r="G436" i="9"/>
  <c r="G247" i="9"/>
  <c r="G317" i="9"/>
  <c r="G429" i="9"/>
  <c r="G573" i="9"/>
  <c r="G941" i="9"/>
  <c r="G263" i="9"/>
  <c r="G1055" i="9"/>
  <c r="G151" i="9"/>
  <c r="G86" i="9"/>
  <c r="G446" i="9"/>
  <c r="G584" i="9"/>
  <c r="G1259" i="9"/>
  <c r="G14" i="9"/>
  <c r="G192" i="9"/>
  <c r="G552" i="9"/>
  <c r="G1076" i="9"/>
  <c r="G565" i="9"/>
  <c r="G340" i="9"/>
  <c r="G994" i="9"/>
  <c r="G1146" i="9"/>
  <c r="G708" i="9"/>
  <c r="G1190" i="9"/>
  <c r="G28" i="9"/>
  <c r="G1049" i="9"/>
  <c r="G275" i="9"/>
  <c r="G163" i="9"/>
  <c r="G164" i="9"/>
  <c r="G518" i="9"/>
  <c r="G806" i="9"/>
  <c r="G1087" i="9"/>
  <c r="G270" i="9"/>
  <c r="G75" i="9"/>
  <c r="G1226" i="9"/>
  <c r="G1223" i="9"/>
  <c r="G58" i="9"/>
  <c r="G418" i="9"/>
  <c r="G933" i="9"/>
  <c r="G784" i="9"/>
  <c r="G1024" i="9"/>
  <c r="G1018" i="9"/>
  <c r="G1039" i="9"/>
  <c r="G471" i="9"/>
  <c r="G1319" i="9"/>
  <c r="G541" i="9"/>
  <c r="G965" i="9"/>
  <c r="G1103" i="9"/>
  <c r="G98" i="9"/>
  <c r="G386" i="9"/>
  <c r="G812" i="9"/>
  <c r="G1219" i="9"/>
  <c r="G420" i="9"/>
  <c r="G225" i="9"/>
  <c r="G41" i="9"/>
  <c r="G705" i="9"/>
  <c r="G352" i="9"/>
  <c r="G1167" i="9"/>
  <c r="G718" i="9"/>
  <c r="G1326" i="9"/>
  <c r="G888" i="9"/>
  <c r="G1027" i="9"/>
  <c r="G995" i="9"/>
  <c r="G1161" i="9"/>
  <c r="G1185" i="9"/>
  <c r="G1268" i="9"/>
  <c r="G907" i="9"/>
  <c r="G865" i="9"/>
  <c r="G495" i="9"/>
  <c r="G220" i="9"/>
  <c r="G639" i="9"/>
  <c r="G1084" i="9"/>
  <c r="G528" i="9"/>
  <c r="G526" i="9"/>
  <c r="G1270" i="9"/>
  <c r="G216" i="9"/>
  <c r="G952" i="9"/>
  <c r="G799" i="9"/>
  <c r="G1239" i="9"/>
  <c r="G1300" i="9"/>
  <c r="G973" i="9"/>
  <c r="G1121" i="9"/>
  <c r="G140" i="9"/>
  <c r="G463" i="9"/>
  <c r="G1099" i="9"/>
  <c r="G1202" i="9"/>
  <c r="G867" i="9"/>
  <c r="G760" i="9"/>
  <c r="G895" i="9"/>
  <c r="G1311" i="9"/>
  <c r="G1330" i="9"/>
  <c r="G549" i="9"/>
  <c r="G407" i="9"/>
  <c r="G391" i="9"/>
  <c r="G932" i="9"/>
  <c r="G53" i="9"/>
  <c r="G598" i="9"/>
  <c r="G1009" i="9"/>
  <c r="G929" i="9"/>
  <c r="G1019" i="9"/>
  <c r="G368" i="9"/>
  <c r="G650" i="9"/>
  <c r="G1327" i="9"/>
  <c r="G474" i="9"/>
  <c r="G998" i="9"/>
  <c r="G221" i="9"/>
  <c r="G543" i="9"/>
  <c r="G334" i="9"/>
  <c r="G1317" i="9"/>
  <c r="G844" i="9"/>
  <c r="G1150" i="9"/>
  <c r="G967" i="9"/>
  <c r="G260" i="9"/>
  <c r="G826" i="9"/>
  <c r="G1033" i="9"/>
  <c r="G785" i="9"/>
  <c r="G431" i="9"/>
  <c r="G403" i="9"/>
  <c r="G409" i="9"/>
  <c r="G1231" i="9"/>
  <c r="G305" i="9"/>
  <c r="G624" i="9"/>
  <c r="G1004" i="9"/>
  <c r="G899" i="9"/>
  <c r="G268" i="9"/>
  <c r="G1053" i="9"/>
  <c r="G634" i="9"/>
  <c r="G1308" i="9"/>
  <c r="G5" i="9"/>
  <c r="G1128" i="9"/>
  <c r="G1015" i="9"/>
  <c r="G240" i="9"/>
  <c r="G657" i="9"/>
  <c r="G449" i="9"/>
  <c r="G585" i="9"/>
  <c r="G797" i="9"/>
  <c r="G443" i="9"/>
  <c r="G48" i="9"/>
  <c r="G92" i="9"/>
  <c r="G452" i="9"/>
  <c r="G590" i="9"/>
  <c r="G1295" i="9"/>
  <c r="G1135" i="9"/>
  <c r="G558" i="9"/>
  <c r="G219" i="9"/>
  <c r="G1082" i="9"/>
  <c r="G245" i="9"/>
  <c r="G423" i="9"/>
  <c r="G130" i="9"/>
  <c r="G1149" i="9"/>
  <c r="G813" i="9"/>
  <c r="G640" i="9"/>
  <c r="G928" i="9"/>
  <c r="G1198" i="9"/>
  <c r="G972" i="9"/>
  <c r="G1020" i="9"/>
  <c r="G54" i="9"/>
  <c r="G255" i="9"/>
  <c r="G102" i="9"/>
  <c r="G984" i="9"/>
  <c r="G377" i="9"/>
  <c r="G455" i="9"/>
  <c r="G319" i="9"/>
  <c r="G314" i="9"/>
  <c r="G493" i="9"/>
  <c r="G884" i="9"/>
  <c r="G1153" i="9"/>
  <c r="G492" i="9"/>
  <c r="G1016" i="9"/>
  <c r="G683" i="9"/>
  <c r="G435" i="9"/>
  <c r="G280" i="9"/>
  <c r="G741" i="9"/>
  <c r="G646" i="9"/>
  <c r="G1006" i="9"/>
  <c r="G900" i="9"/>
  <c r="G626" i="9"/>
  <c r="G955" i="9"/>
  <c r="G1233" i="9"/>
  <c r="G1250" i="9"/>
  <c r="G963" i="9"/>
  <c r="G1164" i="9"/>
  <c r="G525" i="9"/>
  <c r="G244" i="9"/>
  <c r="G669" i="9"/>
  <c r="G232" i="9"/>
  <c r="G1193" i="9"/>
  <c r="G1038" i="9"/>
  <c r="G22" i="9"/>
  <c r="G538" i="9"/>
  <c r="G1318" i="9"/>
  <c r="G637" i="9"/>
  <c r="G600" i="9"/>
  <c r="G804" i="9"/>
  <c r="G1305" i="9"/>
  <c r="G387" i="9"/>
  <c r="G115" i="9"/>
  <c r="G428" i="9"/>
  <c r="G782" i="9"/>
  <c r="G606" i="9"/>
  <c r="G34" i="9"/>
  <c r="G904" i="9"/>
  <c r="G913" i="9"/>
  <c r="G1104" i="9"/>
  <c r="G679" i="9"/>
  <c r="G405" i="9"/>
  <c r="G239" i="9"/>
  <c r="G290" i="9"/>
  <c r="G1297" i="9"/>
  <c r="G316" i="9"/>
  <c r="G112" i="9"/>
  <c r="G629" i="9"/>
  <c r="G1253" i="9"/>
  <c r="G296" i="9"/>
  <c r="G578" i="9"/>
  <c r="G1159" i="9"/>
  <c r="G330" i="9"/>
  <c r="G207" i="9"/>
  <c r="G9" i="9"/>
  <c r="G46" i="9"/>
  <c r="G406" i="9"/>
  <c r="G1029" i="9"/>
  <c r="G556" i="9"/>
  <c r="G988" i="9"/>
  <c r="G1122" i="9"/>
  <c r="G966" i="9"/>
  <c r="G1116" i="9"/>
  <c r="G366" i="9"/>
  <c r="G592" i="9"/>
  <c r="G641" i="9"/>
  <c r="G1265" i="9"/>
  <c r="G302" i="9"/>
  <c r="G512" i="9"/>
  <c r="G944" i="9"/>
  <c r="G264" i="9"/>
  <c r="G69" i="9"/>
  <c r="G15" i="9"/>
  <c r="G228" i="9"/>
  <c r="G516" i="9"/>
  <c r="G597" i="9"/>
  <c r="G809" i="9"/>
  <c r="G695" i="9"/>
  <c r="G175" i="9"/>
  <c r="G458" i="9"/>
  <c r="G596" i="9"/>
  <c r="G1309" i="9"/>
  <c r="G204" i="9"/>
  <c r="G289" i="9"/>
  <c r="G1232" i="9"/>
  <c r="G138" i="9"/>
  <c r="G136" i="9"/>
  <c r="G1059" i="9"/>
  <c r="G945" i="9"/>
  <c r="G790" i="9"/>
  <c r="G1072" i="9"/>
  <c r="G949" i="9"/>
  <c r="G488" i="9"/>
  <c r="G321" i="9"/>
  <c r="G422" i="9"/>
  <c r="G1026" i="9"/>
  <c r="G1056" i="9"/>
  <c r="G975" i="9"/>
  <c r="G381" i="9"/>
  <c r="G507" i="9"/>
  <c r="G1257" i="9"/>
  <c r="G304" i="9"/>
  <c r="G1301" i="9"/>
  <c r="G193" i="9"/>
  <c r="G610" i="9"/>
  <c r="G643" i="9"/>
  <c r="G720" i="9"/>
  <c r="G979" i="9"/>
  <c r="G200" i="9"/>
  <c r="G664" i="9"/>
  <c r="G1321" i="9"/>
  <c r="G874" i="9"/>
  <c r="G1085" i="9"/>
  <c r="G821" i="9"/>
  <c r="G60" i="9"/>
  <c r="G104" i="9"/>
  <c r="G392" i="9"/>
  <c r="G427" i="9"/>
  <c r="G499" i="9"/>
  <c r="G530" i="9"/>
  <c r="G602" i="9"/>
  <c r="G674" i="9"/>
  <c r="G746" i="9"/>
  <c r="G818" i="9"/>
  <c r="G890" i="9"/>
  <c r="G962" i="9"/>
  <c r="G1331" i="9"/>
  <c r="G1345" i="9"/>
  <c r="G1195" i="9"/>
  <c r="G1249" i="9"/>
  <c r="G1171" i="9"/>
  <c r="G132" i="9"/>
  <c r="G210" i="9"/>
  <c r="G282" i="9"/>
  <c r="G354" i="9"/>
  <c r="G426" i="9"/>
  <c r="G498" i="9"/>
  <c r="G570" i="9"/>
  <c r="G301" i="9"/>
  <c r="G87" i="9"/>
  <c r="G159" i="9"/>
  <c r="G231" i="9"/>
  <c r="G303" i="9"/>
  <c r="G1022" i="9"/>
  <c r="G1094" i="9"/>
  <c r="G1166" i="9"/>
  <c r="G1238" i="9"/>
  <c r="G1310" i="9"/>
  <c r="G77" i="9"/>
  <c r="G707" i="9"/>
  <c r="G959" i="9"/>
  <c r="G49" i="9"/>
  <c r="G583" i="9"/>
  <c r="G447" i="9"/>
  <c r="G591" i="9"/>
  <c r="G711" i="9"/>
  <c r="G142" i="9"/>
  <c r="G214" i="9"/>
  <c r="G286" i="9"/>
  <c r="G358" i="9"/>
  <c r="G430" i="9"/>
  <c r="G502" i="9"/>
  <c r="G1083" i="9"/>
  <c r="G873" i="9"/>
  <c r="G1191" i="9"/>
  <c r="G891" i="9"/>
  <c r="G1131" i="9"/>
  <c r="G747" i="9"/>
  <c r="G825" i="9"/>
  <c r="G1275" i="9"/>
  <c r="G580" i="9"/>
  <c r="G652" i="9"/>
  <c r="G724" i="9"/>
  <c r="G796" i="9"/>
  <c r="G868" i="9"/>
  <c r="G940" i="9"/>
  <c r="G1036" i="9"/>
  <c r="G1338" i="9"/>
  <c r="G1102" i="9"/>
  <c r="G1312" i="9"/>
  <c r="G1252" i="9"/>
  <c r="G1222" i="9"/>
  <c r="G636" i="9"/>
  <c r="G930" i="9"/>
  <c r="G1218" i="9"/>
  <c r="G732" i="9"/>
  <c r="G1014" i="9"/>
  <c r="G1174" i="9"/>
  <c r="G912" i="9"/>
  <c r="G1068" i="9"/>
  <c r="G1017" i="9"/>
  <c r="G848" i="9"/>
  <c r="G370" i="9"/>
  <c r="G742" i="9"/>
  <c r="G960" i="9"/>
  <c r="G677" i="9"/>
  <c r="G299" i="9"/>
  <c r="G32" i="9"/>
  <c r="G169" i="9"/>
  <c r="G831" i="9"/>
  <c r="G1052" i="9"/>
  <c r="G814" i="9"/>
  <c r="G880" i="9"/>
  <c r="G889" i="9"/>
  <c r="G401" i="9"/>
  <c r="G349" i="9"/>
  <c r="G167" i="9"/>
  <c r="G311" i="9"/>
  <c r="G491" i="9"/>
  <c r="G767" i="9"/>
  <c r="G1139" i="9"/>
  <c r="G1289" i="9"/>
  <c r="G72" i="9"/>
  <c r="G55" i="9"/>
  <c r="G199" i="9"/>
  <c r="G38" i="9"/>
  <c r="G110" i="9"/>
  <c r="G182" i="9"/>
  <c r="G254" i="9"/>
  <c r="G326" i="9"/>
  <c r="G398" i="9"/>
  <c r="G470" i="9"/>
  <c r="G205" i="9"/>
  <c r="G433" i="9"/>
  <c r="G505" i="9"/>
  <c r="G536" i="9"/>
  <c r="G608" i="9"/>
  <c r="G680" i="9"/>
  <c r="G752" i="9"/>
  <c r="G824" i="9"/>
  <c r="G896" i="9"/>
  <c r="G968" i="9"/>
  <c r="G1337" i="9"/>
  <c r="G1093" i="9"/>
  <c r="G1225" i="9"/>
  <c r="G1273" i="9"/>
  <c r="G1213" i="9"/>
  <c r="G288" i="9"/>
  <c r="G360" i="9"/>
  <c r="G432" i="9"/>
  <c r="G504" i="9"/>
  <c r="G576" i="9"/>
  <c r="G21" i="9"/>
  <c r="G93" i="9"/>
  <c r="G165" i="9"/>
  <c r="G237" i="9"/>
  <c r="G309" i="9"/>
  <c r="G1028" i="9"/>
  <c r="G1100" i="9"/>
  <c r="G1172" i="9"/>
  <c r="G1244" i="9"/>
  <c r="G1316" i="9"/>
  <c r="G89" i="9"/>
  <c r="G293" i="9"/>
  <c r="G743" i="9"/>
  <c r="G603" i="9"/>
  <c r="G292" i="9"/>
  <c r="G364" i="9"/>
  <c r="G951" i="9"/>
  <c r="G1215" i="9"/>
  <c r="G903" i="9"/>
  <c r="G993" i="9"/>
  <c r="G586" i="9"/>
  <c r="G658" i="9"/>
  <c r="G730" i="9"/>
  <c r="G1048" i="9"/>
  <c r="G1350" i="9"/>
  <c r="G1108" i="9"/>
  <c r="G954" i="9"/>
  <c r="G630" i="9"/>
  <c r="G1092" i="9"/>
  <c r="G111" i="9"/>
  <c r="G765" i="9"/>
  <c r="G378" i="9"/>
  <c r="G563" i="9"/>
  <c r="G1240" i="9"/>
  <c r="G533" i="9"/>
  <c r="G479" i="9"/>
  <c r="G43" i="9"/>
  <c r="G464" i="9"/>
  <c r="G137" i="9"/>
  <c r="G117" i="9"/>
  <c r="G777" i="9"/>
  <c r="G388" i="9"/>
  <c r="G125" i="9"/>
  <c r="G1276" i="9"/>
  <c r="G833" i="9"/>
  <c r="G209" i="9"/>
  <c r="G410" i="9"/>
  <c r="G754" i="9"/>
  <c r="G450" i="9"/>
  <c r="G869" i="9"/>
  <c r="G329" i="9"/>
  <c r="G300" i="9"/>
  <c r="G535" i="9"/>
  <c r="G727" i="9"/>
  <c r="G1224" i="9"/>
  <c r="G1008" i="9"/>
  <c r="G690" i="9"/>
  <c r="G721" i="9"/>
  <c r="G1057" i="9"/>
  <c r="G489" i="9"/>
  <c r="G621" i="9"/>
  <c r="G1133" i="9"/>
  <c r="G413" i="9"/>
  <c r="G557" i="9"/>
  <c r="G701" i="9"/>
  <c r="G845" i="9"/>
  <c r="G1013" i="9"/>
  <c r="G35" i="9"/>
  <c r="G179" i="9"/>
  <c r="G323" i="9"/>
  <c r="G503" i="9"/>
  <c r="G1163" i="9"/>
  <c r="G361" i="9"/>
  <c r="G44" i="9"/>
  <c r="G188" i="9"/>
  <c r="G332" i="9"/>
  <c r="G476" i="9"/>
  <c r="G217" i="9"/>
  <c r="G439" i="9"/>
  <c r="G511" i="9"/>
  <c r="G542" i="9"/>
  <c r="G686" i="9"/>
  <c r="G758" i="9"/>
  <c r="G830" i="9"/>
  <c r="G902" i="9"/>
  <c r="G974" i="9"/>
  <c r="G1343" i="9"/>
  <c r="G1147" i="9"/>
  <c r="G1291" i="9"/>
  <c r="G1237" i="9"/>
  <c r="G150" i="9"/>
  <c r="G222" i="9"/>
  <c r="G294" i="9"/>
  <c r="G510" i="9"/>
  <c r="G582" i="9"/>
  <c r="G27" i="9"/>
  <c r="G99" i="9"/>
  <c r="G171" i="9"/>
  <c r="G243" i="9"/>
  <c r="G315" i="9"/>
  <c r="G1034" i="9"/>
  <c r="G1106" i="9"/>
  <c r="G651" i="9"/>
  <c r="G82" i="9"/>
  <c r="G759" i="9"/>
  <c r="G1120" i="9"/>
  <c r="G1294" i="9"/>
  <c r="G1258" i="9"/>
  <c r="G774" i="9"/>
  <c r="G1062" i="9"/>
  <c r="G1132" i="9"/>
  <c r="G871" i="9"/>
  <c r="G748" i="9"/>
  <c r="G451" i="9"/>
  <c r="G609" i="9"/>
  <c r="G977" i="9"/>
  <c r="G1127" i="9"/>
  <c r="G176" i="9"/>
  <c r="G85" i="9"/>
  <c r="G1341" i="9"/>
  <c r="G898" i="9"/>
  <c r="G551" i="9"/>
  <c r="G1114" i="9"/>
  <c r="G457" i="9"/>
  <c r="G615" i="9"/>
  <c r="G1001" i="9"/>
  <c r="G908" i="9"/>
  <c r="G1007" i="9"/>
  <c r="G843" i="9"/>
  <c r="G122" i="9"/>
  <c r="G946" i="9"/>
  <c r="G666" i="9"/>
  <c r="G986" i="9"/>
  <c r="G73" i="9"/>
  <c r="G523" i="9"/>
  <c r="G808" i="9"/>
  <c r="G1287" i="9"/>
  <c r="G791" i="9"/>
  <c r="G456" i="9"/>
  <c r="G128" i="9"/>
  <c r="G103" i="9"/>
  <c r="G460" i="9"/>
  <c r="G964" i="9"/>
  <c r="G1162" i="9"/>
  <c r="G911" i="9"/>
  <c r="G310" i="9"/>
  <c r="G958" i="9"/>
  <c r="G371" i="9"/>
  <c r="G306" i="9"/>
  <c r="G739" i="9"/>
  <c r="G1242" i="9"/>
  <c r="G714" i="9"/>
  <c r="G763" i="9"/>
  <c r="G1243" i="9"/>
  <c r="G931" i="9"/>
  <c r="G357" i="9"/>
  <c r="G627" i="9"/>
  <c r="G1157" i="9"/>
  <c r="G425" i="9"/>
  <c r="G569" i="9"/>
  <c r="G713" i="9"/>
  <c r="G857" i="9"/>
  <c r="G47" i="9"/>
  <c r="G191" i="9"/>
  <c r="G335" i="9"/>
  <c r="G539" i="9"/>
  <c r="G839" i="9"/>
  <c r="G1175" i="9"/>
  <c r="G1307" i="9"/>
  <c r="G84" i="9"/>
  <c r="G79" i="9"/>
  <c r="G223" i="9"/>
  <c r="G367" i="9"/>
  <c r="G50" i="9"/>
  <c r="G194" i="9"/>
  <c r="G266" i="9"/>
  <c r="G338" i="9"/>
  <c r="G482" i="9"/>
  <c r="G517" i="9"/>
  <c r="G692" i="9"/>
  <c r="G764" i="9"/>
  <c r="G980" i="9"/>
  <c r="G1285" i="9"/>
  <c r="G1315" i="9"/>
  <c r="G1261" i="9"/>
  <c r="G156" i="9"/>
  <c r="G372" i="9"/>
  <c r="G444" i="9"/>
  <c r="G33" i="9"/>
  <c r="G105" i="9"/>
  <c r="G177" i="9"/>
  <c r="G249" i="9"/>
  <c r="G1040" i="9"/>
  <c r="G1184" i="9"/>
  <c r="G1256" i="9"/>
  <c r="G829" i="9"/>
  <c r="G717" i="9"/>
  <c r="G1203" i="9"/>
  <c r="G852" i="9"/>
  <c r="G465" i="9"/>
  <c r="G155" i="9"/>
  <c r="G731" i="9"/>
  <c r="G187" i="9"/>
  <c r="G320" i="9"/>
  <c r="G697" i="9"/>
  <c r="G847" i="9"/>
  <c r="G67" i="9"/>
  <c r="G238" i="9"/>
  <c r="G978" i="9"/>
  <c r="G477" i="9"/>
  <c r="G545" i="9"/>
  <c r="G703" i="9"/>
  <c r="G906" i="9"/>
  <c r="G1003" i="9"/>
  <c r="G779" i="9"/>
  <c r="G91" i="9"/>
  <c r="G144" i="9"/>
  <c r="G914" i="9"/>
  <c r="G1178" i="9"/>
  <c r="G1328" i="9"/>
  <c r="G1118" i="9"/>
  <c r="G350" i="9"/>
  <c r="G927" i="9"/>
  <c r="G1112" i="9"/>
  <c r="G560" i="9"/>
  <c r="G229" i="9"/>
  <c r="G1248" i="9"/>
  <c r="G855" i="9"/>
  <c r="G1047" i="9"/>
  <c r="G1262" i="9"/>
  <c r="G815" i="9"/>
  <c r="G588" i="9"/>
  <c r="G969" i="9"/>
  <c r="G211" i="9"/>
  <c r="G1282" i="9"/>
  <c r="G1043" i="9"/>
  <c r="G1012" i="9"/>
  <c r="G347" i="9"/>
  <c r="G437" i="9"/>
  <c r="G384" i="9"/>
  <c r="G601" i="9"/>
  <c r="G745" i="9"/>
  <c r="G1182" i="9"/>
  <c r="G744" i="9"/>
  <c r="G793" i="9"/>
  <c r="G1303" i="9"/>
  <c r="G369" i="9"/>
  <c r="G1169" i="9"/>
  <c r="G581" i="9"/>
  <c r="G725" i="9"/>
  <c r="G1061" i="9"/>
  <c r="G203" i="9"/>
  <c r="G875" i="9"/>
  <c r="G1199" i="9"/>
  <c r="G1313" i="9"/>
  <c r="G373" i="9"/>
  <c r="G56" i="9"/>
  <c r="G272" i="9"/>
  <c r="G416" i="9"/>
  <c r="G241" i="9"/>
  <c r="G554" i="9"/>
  <c r="G770" i="9"/>
  <c r="G842" i="9"/>
  <c r="G6" i="9"/>
  <c r="G1333" i="9"/>
  <c r="G522" i="9"/>
  <c r="G327" i="9"/>
  <c r="G149" i="9"/>
  <c r="G166" i="9"/>
  <c r="G382" i="9"/>
  <c r="G604" i="9"/>
  <c r="G676" i="9"/>
  <c r="G1266" i="9"/>
  <c r="G822" i="9"/>
  <c r="G1002" i="9"/>
  <c r="G698" i="9"/>
  <c r="G459" i="9"/>
  <c r="G753" i="9"/>
  <c r="G148" i="9"/>
  <c r="G389" i="9"/>
  <c r="G343" i="9"/>
  <c r="G1283" i="9"/>
  <c r="G331" i="9"/>
  <c r="G248" i="9"/>
  <c r="G1134" i="9"/>
  <c r="G771" i="9"/>
  <c r="G438" i="9"/>
  <c r="G892" i="9"/>
  <c r="G234" i="9"/>
  <c r="G1109" i="9"/>
  <c r="G689" i="9"/>
  <c r="G1340" i="9"/>
  <c r="G333" i="9"/>
  <c r="G1046" i="9"/>
  <c r="G1021" i="9"/>
  <c r="G442" i="9"/>
  <c r="G161" i="9"/>
  <c r="G861" i="9"/>
  <c r="G1041" i="9"/>
  <c r="G837" i="9"/>
  <c r="G632" i="9"/>
  <c r="G920" i="9"/>
  <c r="G168" i="9"/>
  <c r="G1060" i="9"/>
  <c r="G1196" i="9"/>
  <c r="G529" i="9"/>
  <c r="G737" i="9"/>
  <c r="G915" i="9"/>
  <c r="G404" i="9"/>
  <c r="G614" i="9"/>
  <c r="G1155" i="9"/>
  <c r="G776" i="9"/>
  <c r="G162" i="9"/>
  <c r="G183" i="9"/>
  <c r="G363" i="9"/>
  <c r="G278" i="9"/>
  <c r="G589" i="9"/>
  <c r="G1260" i="9"/>
  <c r="G483" i="9"/>
  <c r="G999" i="9"/>
  <c r="G1322" i="9"/>
  <c r="G1263" i="9"/>
  <c r="G1334" i="9"/>
  <c r="G226" i="9"/>
  <c r="G1097" i="9"/>
  <c r="G672" i="9"/>
  <c r="G235" i="9"/>
  <c r="G514" i="9"/>
  <c r="G1030" i="9"/>
  <c r="G1306" i="9"/>
  <c r="G448" i="9"/>
  <c r="G1090" i="9"/>
  <c r="G1031" i="9"/>
  <c r="G631" i="9"/>
  <c r="G13" i="9"/>
  <c r="G1200" i="9"/>
  <c r="G780" i="9"/>
  <c r="G817" i="9"/>
  <c r="G1207" i="9"/>
  <c r="G593" i="9"/>
  <c r="G881" i="9"/>
  <c r="G71" i="9"/>
  <c r="G359" i="9"/>
  <c r="G134" i="9"/>
  <c r="G992" i="9"/>
  <c r="G1351" i="9"/>
  <c r="G1339" i="9"/>
  <c r="G312" i="9"/>
  <c r="G45" i="9"/>
  <c r="G1124" i="9"/>
  <c r="G827" i="9"/>
  <c r="G1095" i="9"/>
  <c r="G682" i="9"/>
  <c r="G970" i="9"/>
  <c r="G762" i="9"/>
  <c r="G4" i="9"/>
</calcChain>
</file>

<file path=xl/sharedStrings.xml><?xml version="1.0" encoding="utf-8"?>
<sst xmlns="http://schemas.openxmlformats.org/spreadsheetml/2006/main" count="20780" uniqueCount="2322">
  <si>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</si>
  <si>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</si>
  <si>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</si>
  <si>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</si>
  <si>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</si>
  <si>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</si>
  <si>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</si>
  <si>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</si>
  <si>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</si>
  <si>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</si>
  <si>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</si>
  <si>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</si>
  <si>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</si>
  <si>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</si>
  <si>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</si>
  <si>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</si>
  <si>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</si>
  <si>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</si>
  <si>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</si>
  <si>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</si>
  <si>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</si>
  <si>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</si>
  <si>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</si>
  <si>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</si>
  <si>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</si>
  <si>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</si>
  <si>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</si>
  <si>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</si>
  <si>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</si>
  <si>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</si>
  <si>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</si>
  <si>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</si>
  <si>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</si>
  <si>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</si>
  <si>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</si>
  <si>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</si>
  <si>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</si>
  <si>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</si>
  <si>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</si>
  <si>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</si>
  <si>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</si>
  <si>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Maritial Status</t>
  </si>
  <si>
    <t>Row Labels</t>
  </si>
  <si>
    <t>Grand Total</t>
  </si>
  <si>
    <t>Average of Income</t>
  </si>
  <si>
    <t>Column Labels</t>
  </si>
  <si>
    <t>Middle Age</t>
  </si>
  <si>
    <t>Adolescent</t>
  </si>
  <si>
    <t>Old</t>
  </si>
  <si>
    <t>Count of Purchased Bike</t>
  </si>
  <si>
    <t>More than 10 Miles</t>
  </si>
  <si>
    <t>Bike Sales Dashboard</t>
  </si>
  <si>
    <t>VerdiUjustert</t>
  </si>
  <si>
    <t>Internal reference code:</t>
  </si>
  <si>
    <t>External PROD</t>
  </si>
  <si>
    <t>Database:</t>
  </si>
  <si>
    <t>Official statistics</t>
  </si>
  <si>
    <t>End of month</t>
  </si>
  <si>
    <t>Value</t>
  </si>
  <si>
    <t>Reference period:</t>
  </si>
  <si>
    <t>Flow</t>
  </si>
  <si>
    <t>Value:</t>
  </si>
  <si>
    <t>Data type:</t>
  </si>
  <si>
    <t>NOK million</t>
  </si>
  <si>
    <t>Units:</t>
  </si>
  <si>
    <t>nro@ssb.no</t>
  </si>
  <si>
    <t xml:space="preserve"> +47 41 51 63 78</t>
  </si>
  <si>
    <t>Nina Rolsdorph, Statistics Norway</t>
  </si>
  <si>
    <t>utenrikshandel@ssb.no</t>
  </si>
  <si>
    <t xml:space="preserve"> +47 62 88 50 00</t>
  </si>
  <si>
    <t xml:space="preserve"> Utenrikshandel, Statistics Norway</t>
  </si>
  <si>
    <t>Contact:</t>
  </si>
  <si>
    <t>Statistics Norway</t>
  </si>
  <si>
    <t>Source:</t>
  </si>
  <si>
    <t>20251117 08:00</t>
  </si>
  <si>
    <t>Updated:</t>
  </si>
  <si>
    <t>When publishing statistics for a new month of measurement, figures for the previous months in the same year are also revised. Furthermore, the figures for all months of the year are revised twice more: First time in May the following year (year t + 1), before final figures are published in May one year later (year t + 2).</t>
  </si>
  <si>
    <t>For more information, see [About the statistics](https://www.ssb.no/en/muh).</t>
  </si>
  <si>
    <t>2025M10</t>
  </si>
  <si>
    <t>2025M09</t>
  </si>
  <si>
    <t>2025M08</t>
  </si>
  <si>
    <t>2025M07</t>
  </si>
  <si>
    <t>2025M06</t>
  </si>
  <si>
    <t>2025M05</t>
  </si>
  <si>
    <t>2025M04</t>
  </si>
  <si>
    <t>2025M03</t>
  </si>
  <si>
    <t>2025M02</t>
  </si>
  <si>
    <t>2025M01</t>
  </si>
  <si>
    <t>2024M12</t>
  </si>
  <si>
    <t>2024M11</t>
  </si>
  <si>
    <t>2024M10</t>
  </si>
  <si>
    <t>2024M09</t>
  </si>
  <si>
    <t>2024M08</t>
  </si>
  <si>
    <t>2024M07</t>
  </si>
  <si>
    <t>2024M06</t>
  </si>
  <si>
    <t>2024M05</t>
  </si>
  <si>
    <t>2024M04</t>
  </si>
  <si>
    <t>2024M03</t>
  </si>
  <si>
    <t>2024M02</t>
  </si>
  <si>
    <t>2024M01</t>
  </si>
  <si>
    <t>2023M12</t>
  </si>
  <si>
    <t>2023M11</t>
  </si>
  <si>
    <t>2023M10</t>
  </si>
  <si>
    <t>2023M09</t>
  </si>
  <si>
    <t>2023M08</t>
  </si>
  <si>
    <t>2023M07</t>
  </si>
  <si>
    <t>2023M06</t>
  </si>
  <si>
    <t>2023M05</t>
  </si>
  <si>
    <t>2023M04</t>
  </si>
  <si>
    <t>2023M03</t>
  </si>
  <si>
    <t>2023M02</t>
  </si>
  <si>
    <t>2023M01</t>
  </si>
  <si>
    <t>2022M12</t>
  </si>
  <si>
    <t>2022M11</t>
  </si>
  <si>
    <t>2022M10</t>
  </si>
  <si>
    <t>2022M09</t>
  </si>
  <si>
    <t>2022M08</t>
  </si>
  <si>
    <t>2022M07</t>
  </si>
  <si>
    <t>2022M06</t>
  </si>
  <si>
    <t>2022M05</t>
  </si>
  <si>
    <t>2022M04</t>
  </si>
  <si>
    <t>2022M03</t>
  </si>
  <si>
    <t>2022M02</t>
  </si>
  <si>
    <t>2022M01</t>
  </si>
  <si>
    <t>2021M12</t>
  </si>
  <si>
    <t>2021M11</t>
  </si>
  <si>
    <t>2021M10</t>
  </si>
  <si>
    <t>2021M09</t>
  </si>
  <si>
    <t>2021M08</t>
  </si>
  <si>
    <t>2021M07</t>
  </si>
  <si>
    <t>2021M06</t>
  </si>
  <si>
    <t>2021M05</t>
  </si>
  <si>
    <t>2021M04</t>
  </si>
  <si>
    <t>2021M03</t>
  </si>
  <si>
    <t>2021M02</t>
  </si>
  <si>
    <t>2021M01</t>
  </si>
  <si>
    <t>2020M12</t>
  </si>
  <si>
    <t>2020M11</t>
  </si>
  <si>
    <t>2020M10</t>
  </si>
  <si>
    <t>2020M09</t>
  </si>
  <si>
    <t>2020M08</t>
  </si>
  <si>
    <t>2020M07</t>
  </si>
  <si>
    <t>2020M06</t>
  </si>
  <si>
    <t>2020M05</t>
  </si>
  <si>
    <t>2020M04</t>
  </si>
  <si>
    <t>2020M03</t>
  </si>
  <si>
    <t>2020M02</t>
  </si>
  <si>
    <t>2020M01</t>
  </si>
  <si>
    <t>2019M12</t>
  </si>
  <si>
    <t>2019M11</t>
  </si>
  <si>
    <t>2019M10</t>
  </si>
  <si>
    <t>2019M09</t>
  </si>
  <si>
    <t>2019M08</t>
  </si>
  <si>
    <t>2019M07</t>
  </si>
  <si>
    <t>2019M06</t>
  </si>
  <si>
    <t>2019M05</t>
  </si>
  <si>
    <t>2019M04</t>
  </si>
  <si>
    <t>2019M03</t>
  </si>
  <si>
    <t>2019M02</t>
  </si>
  <si>
    <t>2019M01</t>
  </si>
  <si>
    <t>2018M12</t>
  </si>
  <si>
    <t>2018M11</t>
  </si>
  <si>
    <t>2018M10</t>
  </si>
  <si>
    <t>2018M09</t>
  </si>
  <si>
    <t>2018M08</t>
  </si>
  <si>
    <t>2018M07</t>
  </si>
  <si>
    <t>2018M06</t>
  </si>
  <si>
    <t>2018M05</t>
  </si>
  <si>
    <t>2018M04</t>
  </si>
  <si>
    <t>2018M03</t>
  </si>
  <si>
    <t>2018M02</t>
  </si>
  <si>
    <t>2018M01</t>
  </si>
  <si>
    <t>2017M12</t>
  </si>
  <si>
    <t>2017M11</t>
  </si>
  <si>
    <t>2017M10</t>
  </si>
  <si>
    <t>2017M09</t>
  </si>
  <si>
    <t>2017M08</t>
  </si>
  <si>
    <t>2017M07</t>
  </si>
  <si>
    <t>2017M06</t>
  </si>
  <si>
    <t>2017M05</t>
  </si>
  <si>
    <t>2017M04</t>
  </si>
  <si>
    <t>2017M03</t>
  </si>
  <si>
    <t>2017M02</t>
  </si>
  <si>
    <t>2017M01</t>
  </si>
  <si>
    <t>2016M12</t>
  </si>
  <si>
    <t>2016M11</t>
  </si>
  <si>
    <t>2016M10</t>
  </si>
  <si>
    <t>2016M09</t>
  </si>
  <si>
    <t>2016M08</t>
  </si>
  <si>
    <t>2016M07</t>
  </si>
  <si>
    <t>2016M06</t>
  </si>
  <si>
    <t>2016M05</t>
  </si>
  <si>
    <t>2016M04</t>
  </si>
  <si>
    <t>2016M03</t>
  </si>
  <si>
    <t>2016M02</t>
  </si>
  <si>
    <t>2016M01</t>
  </si>
  <si>
    <t>2015M12</t>
  </si>
  <si>
    <t>2015M11</t>
  </si>
  <si>
    <t>2015M10</t>
  </si>
  <si>
    <t>2015M09</t>
  </si>
  <si>
    <t>2015M08</t>
  </si>
  <si>
    <t>2015M07</t>
  </si>
  <si>
    <t>2015M06</t>
  </si>
  <si>
    <t>2015M05</t>
  </si>
  <si>
    <t>2015M04</t>
  </si>
  <si>
    <t>2015M03</t>
  </si>
  <si>
    <t>2015M02</t>
  </si>
  <si>
    <t>2015M01</t>
  </si>
  <si>
    <t>2014M12</t>
  </si>
  <si>
    <t>2014M11</t>
  </si>
  <si>
    <t>2014M10</t>
  </si>
  <si>
    <t>2014M09</t>
  </si>
  <si>
    <t>2014M08</t>
  </si>
  <si>
    <t>2014M07</t>
  </si>
  <si>
    <t>2014M06</t>
  </si>
  <si>
    <t>2014M05</t>
  </si>
  <si>
    <t>2014M04</t>
  </si>
  <si>
    <t>2014M03</t>
  </si>
  <si>
    <t>2014M02</t>
  </si>
  <si>
    <t>2014M01</t>
  </si>
  <si>
    <t>2013M12</t>
  </si>
  <si>
    <t>2013M11</t>
  </si>
  <si>
    <t>2013M10</t>
  </si>
  <si>
    <t>2013M09</t>
  </si>
  <si>
    <t>2013M08</t>
  </si>
  <si>
    <t>2013M07</t>
  </si>
  <si>
    <t>2013M06</t>
  </si>
  <si>
    <t>2013M05</t>
  </si>
  <si>
    <t>2013M04</t>
  </si>
  <si>
    <t>2013M03</t>
  </si>
  <si>
    <t>2013M02</t>
  </si>
  <si>
    <t>2013M01</t>
  </si>
  <si>
    <t>2012M12</t>
  </si>
  <si>
    <t>2012M11</t>
  </si>
  <si>
    <t>2012M10</t>
  </si>
  <si>
    <t>2012M09</t>
  </si>
  <si>
    <t>2012M08</t>
  </si>
  <si>
    <t>2012M07</t>
  </si>
  <si>
    <t>2012M06</t>
  </si>
  <si>
    <t>2012M05</t>
  </si>
  <si>
    <t>2012M04</t>
  </si>
  <si>
    <t>2012M03</t>
  </si>
  <si>
    <t>2012M02</t>
  </si>
  <si>
    <t>2012M01</t>
  </si>
  <si>
    <t>2011M12</t>
  </si>
  <si>
    <t>2011M11</t>
  </si>
  <si>
    <t>2011M10</t>
  </si>
  <si>
    <t>2011M09</t>
  </si>
  <si>
    <t>2011M08</t>
  </si>
  <si>
    <t>2011M07</t>
  </si>
  <si>
    <t>2011M06</t>
  </si>
  <si>
    <t>2011M05</t>
  </si>
  <si>
    <t>2011M04</t>
  </si>
  <si>
    <t>2011M03</t>
  </si>
  <si>
    <t>2011M02</t>
  </si>
  <si>
    <t>2011M01</t>
  </si>
  <si>
    <t>2010M12</t>
  </si>
  <si>
    <t>2010M11</t>
  </si>
  <si>
    <t>2010M10</t>
  </si>
  <si>
    <t>2010M09</t>
  </si>
  <si>
    <t>2010M08</t>
  </si>
  <si>
    <t>2010M07</t>
  </si>
  <si>
    <t>2010M06</t>
  </si>
  <si>
    <t>2010M05</t>
  </si>
  <si>
    <t>2010M04</t>
  </si>
  <si>
    <t>2010M03</t>
  </si>
  <si>
    <t>2010M02</t>
  </si>
  <si>
    <t>2010M01</t>
  </si>
  <si>
    <t>2009M12</t>
  </si>
  <si>
    <t>2009M11</t>
  </si>
  <si>
    <t>2009M10</t>
  </si>
  <si>
    <t>2009M09</t>
  </si>
  <si>
    <t>2009M08</t>
  </si>
  <si>
    <t>2009M07</t>
  </si>
  <si>
    <t>2009M06</t>
  </si>
  <si>
    <t>2009M05</t>
  </si>
  <si>
    <t>2009M04</t>
  </si>
  <si>
    <t>2009M03</t>
  </si>
  <si>
    <t>2009M02</t>
  </si>
  <si>
    <t>2009M01</t>
  </si>
  <si>
    <t>2008M12</t>
  </si>
  <si>
    <t>2008M11</t>
  </si>
  <si>
    <t>2008M10</t>
  </si>
  <si>
    <t>2008M09</t>
  </si>
  <si>
    <t>2008M08</t>
  </si>
  <si>
    <t>2008M07</t>
  </si>
  <si>
    <t>2008M06</t>
  </si>
  <si>
    <t>2008M05</t>
  </si>
  <si>
    <t>2008M04</t>
  </si>
  <si>
    <t>2008M03</t>
  </si>
  <si>
    <t>2008M02</t>
  </si>
  <si>
    <t>2008M01</t>
  </si>
  <si>
    <t>2007M12</t>
  </si>
  <si>
    <t>2007M11</t>
  </si>
  <si>
    <t>2007M10</t>
  </si>
  <si>
    <t>2007M09</t>
  </si>
  <si>
    <t>2007M08</t>
  </si>
  <si>
    <t>2007M07</t>
  </si>
  <si>
    <t>2007M06</t>
  </si>
  <si>
    <t>2007M05</t>
  </si>
  <si>
    <t>2007M04</t>
  </si>
  <si>
    <t>2007M03</t>
  </si>
  <si>
    <t>2007M02</t>
  </si>
  <si>
    <t>2007M01</t>
  </si>
  <si>
    <t>2006M12</t>
  </si>
  <si>
    <t>2006M11</t>
  </si>
  <si>
    <t>2006M10</t>
  </si>
  <si>
    <t>2006M09</t>
  </si>
  <si>
    <t>2006M08</t>
  </si>
  <si>
    <t>2006M07</t>
  </si>
  <si>
    <t>2006M06</t>
  </si>
  <si>
    <t>2006M05</t>
  </si>
  <si>
    <t>2006M04</t>
  </si>
  <si>
    <t>2006M03</t>
  </si>
  <si>
    <t>2006M02</t>
  </si>
  <si>
    <t>2006M01</t>
  </si>
  <si>
    <t>2005M12</t>
  </si>
  <si>
    <t>2005M11</t>
  </si>
  <si>
    <t>2005M10</t>
  </si>
  <si>
    <t>2005M09</t>
  </si>
  <si>
    <t>2005M08</t>
  </si>
  <si>
    <t>2005M07</t>
  </si>
  <si>
    <t>2005M06</t>
  </si>
  <si>
    <t>2005M05</t>
  </si>
  <si>
    <t>2005M04</t>
  </si>
  <si>
    <t>2005M03</t>
  </si>
  <si>
    <t>2005M02</t>
  </si>
  <si>
    <t>2005M01</t>
  </si>
  <si>
    <t>2004M12</t>
  </si>
  <si>
    <t>2004M11</t>
  </si>
  <si>
    <t>2004M10</t>
  </si>
  <si>
    <t>2004M09</t>
  </si>
  <si>
    <t>2004M08</t>
  </si>
  <si>
    <t>2004M07</t>
  </si>
  <si>
    <t>2004M06</t>
  </si>
  <si>
    <t>2004M05</t>
  </si>
  <si>
    <t>2004M04</t>
  </si>
  <si>
    <t>2004M03</t>
  </si>
  <si>
    <t>2004M02</t>
  </si>
  <si>
    <t>2004M01</t>
  </si>
  <si>
    <t>2003M12</t>
  </si>
  <si>
    <t>2003M11</t>
  </si>
  <si>
    <t>2003M10</t>
  </si>
  <si>
    <t>2003M09</t>
  </si>
  <si>
    <t>2003M08</t>
  </si>
  <si>
    <t>2003M07</t>
  </si>
  <si>
    <t>2003M06</t>
  </si>
  <si>
    <t>2003M05</t>
  </si>
  <si>
    <t>2003M04</t>
  </si>
  <si>
    <t>2003M03</t>
  </si>
  <si>
    <t>2003M02</t>
  </si>
  <si>
    <t>2003M01</t>
  </si>
  <si>
    <t>2002M12</t>
  </si>
  <si>
    <t>2002M11</t>
  </si>
  <si>
    <t>2002M10</t>
  </si>
  <si>
    <t>2002M09</t>
  </si>
  <si>
    <t>2002M08</t>
  </si>
  <si>
    <t>2002M07</t>
  </si>
  <si>
    <t>2002M06</t>
  </si>
  <si>
    <t>2002M05</t>
  </si>
  <si>
    <t>2002M04</t>
  </si>
  <si>
    <t>2002M03</t>
  </si>
  <si>
    <t>2002M02</t>
  </si>
  <si>
    <t>2002M01</t>
  </si>
  <si>
    <t>2001M12</t>
  </si>
  <si>
    <t>2001M11</t>
  </si>
  <si>
    <t>2001M10</t>
  </si>
  <si>
    <t>2001M09</t>
  </si>
  <si>
    <t>2001M08</t>
  </si>
  <si>
    <t>2001M07</t>
  </si>
  <si>
    <t>2001M06</t>
  </si>
  <si>
    <t>2001M05</t>
  </si>
  <si>
    <t>2001M04</t>
  </si>
  <si>
    <t>2001M03</t>
  </si>
  <si>
    <t>2001M02</t>
  </si>
  <si>
    <t>2001M01</t>
  </si>
  <si>
    <t>2000M12</t>
  </si>
  <si>
    <t>2000M11</t>
  </si>
  <si>
    <t>2000M10</t>
  </si>
  <si>
    <t>2000M09</t>
  </si>
  <si>
    <t>2000M08</t>
  </si>
  <si>
    <t>2000M07</t>
  </si>
  <si>
    <t>2000M06</t>
  </si>
  <si>
    <t>2000M05</t>
  </si>
  <si>
    <t>2000M04</t>
  </si>
  <si>
    <t>2000M03</t>
  </si>
  <si>
    <t>2000M02</t>
  </si>
  <si>
    <t>2000M01</t>
  </si>
  <si>
    <t>1999M12</t>
  </si>
  <si>
    <t>1999M11</t>
  </si>
  <si>
    <t>1999M10</t>
  </si>
  <si>
    <t>1999M09</t>
  </si>
  <si>
    <t>1999M08</t>
  </si>
  <si>
    <t>1999M07</t>
  </si>
  <si>
    <t>1999M06</t>
  </si>
  <si>
    <t>1999M05</t>
  </si>
  <si>
    <t>1999M04</t>
  </si>
  <si>
    <t>1999M03</t>
  </si>
  <si>
    <t>1999M02</t>
  </si>
  <si>
    <t>1999M01</t>
  </si>
  <si>
    <t>1998M12</t>
  </si>
  <si>
    <t>1998M11</t>
  </si>
  <si>
    <t>1998M10</t>
  </si>
  <si>
    <t>1998M09</t>
  </si>
  <si>
    <t>1998M08</t>
  </si>
  <si>
    <t>1998M07</t>
  </si>
  <si>
    <t>1998M06</t>
  </si>
  <si>
    <t>1998M05</t>
  </si>
  <si>
    <t>1998M04</t>
  </si>
  <si>
    <t>1998M03</t>
  </si>
  <si>
    <t>1998M02</t>
  </si>
  <si>
    <t>1998M01</t>
  </si>
  <si>
    <t>1997M12</t>
  </si>
  <si>
    <t>1997M11</t>
  </si>
  <si>
    <t>1997M10</t>
  </si>
  <si>
    <t>1997M09</t>
  </si>
  <si>
    <t>1997M08</t>
  </si>
  <si>
    <t>1997M07</t>
  </si>
  <si>
    <t>1997M06</t>
  </si>
  <si>
    <t>1997M05</t>
  </si>
  <si>
    <t>1997M04</t>
  </si>
  <si>
    <t>1997M03</t>
  </si>
  <si>
    <t>1997M02</t>
  </si>
  <si>
    <t>1997M01</t>
  </si>
  <si>
    <t>1996M12</t>
  </si>
  <si>
    <t>1996M11</t>
  </si>
  <si>
    <t>1996M10</t>
  </si>
  <si>
    <t>1996M09</t>
  </si>
  <si>
    <t>1996M08</t>
  </si>
  <si>
    <t>1996M07</t>
  </si>
  <si>
    <t>1996M06</t>
  </si>
  <si>
    <t>1996M05</t>
  </si>
  <si>
    <t>1996M04</t>
  </si>
  <si>
    <t>1996M03</t>
  </si>
  <si>
    <t>1996M02</t>
  </si>
  <si>
    <t>1996M01</t>
  </si>
  <si>
    <t>1995M12</t>
  </si>
  <si>
    <t>1995M11</t>
  </si>
  <si>
    <t>1995M10</t>
  </si>
  <si>
    <t>1995M09</t>
  </si>
  <si>
    <t>1995M08</t>
  </si>
  <si>
    <t>1995M07</t>
  </si>
  <si>
    <t>1995M06</t>
  </si>
  <si>
    <t>1995M05</t>
  </si>
  <si>
    <t>1995M04</t>
  </si>
  <si>
    <t>1995M03</t>
  </si>
  <si>
    <t>1995M02</t>
  </si>
  <si>
    <t>1995M01</t>
  </si>
  <si>
    <t>1994M12</t>
  </si>
  <si>
    <t>1994M11</t>
  </si>
  <si>
    <t>1994M10</t>
  </si>
  <si>
    <t>1994M09</t>
  </si>
  <si>
    <t>1994M08</t>
  </si>
  <si>
    <t>1994M07</t>
  </si>
  <si>
    <t>1994M06</t>
  </si>
  <si>
    <t>1994M05</t>
  </si>
  <si>
    <t>1994M04</t>
  </si>
  <si>
    <t>1994M03</t>
  </si>
  <si>
    <t>1994M02</t>
  </si>
  <si>
    <t>1994M01</t>
  </si>
  <si>
    <t>1993M12</t>
  </si>
  <si>
    <t>1993M11</t>
  </si>
  <si>
    <t>1993M10</t>
  </si>
  <si>
    <t>1993M09</t>
  </si>
  <si>
    <t>1993M08</t>
  </si>
  <si>
    <t>1993M07</t>
  </si>
  <si>
    <t>1993M06</t>
  </si>
  <si>
    <t>1993M05</t>
  </si>
  <si>
    <t>1993M04</t>
  </si>
  <si>
    <t>1993M03</t>
  </si>
  <si>
    <t>1993M02</t>
  </si>
  <si>
    <t>1993M01</t>
  </si>
  <si>
    <t>1992M12</t>
  </si>
  <si>
    <t>1992M11</t>
  </si>
  <si>
    <t>1992M10</t>
  </si>
  <si>
    <t>1992M09</t>
  </si>
  <si>
    <t>1992M08</t>
  </si>
  <si>
    <t>1992M07</t>
  </si>
  <si>
    <t>1992M06</t>
  </si>
  <si>
    <t>1992M05</t>
  </si>
  <si>
    <t>1992M04</t>
  </si>
  <si>
    <t>1992M03</t>
  </si>
  <si>
    <t>1992M02</t>
  </si>
  <si>
    <t>1992M01</t>
  </si>
  <si>
    <t>1991M12</t>
  </si>
  <si>
    <t>1991M11</t>
  </si>
  <si>
    <t>1991M10</t>
  </si>
  <si>
    <t>1991M09</t>
  </si>
  <si>
    <t>1991M08</t>
  </si>
  <si>
    <t>1991M07</t>
  </si>
  <si>
    <t>1991M06</t>
  </si>
  <si>
    <t>1991M05</t>
  </si>
  <si>
    <t>1991M04</t>
  </si>
  <si>
    <t>1991M03</t>
  </si>
  <si>
    <t>1991M02</t>
  </si>
  <si>
    <t>1991M01</t>
  </si>
  <si>
    <t>1990M12</t>
  </si>
  <si>
    <t>1990M11</t>
  </si>
  <si>
    <t>1990M10</t>
  </si>
  <si>
    <t>1990M09</t>
  </si>
  <si>
    <t>1990M08</t>
  </si>
  <si>
    <t>1990M07</t>
  </si>
  <si>
    <t>1990M06</t>
  </si>
  <si>
    <t>1990M05</t>
  </si>
  <si>
    <t>1990M04</t>
  </si>
  <si>
    <t>1990M03</t>
  </si>
  <si>
    <t>1990M02</t>
  </si>
  <si>
    <t>1990M01</t>
  </si>
  <si>
    <t>1989M12</t>
  </si>
  <si>
    <t>1989M11</t>
  </si>
  <si>
    <t>1989M10</t>
  </si>
  <si>
    <t>1989M09</t>
  </si>
  <si>
    <t>1989M08</t>
  </si>
  <si>
    <t>1989M07</t>
  </si>
  <si>
    <t>1989M06</t>
  </si>
  <si>
    <t>1989M05</t>
  </si>
  <si>
    <t>1989M04</t>
  </si>
  <si>
    <t>1989M03</t>
  </si>
  <si>
    <t>1989M02</t>
  </si>
  <si>
    <t>1989M01</t>
  </si>
  <si>
    <t>1988M12</t>
  </si>
  <si>
    <t>1988M11</t>
  </si>
  <si>
    <t>1988M10</t>
  </si>
  <si>
    <t>1988M09</t>
  </si>
  <si>
    <t>1988M08</t>
  </si>
  <si>
    <t>1988M07</t>
  </si>
  <si>
    <t>1988M06</t>
  </si>
  <si>
    <t>1988M05</t>
  </si>
  <si>
    <t>1988M04</t>
  </si>
  <si>
    <t>1988M03</t>
  </si>
  <si>
    <t>1988M02</t>
  </si>
  <si>
    <t>1988M01</t>
  </si>
  <si>
    <t>1987M12</t>
  </si>
  <si>
    <t>1987M11</t>
  </si>
  <si>
    <t>1987M10</t>
  </si>
  <si>
    <t>1987M09</t>
  </si>
  <si>
    <t>1987M08</t>
  </si>
  <si>
    <t>1987M07</t>
  </si>
  <si>
    <t>1987M06</t>
  </si>
  <si>
    <t>1987M05</t>
  </si>
  <si>
    <t>1987M04</t>
  </si>
  <si>
    <t>1987M03</t>
  </si>
  <si>
    <t>1987M02</t>
  </si>
  <si>
    <t>1987M01</t>
  </si>
  <si>
    <t>1986M12</t>
  </si>
  <si>
    <t>1986M11</t>
  </si>
  <si>
    <t>1986M10</t>
  </si>
  <si>
    <t>1986M09</t>
  </si>
  <si>
    <t>1986M08</t>
  </si>
  <si>
    <t>1986M07</t>
  </si>
  <si>
    <t>1986M06</t>
  </si>
  <si>
    <t>1986M05</t>
  </si>
  <si>
    <t>1986M04</t>
  </si>
  <si>
    <t>1986M03</t>
  </si>
  <si>
    <t>1986M02</t>
  </si>
  <si>
    <t>1986M01</t>
  </si>
  <si>
    <t>1985M12</t>
  </si>
  <si>
    <t>1985M11</t>
  </si>
  <si>
    <t>1985M10</t>
  </si>
  <si>
    <t>1985M09</t>
  </si>
  <si>
    <t>1985M08</t>
  </si>
  <si>
    <t>1985M07</t>
  </si>
  <si>
    <t>1985M06</t>
  </si>
  <si>
    <t>1985M05</t>
  </si>
  <si>
    <t>1985M04</t>
  </si>
  <si>
    <t>1985M03</t>
  </si>
  <si>
    <t>1985M02</t>
  </si>
  <si>
    <t>1985M01</t>
  </si>
  <si>
    <t>1984M12</t>
  </si>
  <si>
    <t>1984M11</t>
  </si>
  <si>
    <t>1984M10</t>
  </si>
  <si>
    <t>1984M09</t>
  </si>
  <si>
    <t>1984M08</t>
  </si>
  <si>
    <t>1984M07</t>
  </si>
  <si>
    <t>1984M06</t>
  </si>
  <si>
    <t>1984M05</t>
  </si>
  <si>
    <t>1984M04</t>
  </si>
  <si>
    <t>1984M03</t>
  </si>
  <si>
    <t>1984M02</t>
  </si>
  <si>
    <t>1984M01</t>
  </si>
  <si>
    <t>1983M12</t>
  </si>
  <si>
    <t>1983M11</t>
  </si>
  <si>
    <t>1983M10</t>
  </si>
  <si>
    <t>1983M09</t>
  </si>
  <si>
    <t>1983M08</t>
  </si>
  <si>
    <t>1983M07</t>
  </si>
  <si>
    <t>1983M06</t>
  </si>
  <si>
    <t>1983M05</t>
  </si>
  <si>
    <t>1983M04</t>
  </si>
  <si>
    <t>1983M03</t>
  </si>
  <si>
    <t>1983M02</t>
  </si>
  <si>
    <t>1983M01</t>
  </si>
  <si>
    <t>1982M12</t>
  </si>
  <si>
    <t>1982M11</t>
  </si>
  <si>
    <t>1982M10</t>
  </si>
  <si>
    <t>1982M09</t>
  </si>
  <si>
    <t>1982M08</t>
  </si>
  <si>
    <t>1982M07</t>
  </si>
  <si>
    <t>1982M06</t>
  </si>
  <si>
    <t>1982M05</t>
  </si>
  <si>
    <t>1982M04</t>
  </si>
  <si>
    <t>1982M03</t>
  </si>
  <si>
    <t>1982M02</t>
  </si>
  <si>
    <t>1982M01</t>
  </si>
  <si>
    <t>1981M12</t>
  </si>
  <si>
    <t>1981M11</t>
  </si>
  <si>
    <t>1981M10</t>
  </si>
  <si>
    <t>1981M09</t>
  </si>
  <si>
    <t>1981M08</t>
  </si>
  <si>
    <t>1981M07</t>
  </si>
  <si>
    <t>1981M06</t>
  </si>
  <si>
    <t>1981M05</t>
  </si>
  <si>
    <t>1981M04</t>
  </si>
  <si>
    <t>1981M03</t>
  </si>
  <si>
    <t>1981M02</t>
  </si>
  <si>
    <t>1981M01</t>
  </si>
  <si>
    <t>1980M12</t>
  </si>
  <si>
    <t>1980M11</t>
  </si>
  <si>
    <t>1980M10</t>
  </si>
  <si>
    <t>1980M09</t>
  </si>
  <si>
    <t>1980M08</t>
  </si>
  <si>
    <t>1980M07</t>
  </si>
  <si>
    <t>1980M06</t>
  </si>
  <si>
    <t>1980M05</t>
  </si>
  <si>
    <t>1980M04</t>
  </si>
  <si>
    <t>1980M03</t>
  </si>
  <si>
    <t>1980M02</t>
  </si>
  <si>
    <t>1980M01</t>
  </si>
  <si>
    <t>Total exports</t>
  </si>
  <si>
    <t>08792: External trade in goods, main figures (NOK million), by trade flow, month and contents</t>
  </si>
  <si>
    <t>Kilopris</t>
  </si>
  <si>
    <t>End of week</t>
  </si>
  <si>
    <t>Price per kilo (NOK)</t>
  </si>
  <si>
    <t>Price per kilo (NOK):</t>
  </si>
  <si>
    <t>NOK</t>
  </si>
  <si>
    <t>20251119 08:00</t>
  </si>
  <si>
    <t>2025U46</t>
  </si>
  <si>
    <t>2025U45</t>
  </si>
  <si>
    <t>2025U44</t>
  </si>
  <si>
    <t>2025U43</t>
  </si>
  <si>
    <t>2025U42</t>
  </si>
  <si>
    <t>2025U41</t>
  </si>
  <si>
    <t>2025U40</t>
  </si>
  <si>
    <t>2025U39</t>
  </si>
  <si>
    <t>2025U38</t>
  </si>
  <si>
    <t>2025U37</t>
  </si>
  <si>
    <t>2025U36</t>
  </si>
  <si>
    <t>2025U35</t>
  </si>
  <si>
    <t>2025U34</t>
  </si>
  <si>
    <t>2025U33</t>
  </si>
  <si>
    <t>2025U32</t>
  </si>
  <si>
    <t>2025U31</t>
  </si>
  <si>
    <t>2025U30</t>
  </si>
  <si>
    <t>2025U29</t>
  </si>
  <si>
    <t>2025U28</t>
  </si>
  <si>
    <t>2025U27</t>
  </si>
  <si>
    <t>2025U26</t>
  </si>
  <si>
    <t>2025U25</t>
  </si>
  <si>
    <t>2025U24</t>
  </si>
  <si>
    <t>2025U23</t>
  </si>
  <si>
    <t>2025U22</t>
  </si>
  <si>
    <t>2025U21</t>
  </si>
  <si>
    <t>2025U20</t>
  </si>
  <si>
    <t>2025U19</t>
  </si>
  <si>
    <t>2025U18</t>
  </si>
  <si>
    <t>2025U17</t>
  </si>
  <si>
    <t>2025U16</t>
  </si>
  <si>
    <t>2025U15</t>
  </si>
  <si>
    <t>2025U14</t>
  </si>
  <si>
    <t>2025U13</t>
  </si>
  <si>
    <t>2025U12</t>
  </si>
  <si>
    <t>2025U11</t>
  </si>
  <si>
    <t>2025U10</t>
  </si>
  <si>
    <t>2025U09</t>
  </si>
  <si>
    <t>2025U08</t>
  </si>
  <si>
    <t>2025U07</t>
  </si>
  <si>
    <t>2025U06</t>
  </si>
  <si>
    <t>2025U05</t>
  </si>
  <si>
    <t>2025U04</t>
  </si>
  <si>
    <t>2025U03</t>
  </si>
  <si>
    <t>2025U02</t>
  </si>
  <si>
    <t>2025U01</t>
  </si>
  <si>
    <t>2024U52</t>
  </si>
  <si>
    <t>2024U51</t>
  </si>
  <si>
    <t>2024U50</t>
  </si>
  <si>
    <t>2024U49</t>
  </si>
  <si>
    <t>2024U48</t>
  </si>
  <si>
    <t>2024U47</t>
  </si>
  <si>
    <t>2024U46</t>
  </si>
  <si>
    <t>2024U45</t>
  </si>
  <si>
    <t>2024U44</t>
  </si>
  <si>
    <t>2024U43</t>
  </si>
  <si>
    <t>2024U42</t>
  </si>
  <si>
    <t>2024U41</t>
  </si>
  <si>
    <t>2024U40</t>
  </si>
  <si>
    <t>2024U39</t>
  </si>
  <si>
    <t>2024U38</t>
  </si>
  <si>
    <t>2024U37</t>
  </si>
  <si>
    <t>2024U36</t>
  </si>
  <si>
    <t>2024U35</t>
  </si>
  <si>
    <t>2024U34</t>
  </si>
  <si>
    <t>2024U33</t>
  </si>
  <si>
    <t>2024U32</t>
  </si>
  <si>
    <t>2024U31</t>
  </si>
  <si>
    <t>2024U30</t>
  </si>
  <si>
    <t>2024U29</t>
  </si>
  <si>
    <t>2024U28</t>
  </si>
  <si>
    <t>2024U27</t>
  </si>
  <si>
    <t>2024U26</t>
  </si>
  <si>
    <t>2024U25</t>
  </si>
  <si>
    <t>2024U24</t>
  </si>
  <si>
    <t>2024U23</t>
  </si>
  <si>
    <t>2024U22</t>
  </si>
  <si>
    <t>2024U21</t>
  </si>
  <si>
    <t>2024U20</t>
  </si>
  <si>
    <t>2024U19</t>
  </si>
  <si>
    <t>2024U18</t>
  </si>
  <si>
    <t>2024U17</t>
  </si>
  <si>
    <t>2024U16</t>
  </si>
  <si>
    <t>2024U15</t>
  </si>
  <si>
    <t>2024U14</t>
  </si>
  <si>
    <t>2024U13</t>
  </si>
  <si>
    <t>2024U12</t>
  </si>
  <si>
    <t>2024U11</t>
  </si>
  <si>
    <t>2024U10</t>
  </si>
  <si>
    <t>2024U09</t>
  </si>
  <si>
    <t>2024U08</t>
  </si>
  <si>
    <t>2024U07</t>
  </si>
  <si>
    <t>2024U06</t>
  </si>
  <si>
    <t>2024U05</t>
  </si>
  <si>
    <t>2024U04</t>
  </si>
  <si>
    <t>2024U03</t>
  </si>
  <si>
    <t>2024U02</t>
  </si>
  <si>
    <t>2024U01</t>
  </si>
  <si>
    <t>2023U52</t>
  </si>
  <si>
    <t>2023U51</t>
  </si>
  <si>
    <t>2023U50</t>
  </si>
  <si>
    <t>2023U49</t>
  </si>
  <si>
    <t>2023U48</t>
  </si>
  <si>
    <t>2023U47</t>
  </si>
  <si>
    <t>2023U46</t>
  </si>
  <si>
    <t>2023U45</t>
  </si>
  <si>
    <t>2023U44</t>
  </si>
  <si>
    <t>2023U43</t>
  </si>
  <si>
    <t>2023U42</t>
  </si>
  <si>
    <t>2023U41</t>
  </si>
  <si>
    <t>2023U40</t>
  </si>
  <si>
    <t>2023U39</t>
  </si>
  <si>
    <t>2023U38</t>
  </si>
  <si>
    <t>2023U37</t>
  </si>
  <si>
    <t>2023U36</t>
  </si>
  <si>
    <t>2023U35</t>
  </si>
  <si>
    <t>2023U34</t>
  </si>
  <si>
    <t>2023U33</t>
  </si>
  <si>
    <t>2023U32</t>
  </si>
  <si>
    <t>2023U31</t>
  </si>
  <si>
    <t>2023U30</t>
  </si>
  <si>
    <t>2023U29</t>
  </si>
  <si>
    <t>2023U28</t>
  </si>
  <si>
    <t>2023U27</t>
  </si>
  <si>
    <t>2023U26</t>
  </si>
  <si>
    <t>2023U25</t>
  </si>
  <si>
    <t>2023U24</t>
  </si>
  <si>
    <t>2023U23</t>
  </si>
  <si>
    <t>2023U22</t>
  </si>
  <si>
    <t>2023U21</t>
  </si>
  <si>
    <t>2023U20</t>
  </si>
  <si>
    <t>2023U19</t>
  </si>
  <si>
    <t>2023U18</t>
  </si>
  <si>
    <t>2023U17</t>
  </si>
  <si>
    <t>2023U16</t>
  </si>
  <si>
    <t>2023U15</t>
  </si>
  <si>
    <t>2023U14</t>
  </si>
  <si>
    <t>2023U13</t>
  </si>
  <si>
    <t>2023U12</t>
  </si>
  <si>
    <t>2023U11</t>
  </si>
  <si>
    <t>2023U10</t>
  </si>
  <si>
    <t>2023U09</t>
  </si>
  <si>
    <t>2023U08</t>
  </si>
  <si>
    <t>2023U07</t>
  </si>
  <si>
    <t>2023U06</t>
  </si>
  <si>
    <t>2023U05</t>
  </si>
  <si>
    <t>2023U04</t>
  </si>
  <si>
    <t>2023U03</t>
  </si>
  <si>
    <t>2023U02</t>
  </si>
  <si>
    <t>2023U01</t>
  </si>
  <si>
    <t>2022U52</t>
  </si>
  <si>
    <t>2022U51</t>
  </si>
  <si>
    <t>2022U50</t>
  </si>
  <si>
    <t>2022U49</t>
  </si>
  <si>
    <t>2022U48</t>
  </si>
  <si>
    <t>2022U47</t>
  </si>
  <si>
    <t>2022U46</t>
  </si>
  <si>
    <t>2022U45</t>
  </si>
  <si>
    <t>2022U44</t>
  </si>
  <si>
    <t>2022U43</t>
  </si>
  <si>
    <t>2022U42</t>
  </si>
  <si>
    <t>2022U41</t>
  </si>
  <si>
    <t>2022U40</t>
  </si>
  <si>
    <t>2022U39</t>
  </si>
  <si>
    <t>2022U38</t>
  </si>
  <si>
    <t>2022U37</t>
  </si>
  <si>
    <t>2022U36</t>
  </si>
  <si>
    <t>2022U35</t>
  </si>
  <si>
    <t>2022U34</t>
  </si>
  <si>
    <t>2022U33</t>
  </si>
  <si>
    <t>2022U32</t>
  </si>
  <si>
    <t>2022U31</t>
  </si>
  <si>
    <t>2022U30</t>
  </si>
  <si>
    <t>2022U29</t>
  </si>
  <si>
    <t>2022U28</t>
  </si>
  <si>
    <t>2022U27</t>
  </si>
  <si>
    <t>2022U26</t>
  </si>
  <si>
    <t>2022U25</t>
  </si>
  <si>
    <t>2022U24</t>
  </si>
  <si>
    <t>2022U23</t>
  </si>
  <si>
    <t>2022U22</t>
  </si>
  <si>
    <t>2022U21</t>
  </si>
  <si>
    <t>2022U20</t>
  </si>
  <si>
    <t>2022U19</t>
  </si>
  <si>
    <t>2022U18</t>
  </si>
  <si>
    <t>2022U17</t>
  </si>
  <si>
    <t>2022U16</t>
  </si>
  <si>
    <t>2022U15</t>
  </si>
  <si>
    <t>2022U14</t>
  </si>
  <si>
    <t>2022U13</t>
  </si>
  <si>
    <t>2022U12</t>
  </si>
  <si>
    <t>2022U11</t>
  </si>
  <si>
    <t>2022U10</t>
  </si>
  <si>
    <t>2022U09</t>
  </si>
  <si>
    <t>2022U08</t>
  </si>
  <si>
    <t>2022U07</t>
  </si>
  <si>
    <t>2022U06</t>
  </si>
  <si>
    <t>2022U05</t>
  </si>
  <si>
    <t>2022U04</t>
  </si>
  <si>
    <t>2022U03</t>
  </si>
  <si>
    <t>2022U02</t>
  </si>
  <si>
    <t>2022U01</t>
  </si>
  <si>
    <t>2021U52</t>
  </si>
  <si>
    <t>2021U51</t>
  </si>
  <si>
    <t>2021U50</t>
  </si>
  <si>
    <t>2021U49</t>
  </si>
  <si>
    <t>2021U48</t>
  </si>
  <si>
    <t>2021U47</t>
  </si>
  <si>
    <t>2021U46</t>
  </si>
  <si>
    <t>2021U45</t>
  </si>
  <si>
    <t>2021U44</t>
  </si>
  <si>
    <t>2021U43</t>
  </si>
  <si>
    <t>2021U42</t>
  </si>
  <si>
    <t>2021U41</t>
  </si>
  <si>
    <t>2021U40</t>
  </si>
  <si>
    <t>2021U39</t>
  </si>
  <si>
    <t>2021U38</t>
  </si>
  <si>
    <t>2021U37</t>
  </si>
  <si>
    <t>2021U36</t>
  </si>
  <si>
    <t>2021U35</t>
  </si>
  <si>
    <t>2021U34</t>
  </si>
  <si>
    <t>2021U33</t>
  </si>
  <si>
    <t>2021U32</t>
  </si>
  <si>
    <t>2021U31</t>
  </si>
  <si>
    <t>2021U30</t>
  </si>
  <si>
    <t>2021U29</t>
  </si>
  <si>
    <t>2021U28</t>
  </si>
  <si>
    <t>2021U27</t>
  </si>
  <si>
    <t>2021U26</t>
  </si>
  <si>
    <t>2021U25</t>
  </si>
  <si>
    <t>2021U24</t>
  </si>
  <si>
    <t>2021U23</t>
  </si>
  <si>
    <t>2021U22</t>
  </si>
  <si>
    <t>2021U21</t>
  </si>
  <si>
    <t>2021U20</t>
  </si>
  <si>
    <t>2021U19</t>
  </si>
  <si>
    <t>2021U18</t>
  </si>
  <si>
    <t>2021U17</t>
  </si>
  <si>
    <t>2021U16</t>
  </si>
  <si>
    <t>2021U15</t>
  </si>
  <si>
    <t>2021U14</t>
  </si>
  <si>
    <t>2021U13</t>
  </si>
  <si>
    <t>2021U12</t>
  </si>
  <si>
    <t>2021U11</t>
  </si>
  <si>
    <t>2021U10</t>
  </si>
  <si>
    <t>2021U09</t>
  </si>
  <si>
    <t>2021U08</t>
  </si>
  <si>
    <t>2021U07</t>
  </si>
  <si>
    <t>2021U06</t>
  </si>
  <si>
    <t>2021U05</t>
  </si>
  <si>
    <t>2021U04</t>
  </si>
  <si>
    <t>2021U03</t>
  </si>
  <si>
    <t>2021U02</t>
  </si>
  <si>
    <t>2021U01</t>
  </si>
  <si>
    <t>2020U53</t>
  </si>
  <si>
    <t>2020U52</t>
  </si>
  <si>
    <t>2020U51</t>
  </si>
  <si>
    <t>2020U50</t>
  </si>
  <si>
    <t>2020U49</t>
  </si>
  <si>
    <t>2020U48</t>
  </si>
  <si>
    <t>2020U47</t>
  </si>
  <si>
    <t>2020U46</t>
  </si>
  <si>
    <t>2020U45</t>
  </si>
  <si>
    <t>2020U44</t>
  </si>
  <si>
    <t>2020U43</t>
  </si>
  <si>
    <t>2020U42</t>
  </si>
  <si>
    <t>2020U41</t>
  </si>
  <si>
    <t>2020U40</t>
  </si>
  <si>
    <t>2020U39</t>
  </si>
  <si>
    <t>2020U38</t>
  </si>
  <si>
    <t>2020U37</t>
  </si>
  <si>
    <t>2020U36</t>
  </si>
  <si>
    <t>2020U35</t>
  </si>
  <si>
    <t>2020U34</t>
  </si>
  <si>
    <t>2020U33</t>
  </si>
  <si>
    <t>2020U32</t>
  </si>
  <si>
    <t>2020U31</t>
  </si>
  <si>
    <t>2020U30</t>
  </si>
  <si>
    <t>2020U29</t>
  </si>
  <si>
    <t>2020U28</t>
  </si>
  <si>
    <t>2020U27</t>
  </si>
  <si>
    <t>2020U26</t>
  </si>
  <si>
    <t>2020U25</t>
  </si>
  <si>
    <t>2020U24</t>
  </si>
  <si>
    <t>2020U23</t>
  </si>
  <si>
    <t>2020U22</t>
  </si>
  <si>
    <t>2020U21</t>
  </si>
  <si>
    <t>2020U20</t>
  </si>
  <si>
    <t>2020U19</t>
  </si>
  <si>
    <t>2020U18</t>
  </si>
  <si>
    <t>2020U17</t>
  </si>
  <si>
    <t>2020U16</t>
  </si>
  <si>
    <t>2020U15</t>
  </si>
  <si>
    <t>2020U14</t>
  </si>
  <si>
    <t>2020U13</t>
  </si>
  <si>
    <t>2020U12</t>
  </si>
  <si>
    <t>2020U11</t>
  </si>
  <si>
    <t>2020U10</t>
  </si>
  <si>
    <t>2020U09</t>
  </si>
  <si>
    <t>2020U08</t>
  </si>
  <si>
    <t>2020U07</t>
  </si>
  <si>
    <t>2020U06</t>
  </si>
  <si>
    <t>2020U05</t>
  </si>
  <si>
    <t>2020U04</t>
  </si>
  <si>
    <t>2020U03</t>
  </si>
  <si>
    <t>2020U02</t>
  </si>
  <si>
    <t>2020U01</t>
  </si>
  <si>
    <t>2019U52</t>
  </si>
  <si>
    <t>2019U51</t>
  </si>
  <si>
    <t>2019U50</t>
  </si>
  <si>
    <t>2019U49</t>
  </si>
  <si>
    <t>2019U48</t>
  </si>
  <si>
    <t>2019U47</t>
  </si>
  <si>
    <t>2019U46</t>
  </si>
  <si>
    <t>2019U45</t>
  </si>
  <si>
    <t>2019U44</t>
  </si>
  <si>
    <t>2019U43</t>
  </si>
  <si>
    <t>2019U42</t>
  </si>
  <si>
    <t>2019U41</t>
  </si>
  <si>
    <t>2019U40</t>
  </si>
  <si>
    <t>2019U39</t>
  </si>
  <si>
    <t>2019U38</t>
  </si>
  <si>
    <t>2019U37</t>
  </si>
  <si>
    <t>2019U36</t>
  </si>
  <si>
    <t>2019U35</t>
  </si>
  <si>
    <t>2019U34</t>
  </si>
  <si>
    <t>2019U33</t>
  </si>
  <si>
    <t>2019U32</t>
  </si>
  <si>
    <t>2019U31</t>
  </si>
  <si>
    <t>2019U30</t>
  </si>
  <si>
    <t>2019U29</t>
  </si>
  <si>
    <t>2019U28</t>
  </si>
  <si>
    <t>2019U27</t>
  </si>
  <si>
    <t>2019U26</t>
  </si>
  <si>
    <t>2019U25</t>
  </si>
  <si>
    <t>2019U24</t>
  </si>
  <si>
    <t>2019U23</t>
  </si>
  <si>
    <t>2019U22</t>
  </si>
  <si>
    <t>2019U21</t>
  </si>
  <si>
    <t>2019U20</t>
  </si>
  <si>
    <t>2019U19</t>
  </si>
  <si>
    <t>2019U18</t>
  </si>
  <si>
    <t>2019U17</t>
  </si>
  <si>
    <t>2019U16</t>
  </si>
  <si>
    <t>2019U15</t>
  </si>
  <si>
    <t>2019U14</t>
  </si>
  <si>
    <t>2019U13</t>
  </si>
  <si>
    <t>2019U12</t>
  </si>
  <si>
    <t>2019U11</t>
  </si>
  <si>
    <t>2019U10</t>
  </si>
  <si>
    <t>2019U09</t>
  </si>
  <si>
    <t>2019U08</t>
  </si>
  <si>
    <t>2019U07</t>
  </si>
  <si>
    <t>2019U06</t>
  </si>
  <si>
    <t>2019U05</t>
  </si>
  <si>
    <t>2019U04</t>
  </si>
  <si>
    <t>2019U03</t>
  </si>
  <si>
    <t>2019U02</t>
  </si>
  <si>
    <t>2019U01</t>
  </si>
  <si>
    <t>2018U52</t>
  </si>
  <si>
    <t>2018U51</t>
  </si>
  <si>
    <t>2018U50</t>
  </si>
  <si>
    <t>2018U49</t>
  </si>
  <si>
    <t>2018U48</t>
  </si>
  <si>
    <t>2018U47</t>
  </si>
  <si>
    <t>2018U46</t>
  </si>
  <si>
    <t>2018U45</t>
  </si>
  <si>
    <t>2018U44</t>
  </si>
  <si>
    <t>2018U43</t>
  </si>
  <si>
    <t>2018U42</t>
  </si>
  <si>
    <t>2018U41</t>
  </si>
  <si>
    <t>2018U40</t>
  </si>
  <si>
    <t>2018U39</t>
  </si>
  <si>
    <t>2018U38</t>
  </si>
  <si>
    <t>2018U37</t>
  </si>
  <si>
    <t>2018U36</t>
  </si>
  <si>
    <t>2018U35</t>
  </si>
  <si>
    <t>2018U34</t>
  </si>
  <si>
    <t>2018U33</t>
  </si>
  <si>
    <t>2018U32</t>
  </si>
  <si>
    <t>2018U31</t>
  </si>
  <si>
    <t>2018U30</t>
  </si>
  <si>
    <t>2018U29</t>
  </si>
  <si>
    <t>2018U28</t>
  </si>
  <si>
    <t>2018U27</t>
  </si>
  <si>
    <t>2018U26</t>
  </si>
  <si>
    <t>2018U25</t>
  </si>
  <si>
    <t>2018U24</t>
  </si>
  <si>
    <t>2018U23</t>
  </si>
  <si>
    <t>2018U22</t>
  </si>
  <si>
    <t>2018U21</t>
  </si>
  <si>
    <t>2018U20</t>
  </si>
  <si>
    <t>2018U19</t>
  </si>
  <si>
    <t>2018U18</t>
  </si>
  <si>
    <t>2018U17</t>
  </si>
  <si>
    <t>2018U16</t>
  </si>
  <si>
    <t>2018U15</t>
  </si>
  <si>
    <t>2018U14</t>
  </si>
  <si>
    <t>2018U13</t>
  </si>
  <si>
    <t>2018U12</t>
  </si>
  <si>
    <t>2018U11</t>
  </si>
  <si>
    <t>2018U10</t>
  </si>
  <si>
    <t>2018U09</t>
  </si>
  <si>
    <t>2018U08</t>
  </si>
  <si>
    <t>2018U07</t>
  </si>
  <si>
    <t>2018U06</t>
  </si>
  <si>
    <t>2018U05</t>
  </si>
  <si>
    <t>2018U04</t>
  </si>
  <si>
    <t>2018U03</t>
  </si>
  <si>
    <t>2018U02</t>
  </si>
  <si>
    <t>2018U01</t>
  </si>
  <si>
    <t>2017U52</t>
  </si>
  <si>
    <t>2017U51</t>
  </si>
  <si>
    <t>2017U50</t>
  </si>
  <si>
    <t>2017U49</t>
  </si>
  <si>
    <t>2017U48</t>
  </si>
  <si>
    <t>2017U47</t>
  </si>
  <si>
    <t>2017U46</t>
  </si>
  <si>
    <t>2017U45</t>
  </si>
  <si>
    <t>2017U44</t>
  </si>
  <si>
    <t>2017U43</t>
  </si>
  <si>
    <t>2017U42</t>
  </si>
  <si>
    <t>2017U41</t>
  </si>
  <si>
    <t>2017U40</t>
  </si>
  <si>
    <t>2017U39</t>
  </si>
  <si>
    <t>2017U38</t>
  </si>
  <si>
    <t>2017U37</t>
  </si>
  <si>
    <t>2017U36</t>
  </si>
  <si>
    <t>2017U35</t>
  </si>
  <si>
    <t>2017U34</t>
  </si>
  <si>
    <t>2017U33</t>
  </si>
  <si>
    <t>2017U32</t>
  </si>
  <si>
    <t>2017U31</t>
  </si>
  <si>
    <t>2017U30</t>
  </si>
  <si>
    <t>2017U29</t>
  </si>
  <si>
    <t>2017U28</t>
  </si>
  <si>
    <t>2017U27</t>
  </si>
  <si>
    <t>2017U26</t>
  </si>
  <si>
    <t>2017U25</t>
  </si>
  <si>
    <t>2017U24</t>
  </si>
  <si>
    <t>2017U23</t>
  </si>
  <si>
    <t>2017U22</t>
  </si>
  <si>
    <t>2017U21</t>
  </si>
  <si>
    <t>2017U20</t>
  </si>
  <si>
    <t>2017U19</t>
  </si>
  <si>
    <t>2017U18</t>
  </si>
  <si>
    <t>2017U17</t>
  </si>
  <si>
    <t>2017U16</t>
  </si>
  <si>
    <t>2017U15</t>
  </si>
  <si>
    <t>2017U14</t>
  </si>
  <si>
    <t>2017U13</t>
  </si>
  <si>
    <t>2017U12</t>
  </si>
  <si>
    <t>2017U11</t>
  </si>
  <si>
    <t>2017U10</t>
  </si>
  <si>
    <t>2017U09</t>
  </si>
  <si>
    <t>2017U08</t>
  </si>
  <si>
    <t>2017U07</t>
  </si>
  <si>
    <t>2017U06</t>
  </si>
  <si>
    <t>2017U05</t>
  </si>
  <si>
    <t>2017U04</t>
  </si>
  <si>
    <t>2017U03</t>
  </si>
  <si>
    <t>2017U02</t>
  </si>
  <si>
    <t>2017U01</t>
  </si>
  <si>
    <t>2016U52</t>
  </si>
  <si>
    <t>2016U51</t>
  </si>
  <si>
    <t>2016U50</t>
  </si>
  <si>
    <t>2016U49</t>
  </si>
  <si>
    <t>2016U48</t>
  </si>
  <si>
    <t>2016U47</t>
  </si>
  <si>
    <t>2016U46</t>
  </si>
  <si>
    <t>2016U45</t>
  </si>
  <si>
    <t>2016U44</t>
  </si>
  <si>
    <t>2016U43</t>
  </si>
  <si>
    <t>2016U42</t>
  </si>
  <si>
    <t>2016U41</t>
  </si>
  <si>
    <t>2016U40</t>
  </si>
  <si>
    <t>2016U39</t>
  </si>
  <si>
    <t>2016U38</t>
  </si>
  <si>
    <t>2016U37</t>
  </si>
  <si>
    <t>2016U36</t>
  </si>
  <si>
    <t>2016U35</t>
  </si>
  <si>
    <t>2016U34</t>
  </si>
  <si>
    <t>2016U33</t>
  </si>
  <si>
    <t>2016U32</t>
  </si>
  <si>
    <t>2016U31</t>
  </si>
  <si>
    <t>2016U30</t>
  </si>
  <si>
    <t>2016U29</t>
  </si>
  <si>
    <t>2016U28</t>
  </si>
  <si>
    <t>2016U27</t>
  </si>
  <si>
    <t>2016U26</t>
  </si>
  <si>
    <t>2016U25</t>
  </si>
  <si>
    <t>2016U24</t>
  </si>
  <si>
    <t>2016U23</t>
  </si>
  <si>
    <t>2016U22</t>
  </si>
  <si>
    <t>2016U21</t>
  </si>
  <si>
    <t>2016U20</t>
  </si>
  <si>
    <t>2016U19</t>
  </si>
  <si>
    <t>2016U18</t>
  </si>
  <si>
    <t>2016U17</t>
  </si>
  <si>
    <t>2016U16</t>
  </si>
  <si>
    <t>2016U15</t>
  </si>
  <si>
    <t>2016U14</t>
  </si>
  <si>
    <t>2016U13</t>
  </si>
  <si>
    <t>2016U12</t>
  </si>
  <si>
    <t>2016U11</t>
  </si>
  <si>
    <t>2016U10</t>
  </si>
  <si>
    <t>2016U09</t>
  </si>
  <si>
    <t>2016U08</t>
  </si>
  <si>
    <t>2016U07</t>
  </si>
  <si>
    <t>2016U06</t>
  </si>
  <si>
    <t>2016U05</t>
  </si>
  <si>
    <t>2016U04</t>
  </si>
  <si>
    <t>2016U03</t>
  </si>
  <si>
    <t>2016U02</t>
  </si>
  <si>
    <t>2016U01</t>
  </si>
  <si>
    <t>2015U53</t>
  </si>
  <si>
    <t>2015U52</t>
  </si>
  <si>
    <t>2015U51</t>
  </si>
  <si>
    <t>2015U50</t>
  </si>
  <si>
    <t>2015U49</t>
  </si>
  <si>
    <t>2015U48</t>
  </si>
  <si>
    <t>2015U47</t>
  </si>
  <si>
    <t>2015U46</t>
  </si>
  <si>
    <t>2015U45</t>
  </si>
  <si>
    <t>2015U44</t>
  </si>
  <si>
    <t>2015U43</t>
  </si>
  <si>
    <t>2015U42</t>
  </si>
  <si>
    <t>2015U41</t>
  </si>
  <si>
    <t>2015U40</t>
  </si>
  <si>
    <t>2015U39</t>
  </si>
  <si>
    <t>2015U38</t>
  </si>
  <si>
    <t>2015U37</t>
  </si>
  <si>
    <t>2015U36</t>
  </si>
  <si>
    <t>2015U35</t>
  </si>
  <si>
    <t>2015U34</t>
  </si>
  <si>
    <t>2015U33</t>
  </si>
  <si>
    <t>2015U32</t>
  </si>
  <si>
    <t>2015U31</t>
  </si>
  <si>
    <t>2015U30</t>
  </si>
  <si>
    <t>2015U29</t>
  </si>
  <si>
    <t>2015U28</t>
  </si>
  <si>
    <t>2015U27</t>
  </si>
  <si>
    <t>2015U26</t>
  </si>
  <si>
    <t>2015U25</t>
  </si>
  <si>
    <t>2015U24</t>
  </si>
  <si>
    <t>2015U23</t>
  </si>
  <si>
    <t>2015U22</t>
  </si>
  <si>
    <t>2015U21</t>
  </si>
  <si>
    <t>2015U20</t>
  </si>
  <si>
    <t>2015U19</t>
  </si>
  <si>
    <t>2015U18</t>
  </si>
  <si>
    <t>2015U17</t>
  </si>
  <si>
    <t>2015U16</t>
  </si>
  <si>
    <t>2015U15</t>
  </si>
  <si>
    <t>2015U14</t>
  </si>
  <si>
    <t>2015U13</t>
  </si>
  <si>
    <t>2015U12</t>
  </si>
  <si>
    <t>2015U11</t>
  </si>
  <si>
    <t>2015U10</t>
  </si>
  <si>
    <t>2015U09</t>
  </si>
  <si>
    <t>2015U08</t>
  </si>
  <si>
    <t>2015U07</t>
  </si>
  <si>
    <t>2015U06</t>
  </si>
  <si>
    <t>2015U05</t>
  </si>
  <si>
    <t>2015U04</t>
  </si>
  <si>
    <t>2015U03</t>
  </si>
  <si>
    <t>2015U02</t>
  </si>
  <si>
    <t>2015U01</t>
  </si>
  <si>
    <t>2014U52</t>
  </si>
  <si>
    <t>2014U51</t>
  </si>
  <si>
    <t>2014U50</t>
  </si>
  <si>
    <t>2014U49</t>
  </si>
  <si>
    <t>2014U48</t>
  </si>
  <si>
    <t>2014U47</t>
  </si>
  <si>
    <t>2014U46</t>
  </si>
  <si>
    <t>2014U45</t>
  </si>
  <si>
    <t>2014U44</t>
  </si>
  <si>
    <t>2014U43</t>
  </si>
  <si>
    <t>2014U42</t>
  </si>
  <si>
    <t>2014U41</t>
  </si>
  <si>
    <t>2014U40</t>
  </si>
  <si>
    <t>2014U39</t>
  </si>
  <si>
    <t>2014U38</t>
  </si>
  <si>
    <t>2014U37</t>
  </si>
  <si>
    <t>2014U36</t>
  </si>
  <si>
    <t>2014U35</t>
  </si>
  <si>
    <t>2014U34</t>
  </si>
  <si>
    <t>2014U33</t>
  </si>
  <si>
    <t>2014U32</t>
  </si>
  <si>
    <t>2014U31</t>
  </si>
  <si>
    <t>2014U30</t>
  </si>
  <si>
    <t>2014U29</t>
  </si>
  <si>
    <t>2014U28</t>
  </si>
  <si>
    <t>2014U27</t>
  </si>
  <si>
    <t>2014U26</t>
  </si>
  <si>
    <t>2014U25</t>
  </si>
  <si>
    <t>2014U24</t>
  </si>
  <si>
    <t>2014U23</t>
  </si>
  <si>
    <t>2014U22</t>
  </si>
  <si>
    <t>2014U21</t>
  </si>
  <si>
    <t>2014U20</t>
  </si>
  <si>
    <t>2014U19</t>
  </si>
  <si>
    <t>2014U18</t>
  </si>
  <si>
    <t>2014U17</t>
  </si>
  <si>
    <t>2014U16</t>
  </si>
  <si>
    <t>2014U15</t>
  </si>
  <si>
    <t>2014U14</t>
  </si>
  <si>
    <t>2014U13</t>
  </si>
  <si>
    <t>2014U12</t>
  </si>
  <si>
    <t>2014U11</t>
  </si>
  <si>
    <t>2014U10</t>
  </si>
  <si>
    <t>2014U09</t>
  </si>
  <si>
    <t>2014U08</t>
  </si>
  <si>
    <t>2014U07</t>
  </si>
  <si>
    <t>2014U06</t>
  </si>
  <si>
    <t>2014U05</t>
  </si>
  <si>
    <t>2014U04</t>
  </si>
  <si>
    <t>2014U03</t>
  </si>
  <si>
    <t>2014U02</t>
  </si>
  <si>
    <t>2014U01</t>
  </si>
  <si>
    <t>2013U52</t>
  </si>
  <si>
    <t>2013U51</t>
  </si>
  <si>
    <t>2013U50</t>
  </si>
  <si>
    <t>2013U49</t>
  </si>
  <si>
    <t>2013U48</t>
  </si>
  <si>
    <t>2013U47</t>
  </si>
  <si>
    <t>2013U46</t>
  </si>
  <si>
    <t>2013U45</t>
  </si>
  <si>
    <t>2013U44</t>
  </si>
  <si>
    <t>2013U43</t>
  </si>
  <si>
    <t>2013U42</t>
  </si>
  <si>
    <t>2013U41</t>
  </si>
  <si>
    <t>2013U40</t>
  </si>
  <si>
    <t>2013U39</t>
  </si>
  <si>
    <t>2013U38</t>
  </si>
  <si>
    <t>2013U37</t>
  </si>
  <si>
    <t>2013U36</t>
  </si>
  <si>
    <t>2013U35</t>
  </si>
  <si>
    <t>2013U34</t>
  </si>
  <si>
    <t>2013U33</t>
  </si>
  <si>
    <t>2013U32</t>
  </si>
  <si>
    <t>2013U31</t>
  </si>
  <si>
    <t>2013U30</t>
  </si>
  <si>
    <t>2013U29</t>
  </si>
  <si>
    <t>2013U28</t>
  </si>
  <si>
    <t>2013U27</t>
  </si>
  <si>
    <t>2013U26</t>
  </si>
  <si>
    <t>2013U25</t>
  </si>
  <si>
    <t>2013U24</t>
  </si>
  <si>
    <t>2013U23</t>
  </si>
  <si>
    <t>2013U22</t>
  </si>
  <si>
    <t>2013U21</t>
  </si>
  <si>
    <t>2013U20</t>
  </si>
  <si>
    <t>2013U19</t>
  </si>
  <si>
    <t>2013U18</t>
  </si>
  <si>
    <t>2013U17</t>
  </si>
  <si>
    <t>2013U16</t>
  </si>
  <si>
    <t>2013U15</t>
  </si>
  <si>
    <t>2013U14</t>
  </si>
  <si>
    <t>2013U13</t>
  </si>
  <si>
    <t>2013U12</t>
  </si>
  <si>
    <t>2013U11</t>
  </si>
  <si>
    <t>2013U10</t>
  </si>
  <si>
    <t>2013U09</t>
  </si>
  <si>
    <t>2013U08</t>
  </si>
  <si>
    <t>2013U07</t>
  </si>
  <si>
    <t>2013U06</t>
  </si>
  <si>
    <t>2013U05</t>
  </si>
  <si>
    <t>2013U04</t>
  </si>
  <si>
    <t>2013U03</t>
  </si>
  <si>
    <t>2013U02</t>
  </si>
  <si>
    <t>2013U01</t>
  </si>
  <si>
    <t>2012U52</t>
  </si>
  <si>
    <t>2012U51</t>
  </si>
  <si>
    <t>2012U50</t>
  </si>
  <si>
    <t>2012U49</t>
  </si>
  <si>
    <t>2012U48</t>
  </si>
  <si>
    <t>2012U47</t>
  </si>
  <si>
    <t>2012U46</t>
  </si>
  <si>
    <t>2012U45</t>
  </si>
  <si>
    <t>2012U44</t>
  </si>
  <si>
    <t>2012U43</t>
  </si>
  <si>
    <t>2012U42</t>
  </si>
  <si>
    <t>2012U41</t>
  </si>
  <si>
    <t>2012U40</t>
  </si>
  <si>
    <t>2012U39</t>
  </si>
  <si>
    <t>2012U38</t>
  </si>
  <si>
    <t>2012U37</t>
  </si>
  <si>
    <t>2012U36</t>
  </si>
  <si>
    <t>2012U35</t>
  </si>
  <si>
    <t>2012U34</t>
  </si>
  <si>
    <t>2012U33</t>
  </si>
  <si>
    <t>2012U32</t>
  </si>
  <si>
    <t>2012U31</t>
  </si>
  <si>
    <t>2012U30</t>
  </si>
  <si>
    <t>2012U29</t>
  </si>
  <si>
    <t>2012U28</t>
  </si>
  <si>
    <t>2012U27</t>
  </si>
  <si>
    <t>2012U26</t>
  </si>
  <si>
    <t>2012U25</t>
  </si>
  <si>
    <t>2012U24</t>
  </si>
  <si>
    <t>2012U23</t>
  </si>
  <si>
    <t>2012U22</t>
  </si>
  <si>
    <t>2012U21</t>
  </si>
  <si>
    <t>2012U20</t>
  </si>
  <si>
    <t>2012U19</t>
  </si>
  <si>
    <t>2012U18</t>
  </si>
  <si>
    <t>2012U17</t>
  </si>
  <si>
    <t>2012U16</t>
  </si>
  <si>
    <t>2012U15</t>
  </si>
  <si>
    <t>2012U14</t>
  </si>
  <si>
    <t>2012U13</t>
  </si>
  <si>
    <t>2012U12</t>
  </si>
  <si>
    <t>2012U11</t>
  </si>
  <si>
    <t>2012U10</t>
  </si>
  <si>
    <t>2012U09</t>
  </si>
  <si>
    <t>2012U08</t>
  </si>
  <si>
    <t>2012U07</t>
  </si>
  <si>
    <t>2012U06</t>
  </si>
  <si>
    <t>2012U05</t>
  </si>
  <si>
    <t>2012U04</t>
  </si>
  <si>
    <t>2012U03</t>
  </si>
  <si>
    <t>2012U02</t>
  </si>
  <si>
    <t>2012U01</t>
  </si>
  <si>
    <t>2011U52</t>
  </si>
  <si>
    <t>2011U51</t>
  </si>
  <si>
    <t>2011U50</t>
  </si>
  <si>
    <t>2011U49</t>
  </si>
  <si>
    <t>2011U48</t>
  </si>
  <si>
    <t>2011U47</t>
  </si>
  <si>
    <t>2011U46</t>
  </si>
  <si>
    <t>2011U45</t>
  </si>
  <si>
    <t>2011U44</t>
  </si>
  <si>
    <t>2011U43</t>
  </si>
  <si>
    <t>2011U42</t>
  </si>
  <si>
    <t>2011U41</t>
  </si>
  <si>
    <t>2011U40</t>
  </si>
  <si>
    <t>2011U39</t>
  </si>
  <si>
    <t>2011U38</t>
  </si>
  <si>
    <t>2011U37</t>
  </si>
  <si>
    <t>2011U36</t>
  </si>
  <si>
    <t>2011U35</t>
  </si>
  <si>
    <t>2011U34</t>
  </si>
  <si>
    <t>2011U33</t>
  </si>
  <si>
    <t>2011U32</t>
  </si>
  <si>
    <t>2011U31</t>
  </si>
  <si>
    <t>2011U30</t>
  </si>
  <si>
    <t>2011U29</t>
  </si>
  <si>
    <t>2011U28</t>
  </si>
  <si>
    <t>2011U27</t>
  </si>
  <si>
    <t>2011U26</t>
  </si>
  <si>
    <t>2011U25</t>
  </si>
  <si>
    <t>2011U24</t>
  </si>
  <si>
    <t>2011U23</t>
  </si>
  <si>
    <t>2011U22</t>
  </si>
  <si>
    <t>2011U21</t>
  </si>
  <si>
    <t>2011U20</t>
  </si>
  <si>
    <t>2011U19</t>
  </si>
  <si>
    <t>2011U18</t>
  </si>
  <si>
    <t>2011U17</t>
  </si>
  <si>
    <t>2011U16</t>
  </si>
  <si>
    <t>2011U15</t>
  </si>
  <si>
    <t>2011U14</t>
  </si>
  <si>
    <t>2011U13</t>
  </si>
  <si>
    <t>2011U12</t>
  </si>
  <si>
    <t>2011U11</t>
  </si>
  <si>
    <t>2011U10</t>
  </si>
  <si>
    <t>2011U09</t>
  </si>
  <si>
    <t>2011U08</t>
  </si>
  <si>
    <t>2011U07</t>
  </si>
  <si>
    <t>2011U06</t>
  </si>
  <si>
    <t>2011U05</t>
  </si>
  <si>
    <t>2011U04</t>
  </si>
  <si>
    <t>2011U03</t>
  </si>
  <si>
    <t>2011U02</t>
  </si>
  <si>
    <t>2011U01</t>
  </si>
  <si>
    <t>2010U52</t>
  </si>
  <si>
    <t>2010U51</t>
  </si>
  <si>
    <t>2010U50</t>
  </si>
  <si>
    <t>2010U49</t>
  </si>
  <si>
    <t>2010U48</t>
  </si>
  <si>
    <t>2010U47</t>
  </si>
  <si>
    <t>2010U46</t>
  </si>
  <si>
    <t>2010U45</t>
  </si>
  <si>
    <t>2010U44</t>
  </si>
  <si>
    <t>2010U43</t>
  </si>
  <si>
    <t>2010U42</t>
  </si>
  <si>
    <t>2010U41</t>
  </si>
  <si>
    <t>2010U40</t>
  </si>
  <si>
    <t>2010U39</t>
  </si>
  <si>
    <t>2010U38</t>
  </si>
  <si>
    <t>2010U37</t>
  </si>
  <si>
    <t>2010U36</t>
  </si>
  <si>
    <t>2010U35</t>
  </si>
  <si>
    <t>2010U34</t>
  </si>
  <si>
    <t>2010U33</t>
  </si>
  <si>
    <t>2010U32</t>
  </si>
  <si>
    <t>2010U31</t>
  </si>
  <si>
    <t>2010U30</t>
  </si>
  <si>
    <t>2010U29</t>
  </si>
  <si>
    <t>2010U28</t>
  </si>
  <si>
    <t>2010U27</t>
  </si>
  <si>
    <t>2010U26</t>
  </si>
  <si>
    <t>2010U25</t>
  </si>
  <si>
    <t>2010U24</t>
  </si>
  <si>
    <t>2010U23</t>
  </si>
  <si>
    <t>2010U22</t>
  </si>
  <si>
    <t>2010U21</t>
  </si>
  <si>
    <t>2010U20</t>
  </si>
  <si>
    <t>2010U19</t>
  </si>
  <si>
    <t>2010U18</t>
  </si>
  <si>
    <t>2010U17</t>
  </si>
  <si>
    <t>2010U16</t>
  </si>
  <si>
    <t>2010U15</t>
  </si>
  <si>
    <t>2010U14</t>
  </si>
  <si>
    <t>2010U13</t>
  </si>
  <si>
    <t>2010U12</t>
  </si>
  <si>
    <t>2010U11</t>
  </si>
  <si>
    <t>2010U10</t>
  </si>
  <si>
    <t>2010U09</t>
  </si>
  <si>
    <t>2010U08</t>
  </si>
  <si>
    <t>2010U07</t>
  </si>
  <si>
    <t>2010U06</t>
  </si>
  <si>
    <t>2010U05</t>
  </si>
  <si>
    <t>2010U04</t>
  </si>
  <si>
    <t>2010U03</t>
  </si>
  <si>
    <t>2010U02</t>
  </si>
  <si>
    <t>2010U01</t>
  </si>
  <si>
    <t>2009U53</t>
  </si>
  <si>
    <t>2009U52</t>
  </si>
  <si>
    <t>2009U51</t>
  </si>
  <si>
    <t>2009U50</t>
  </si>
  <si>
    <t>2009U49</t>
  </si>
  <si>
    <t>2009U48</t>
  </si>
  <si>
    <t>2009U47</t>
  </si>
  <si>
    <t>2009U46</t>
  </si>
  <si>
    <t>2009U45</t>
  </si>
  <si>
    <t>2009U44</t>
  </si>
  <si>
    <t>2009U43</t>
  </si>
  <si>
    <t>2009U42</t>
  </si>
  <si>
    <t>2009U41</t>
  </si>
  <si>
    <t>2009U40</t>
  </si>
  <si>
    <t>2009U39</t>
  </si>
  <si>
    <t>2009U38</t>
  </si>
  <si>
    <t>2009U37</t>
  </si>
  <si>
    <t>2009U36</t>
  </si>
  <si>
    <t>2009U35</t>
  </si>
  <si>
    <t>2009U34</t>
  </si>
  <si>
    <t>2009U33</t>
  </si>
  <si>
    <t>2009U32</t>
  </si>
  <si>
    <t>2009U31</t>
  </si>
  <si>
    <t>2009U30</t>
  </si>
  <si>
    <t>2009U29</t>
  </si>
  <si>
    <t>2009U28</t>
  </si>
  <si>
    <t>2009U27</t>
  </si>
  <si>
    <t>2009U26</t>
  </si>
  <si>
    <t>2009U25</t>
  </si>
  <si>
    <t>2009U24</t>
  </si>
  <si>
    <t>2009U23</t>
  </si>
  <si>
    <t>2009U22</t>
  </si>
  <si>
    <t>2009U21</t>
  </si>
  <si>
    <t>2009U20</t>
  </si>
  <si>
    <t>2009U19</t>
  </si>
  <si>
    <t>2009U18</t>
  </si>
  <si>
    <t>2009U17</t>
  </si>
  <si>
    <t>2009U16</t>
  </si>
  <si>
    <t>2009U15</t>
  </si>
  <si>
    <t>2009U14</t>
  </si>
  <si>
    <t>2009U13</t>
  </si>
  <si>
    <t>2009U12</t>
  </si>
  <si>
    <t>2009U11</t>
  </si>
  <si>
    <t>2009U10</t>
  </si>
  <si>
    <t>2009U09</t>
  </si>
  <si>
    <t>2009U08</t>
  </si>
  <si>
    <t>2009U07</t>
  </si>
  <si>
    <t>2009U06</t>
  </si>
  <si>
    <t>2009U05</t>
  </si>
  <si>
    <t>2009U04</t>
  </si>
  <si>
    <t>2009U03</t>
  </si>
  <si>
    <t>2009U02</t>
  </si>
  <si>
    <t>2009U01</t>
  </si>
  <si>
    <t>2008U52</t>
  </si>
  <si>
    <t>2008U51</t>
  </si>
  <si>
    <t>2008U50</t>
  </si>
  <si>
    <t>2008U49</t>
  </si>
  <si>
    <t>2008U48</t>
  </si>
  <si>
    <t>2008U47</t>
  </si>
  <si>
    <t>2008U46</t>
  </si>
  <si>
    <t>2008U45</t>
  </si>
  <si>
    <t>2008U44</t>
  </si>
  <si>
    <t>2008U43</t>
  </si>
  <si>
    <t>2008U42</t>
  </si>
  <si>
    <t>2008U41</t>
  </si>
  <si>
    <t>2008U40</t>
  </si>
  <si>
    <t>2008U39</t>
  </si>
  <si>
    <t>2008U38</t>
  </si>
  <si>
    <t>2008U37</t>
  </si>
  <si>
    <t>2008U36</t>
  </si>
  <si>
    <t>2008U35</t>
  </si>
  <si>
    <t>2008U34</t>
  </si>
  <si>
    <t>2008U33</t>
  </si>
  <si>
    <t>2008U32</t>
  </si>
  <si>
    <t>2008U31</t>
  </si>
  <si>
    <t>2008U30</t>
  </si>
  <si>
    <t>2008U29</t>
  </si>
  <si>
    <t>2008U28</t>
  </si>
  <si>
    <t>2008U27</t>
  </si>
  <si>
    <t>2008U26</t>
  </si>
  <si>
    <t>2008U25</t>
  </si>
  <si>
    <t>2008U24</t>
  </si>
  <si>
    <t>2008U23</t>
  </si>
  <si>
    <t>2008U22</t>
  </si>
  <si>
    <t>2008U21</t>
  </si>
  <si>
    <t>2008U20</t>
  </si>
  <si>
    <t>2008U19</t>
  </si>
  <si>
    <t>2008U18</t>
  </si>
  <si>
    <t>2008U17</t>
  </si>
  <si>
    <t>2008U16</t>
  </si>
  <si>
    <t>2008U15</t>
  </si>
  <si>
    <t>2008U14</t>
  </si>
  <si>
    <t>2008U13</t>
  </si>
  <si>
    <t>2008U12</t>
  </si>
  <si>
    <t>2008U11</t>
  </si>
  <si>
    <t>2008U10</t>
  </si>
  <si>
    <t>2008U09</t>
  </si>
  <si>
    <t>2008U08</t>
  </si>
  <si>
    <t>2008U07</t>
  </si>
  <si>
    <t>2008U06</t>
  </si>
  <si>
    <t>2008U05</t>
  </si>
  <si>
    <t>2008U04</t>
  </si>
  <si>
    <t>2008U03</t>
  </si>
  <si>
    <t>2008U02</t>
  </si>
  <si>
    <t>2008U01</t>
  </si>
  <si>
    <t>2007U52</t>
  </si>
  <si>
    <t>2007U51</t>
  </si>
  <si>
    <t>2007U50</t>
  </si>
  <si>
    <t>2007U49</t>
  </si>
  <si>
    <t>2007U48</t>
  </si>
  <si>
    <t>2007U47</t>
  </si>
  <si>
    <t>2007U46</t>
  </si>
  <si>
    <t>2007U45</t>
  </si>
  <si>
    <t>2007U44</t>
  </si>
  <si>
    <t>2007U43</t>
  </si>
  <si>
    <t>2007U42</t>
  </si>
  <si>
    <t>2007U41</t>
  </si>
  <si>
    <t>2007U40</t>
  </si>
  <si>
    <t>2007U39</t>
  </si>
  <si>
    <t>2007U38</t>
  </si>
  <si>
    <t>2007U37</t>
  </si>
  <si>
    <t>2007U36</t>
  </si>
  <si>
    <t>2007U35</t>
  </si>
  <si>
    <t>2007U34</t>
  </si>
  <si>
    <t>2007U33</t>
  </si>
  <si>
    <t>2007U32</t>
  </si>
  <si>
    <t>2007U31</t>
  </si>
  <si>
    <t>2007U30</t>
  </si>
  <si>
    <t>2007U29</t>
  </si>
  <si>
    <t>2007U28</t>
  </si>
  <si>
    <t>2007U27</t>
  </si>
  <si>
    <t>2007U26</t>
  </si>
  <si>
    <t>2007U25</t>
  </si>
  <si>
    <t>2007U24</t>
  </si>
  <si>
    <t>2007U23</t>
  </si>
  <si>
    <t>2007U22</t>
  </si>
  <si>
    <t>2007U21</t>
  </si>
  <si>
    <t>2007U20</t>
  </si>
  <si>
    <t>2007U19</t>
  </si>
  <si>
    <t>2007U18</t>
  </si>
  <si>
    <t>2007U17</t>
  </si>
  <si>
    <t>2007U16</t>
  </si>
  <si>
    <t>2007U15</t>
  </si>
  <si>
    <t>2007U14</t>
  </si>
  <si>
    <t>2007U13</t>
  </si>
  <si>
    <t>2007U12</t>
  </si>
  <si>
    <t>2007U11</t>
  </si>
  <si>
    <t>2007U10</t>
  </si>
  <si>
    <t>2007U09</t>
  </si>
  <si>
    <t>2007U08</t>
  </si>
  <si>
    <t>2007U07</t>
  </si>
  <si>
    <t>2007U06</t>
  </si>
  <si>
    <t>2007U05</t>
  </si>
  <si>
    <t>2007U04</t>
  </si>
  <si>
    <t>2007U03</t>
  </si>
  <si>
    <t>2007U02</t>
  </si>
  <si>
    <t>2007U01</t>
  </si>
  <si>
    <t>2006U52</t>
  </si>
  <si>
    <t>2006U51</t>
  </si>
  <si>
    <t>2006U50</t>
  </si>
  <si>
    <t>2006U49</t>
  </si>
  <si>
    <t>2006U48</t>
  </si>
  <si>
    <t>2006U47</t>
  </si>
  <si>
    <t>2006U46</t>
  </si>
  <si>
    <t>2006U45</t>
  </si>
  <si>
    <t>2006U44</t>
  </si>
  <si>
    <t>2006U43</t>
  </si>
  <si>
    <t>2006U42</t>
  </si>
  <si>
    <t>2006U41</t>
  </si>
  <si>
    <t>2006U40</t>
  </si>
  <si>
    <t>2006U39</t>
  </si>
  <si>
    <t>2006U38</t>
  </si>
  <si>
    <t>2006U37</t>
  </si>
  <si>
    <t>2006U36</t>
  </si>
  <si>
    <t>2006U35</t>
  </si>
  <si>
    <t>2006U34</t>
  </si>
  <si>
    <t>2006U33</t>
  </si>
  <si>
    <t>2006U32</t>
  </si>
  <si>
    <t>2006U31</t>
  </si>
  <si>
    <t>2006U30</t>
  </si>
  <si>
    <t>2006U29</t>
  </si>
  <si>
    <t>2006U28</t>
  </si>
  <si>
    <t>2006U27</t>
  </si>
  <si>
    <t>2006U26</t>
  </si>
  <si>
    <t>2006U25</t>
  </si>
  <si>
    <t>2006U24</t>
  </si>
  <si>
    <t>2006U23</t>
  </si>
  <si>
    <t>2006U22</t>
  </si>
  <si>
    <t>2006U21</t>
  </si>
  <si>
    <t>2006U20</t>
  </si>
  <si>
    <t>2006U19</t>
  </si>
  <si>
    <t>2006U18</t>
  </si>
  <si>
    <t>2006U17</t>
  </si>
  <si>
    <t>2006U16</t>
  </si>
  <si>
    <t>2006U15</t>
  </si>
  <si>
    <t>2006U14</t>
  </si>
  <si>
    <t>2006U13</t>
  </si>
  <si>
    <t>2006U12</t>
  </si>
  <si>
    <t>2006U11</t>
  </si>
  <si>
    <t>2006U10</t>
  </si>
  <si>
    <t>2006U09</t>
  </si>
  <si>
    <t>2006U08</t>
  </si>
  <si>
    <t>2006U07</t>
  </si>
  <si>
    <t>2006U06</t>
  </si>
  <si>
    <t>2006U05</t>
  </si>
  <si>
    <t>2006U04</t>
  </si>
  <si>
    <t>2006U03</t>
  </si>
  <si>
    <t>2006U02</t>
  </si>
  <si>
    <t>2006U01</t>
  </si>
  <si>
    <t>2005U52</t>
  </si>
  <si>
    <t>2005U51</t>
  </si>
  <si>
    <t>2005U50</t>
  </si>
  <si>
    <t>2005U49</t>
  </si>
  <si>
    <t>2005U48</t>
  </si>
  <si>
    <t>2005U47</t>
  </si>
  <si>
    <t>2005U46</t>
  </si>
  <si>
    <t>2005U45</t>
  </si>
  <si>
    <t>2005U44</t>
  </si>
  <si>
    <t>2005U43</t>
  </si>
  <si>
    <t>2005U42</t>
  </si>
  <si>
    <t>2005U41</t>
  </si>
  <si>
    <t>2005U40</t>
  </si>
  <si>
    <t>2005U39</t>
  </si>
  <si>
    <t>2005U38</t>
  </si>
  <si>
    <t>2005U37</t>
  </si>
  <si>
    <t>2005U36</t>
  </si>
  <si>
    <t>2005U35</t>
  </si>
  <si>
    <t>2005U34</t>
  </si>
  <si>
    <t>2005U33</t>
  </si>
  <si>
    <t>2005U32</t>
  </si>
  <si>
    <t>2005U31</t>
  </si>
  <si>
    <t>2005U30</t>
  </si>
  <si>
    <t>2005U29</t>
  </si>
  <si>
    <t>2005U28</t>
  </si>
  <si>
    <t>2005U27</t>
  </si>
  <si>
    <t>2005U26</t>
  </si>
  <si>
    <t>2005U25</t>
  </si>
  <si>
    <t>2005U24</t>
  </si>
  <si>
    <t>2005U23</t>
  </si>
  <si>
    <t>2005U22</t>
  </si>
  <si>
    <t>2005U21</t>
  </si>
  <si>
    <t>2005U20</t>
  </si>
  <si>
    <t>2005U19</t>
  </si>
  <si>
    <t>2005U18</t>
  </si>
  <si>
    <t>2005U17</t>
  </si>
  <si>
    <t>2005U16</t>
  </si>
  <si>
    <t>2005U15</t>
  </si>
  <si>
    <t>2005U14</t>
  </si>
  <si>
    <t>2005U13</t>
  </si>
  <si>
    <t>2005U12</t>
  </si>
  <si>
    <t>2005U11</t>
  </si>
  <si>
    <t>2005U10</t>
  </si>
  <si>
    <t>2005U09</t>
  </si>
  <si>
    <t>2005U08</t>
  </si>
  <si>
    <t>2005U07</t>
  </si>
  <si>
    <t>2005U06</t>
  </si>
  <si>
    <t>2005U05</t>
  </si>
  <si>
    <t>2005U04</t>
  </si>
  <si>
    <t>2005U03</t>
  </si>
  <si>
    <t>2005U02</t>
  </si>
  <si>
    <t>2005U01</t>
  </si>
  <si>
    <t>2004U53</t>
  </si>
  <si>
    <t>2004U52</t>
  </si>
  <si>
    <t>2004U51</t>
  </si>
  <si>
    <t>2004U50</t>
  </si>
  <si>
    <t>2004U49</t>
  </si>
  <si>
    <t>2004U48</t>
  </si>
  <si>
    <t>2004U47</t>
  </si>
  <si>
    <t>2004U46</t>
  </si>
  <si>
    <t>2004U45</t>
  </si>
  <si>
    <t>2004U44</t>
  </si>
  <si>
    <t>2004U43</t>
  </si>
  <si>
    <t>2004U42</t>
  </si>
  <si>
    <t>2004U41</t>
  </si>
  <si>
    <t>2004U40</t>
  </si>
  <si>
    <t>2004U39</t>
  </si>
  <si>
    <t>2004U38</t>
  </si>
  <si>
    <t>2004U37</t>
  </si>
  <si>
    <t>2004U36</t>
  </si>
  <si>
    <t>2004U35</t>
  </si>
  <si>
    <t>2004U34</t>
  </si>
  <si>
    <t>2004U33</t>
  </si>
  <si>
    <t>2004U32</t>
  </si>
  <si>
    <t>2004U31</t>
  </si>
  <si>
    <t>2004U30</t>
  </si>
  <si>
    <t>2004U29</t>
  </si>
  <si>
    <t>2004U28</t>
  </si>
  <si>
    <t>2004U27</t>
  </si>
  <si>
    <t>2004U26</t>
  </si>
  <si>
    <t>2004U25</t>
  </si>
  <si>
    <t>2004U24</t>
  </si>
  <si>
    <t>2004U23</t>
  </si>
  <si>
    <t>2004U22</t>
  </si>
  <si>
    <t>2004U21</t>
  </si>
  <si>
    <t>2004U20</t>
  </si>
  <si>
    <t>2004U19</t>
  </si>
  <si>
    <t>2004U18</t>
  </si>
  <si>
    <t>2004U17</t>
  </si>
  <si>
    <t>2004U16</t>
  </si>
  <si>
    <t>2004U15</t>
  </si>
  <si>
    <t>2004U14</t>
  </si>
  <si>
    <t>2004U13</t>
  </si>
  <si>
    <t>2004U12</t>
  </si>
  <si>
    <t>2004U11</t>
  </si>
  <si>
    <t>2004U10</t>
  </si>
  <si>
    <t>2004U09</t>
  </si>
  <si>
    <t>2004U08</t>
  </si>
  <si>
    <t>2004U07</t>
  </si>
  <si>
    <t>2004U06</t>
  </si>
  <si>
    <t>2004U05</t>
  </si>
  <si>
    <t>2004U04</t>
  </si>
  <si>
    <t>2004U03</t>
  </si>
  <si>
    <t>2004U02</t>
  </si>
  <si>
    <t>2004U01</t>
  </si>
  <si>
    <t>2003U52</t>
  </si>
  <si>
    <t>2003U51</t>
  </si>
  <si>
    <t>2003U50</t>
  </si>
  <si>
    <t>2003U49</t>
  </si>
  <si>
    <t>2003U48</t>
  </si>
  <si>
    <t>2003U47</t>
  </si>
  <si>
    <t>2003U46</t>
  </si>
  <si>
    <t>2003U45</t>
  </si>
  <si>
    <t>2003U44</t>
  </si>
  <si>
    <t>2003U43</t>
  </si>
  <si>
    <t>2003U42</t>
  </si>
  <si>
    <t>2003U41</t>
  </si>
  <si>
    <t>2003U40</t>
  </si>
  <si>
    <t>2003U39</t>
  </si>
  <si>
    <t>2003U38</t>
  </si>
  <si>
    <t>2003U37</t>
  </si>
  <si>
    <t>2003U36</t>
  </si>
  <si>
    <t>2003U35</t>
  </si>
  <si>
    <t>2003U34</t>
  </si>
  <si>
    <t>2003U33</t>
  </si>
  <si>
    <t>2003U32</t>
  </si>
  <si>
    <t>2003U31</t>
  </si>
  <si>
    <t>2003U30</t>
  </si>
  <si>
    <t>2003U29</t>
  </si>
  <si>
    <t>2003U28</t>
  </si>
  <si>
    <t>2003U27</t>
  </si>
  <si>
    <t>2003U26</t>
  </si>
  <si>
    <t>2003U25</t>
  </si>
  <si>
    <t>2003U24</t>
  </si>
  <si>
    <t>2003U23</t>
  </si>
  <si>
    <t>2003U22</t>
  </si>
  <si>
    <t>2003U21</t>
  </si>
  <si>
    <t>2003U20</t>
  </si>
  <si>
    <t>2003U19</t>
  </si>
  <si>
    <t>2003U18</t>
  </si>
  <si>
    <t>2003U17</t>
  </si>
  <si>
    <t>2003U16</t>
  </si>
  <si>
    <t>2003U15</t>
  </si>
  <si>
    <t>2003U14</t>
  </si>
  <si>
    <t>2003U13</t>
  </si>
  <si>
    <t>2003U12</t>
  </si>
  <si>
    <t>2003U11</t>
  </si>
  <si>
    <t>2003U10</t>
  </si>
  <si>
    <t>2003U09</t>
  </si>
  <si>
    <t>2003U08</t>
  </si>
  <si>
    <t>2003U07</t>
  </si>
  <si>
    <t>2003U06</t>
  </si>
  <si>
    <t>2003U05</t>
  </si>
  <si>
    <t>2003U04</t>
  </si>
  <si>
    <t>2003U03</t>
  </si>
  <si>
    <t>2003U02</t>
  </si>
  <si>
    <t>2003U01</t>
  </si>
  <si>
    <t>2002U52</t>
  </si>
  <si>
    <t>2002U51</t>
  </si>
  <si>
    <t>2002U50</t>
  </si>
  <si>
    <t>2002U49</t>
  </si>
  <si>
    <t>2002U48</t>
  </si>
  <si>
    <t>2002U47</t>
  </si>
  <si>
    <t>2002U46</t>
  </si>
  <si>
    <t>2002U45</t>
  </si>
  <si>
    <t>2002U44</t>
  </si>
  <si>
    <t>2002U43</t>
  </si>
  <si>
    <t>2002U42</t>
  </si>
  <si>
    <t>2002U41</t>
  </si>
  <si>
    <t>2002U40</t>
  </si>
  <si>
    <t>2002U39</t>
  </si>
  <si>
    <t>2002U38</t>
  </si>
  <si>
    <t>2002U37</t>
  </si>
  <si>
    <t>2002U36</t>
  </si>
  <si>
    <t>2002U35</t>
  </si>
  <si>
    <t>2002U34</t>
  </si>
  <si>
    <t>2002U33</t>
  </si>
  <si>
    <t>2002U32</t>
  </si>
  <si>
    <t>2002U31</t>
  </si>
  <si>
    <t>2002U30</t>
  </si>
  <si>
    <t>2002U29</t>
  </si>
  <si>
    <t>2002U28</t>
  </si>
  <si>
    <t>2002U27</t>
  </si>
  <si>
    <t>2002U26</t>
  </si>
  <si>
    <t>2002U25</t>
  </si>
  <si>
    <t>2002U24</t>
  </si>
  <si>
    <t>2002U23</t>
  </si>
  <si>
    <t>2002U22</t>
  </si>
  <si>
    <t>2002U21</t>
  </si>
  <si>
    <t>2002U20</t>
  </si>
  <si>
    <t>2002U19</t>
  </si>
  <si>
    <t>2002U18</t>
  </si>
  <si>
    <t>2002U17</t>
  </si>
  <si>
    <t>2002U16</t>
  </si>
  <si>
    <t>2002U15</t>
  </si>
  <si>
    <t>2002U14</t>
  </si>
  <si>
    <t>2002U13</t>
  </si>
  <si>
    <t>2002U12</t>
  </si>
  <si>
    <t>2002U11</t>
  </si>
  <si>
    <t>2002U10</t>
  </si>
  <si>
    <t>2002U09</t>
  </si>
  <si>
    <t>2002U08</t>
  </si>
  <si>
    <t>2002U07</t>
  </si>
  <si>
    <t>2002U06</t>
  </si>
  <si>
    <t>2002U05</t>
  </si>
  <si>
    <t>2002U04</t>
  </si>
  <si>
    <t>2002U03</t>
  </si>
  <si>
    <t>2002U02</t>
  </si>
  <si>
    <t>2002U01</t>
  </si>
  <si>
    <t>2001U52</t>
  </si>
  <si>
    <t>2001U51</t>
  </si>
  <si>
    <t>2001U50</t>
  </si>
  <si>
    <t>2001U49</t>
  </si>
  <si>
    <t>2001U48</t>
  </si>
  <si>
    <t>2001U47</t>
  </si>
  <si>
    <t>2001U46</t>
  </si>
  <si>
    <t>2001U45</t>
  </si>
  <si>
    <t>2001U44</t>
  </si>
  <si>
    <t>2001U43</t>
  </si>
  <si>
    <t>2001U42</t>
  </si>
  <si>
    <t>2001U41</t>
  </si>
  <si>
    <t>2001U40</t>
  </si>
  <si>
    <t>2001U39</t>
  </si>
  <si>
    <t>2001U38</t>
  </si>
  <si>
    <t>2001U37</t>
  </si>
  <si>
    <t>2001U36</t>
  </si>
  <si>
    <t>2001U35</t>
  </si>
  <si>
    <t>2001U34</t>
  </si>
  <si>
    <t>2001U33</t>
  </si>
  <si>
    <t>2001U32</t>
  </si>
  <si>
    <t>2001U31</t>
  </si>
  <si>
    <t>2001U30</t>
  </si>
  <si>
    <t>2001U29</t>
  </si>
  <si>
    <t>2001U28</t>
  </si>
  <si>
    <t>2001U27</t>
  </si>
  <si>
    <t>2001U26</t>
  </si>
  <si>
    <t>2001U25</t>
  </si>
  <si>
    <t>2001U24</t>
  </si>
  <si>
    <t>2001U23</t>
  </si>
  <si>
    <t>2001U22</t>
  </si>
  <si>
    <t>2001U21</t>
  </si>
  <si>
    <t>2001U20</t>
  </si>
  <si>
    <t>2001U19</t>
  </si>
  <si>
    <t>2001U18</t>
  </si>
  <si>
    <t>2001U17</t>
  </si>
  <si>
    <t>2001U16</t>
  </si>
  <si>
    <t>2001U15</t>
  </si>
  <si>
    <t>2001U14</t>
  </si>
  <si>
    <t>2001U13</t>
  </si>
  <si>
    <t>2001U12</t>
  </si>
  <si>
    <t>2001U11</t>
  </si>
  <si>
    <t>2001U10</t>
  </si>
  <si>
    <t>2001U09</t>
  </si>
  <si>
    <t>2001U08</t>
  </si>
  <si>
    <t>2001U07</t>
  </si>
  <si>
    <t>2001U06</t>
  </si>
  <si>
    <t>2001U05</t>
  </si>
  <si>
    <t>2001U04</t>
  </si>
  <si>
    <t>2001U03</t>
  </si>
  <si>
    <t>2001U02</t>
  </si>
  <si>
    <t>2001U01</t>
  </si>
  <si>
    <t>2000U52</t>
  </si>
  <si>
    <t>2000U51</t>
  </si>
  <si>
    <t>2000U50</t>
  </si>
  <si>
    <t>2000U49</t>
  </si>
  <si>
    <t>2000U48</t>
  </si>
  <si>
    <t>2000U47</t>
  </si>
  <si>
    <t>2000U46</t>
  </si>
  <si>
    <t>2000U45</t>
  </si>
  <si>
    <t>2000U44</t>
  </si>
  <si>
    <t>2000U43</t>
  </si>
  <si>
    <t>2000U42</t>
  </si>
  <si>
    <t>2000U41</t>
  </si>
  <si>
    <t>2000U40</t>
  </si>
  <si>
    <t>2000U39</t>
  </si>
  <si>
    <t>2000U38</t>
  </si>
  <si>
    <t>2000U37</t>
  </si>
  <si>
    <t>2000U36</t>
  </si>
  <si>
    <t>2000U35</t>
  </si>
  <si>
    <t>2000U34</t>
  </si>
  <si>
    <t>2000U33</t>
  </si>
  <si>
    <t>2000U32</t>
  </si>
  <si>
    <t>2000U31</t>
  </si>
  <si>
    <t>2000U30</t>
  </si>
  <si>
    <t>2000U29</t>
  </si>
  <si>
    <t>2000U28</t>
  </si>
  <si>
    <t>2000U27</t>
  </si>
  <si>
    <t>2000U26</t>
  </si>
  <si>
    <t>2000U25</t>
  </si>
  <si>
    <t>2000U24</t>
  </si>
  <si>
    <t>2000U23</t>
  </si>
  <si>
    <t>2000U22</t>
  </si>
  <si>
    <t>2000U21</t>
  </si>
  <si>
    <t>2000U20</t>
  </si>
  <si>
    <t>2000U19</t>
  </si>
  <si>
    <t>2000U18</t>
  </si>
  <si>
    <t>2000U17</t>
  </si>
  <si>
    <t>2000U16</t>
  </si>
  <si>
    <t>2000U15</t>
  </si>
  <si>
    <t>2000U14</t>
  </si>
  <si>
    <t>2000U13</t>
  </si>
  <si>
    <t>2000U12</t>
  </si>
  <si>
    <t>2000U11</t>
  </si>
  <si>
    <t>2000U10</t>
  </si>
  <si>
    <t>2000U09</t>
  </si>
  <si>
    <t>2000U08</t>
  </si>
  <si>
    <t>2000U07</t>
  </si>
  <si>
    <t>2000U06</t>
  </si>
  <si>
    <t>2000U05</t>
  </si>
  <si>
    <t>2000U04</t>
  </si>
  <si>
    <t>2000U03</t>
  </si>
  <si>
    <t>2000U02</t>
  </si>
  <si>
    <t>2000U01</t>
  </si>
  <si>
    <t>Fish-farm bred salmon, fresh or chilled</t>
  </si>
  <si>
    <t>03024: Export of salmon, fish-farm bred, by commodity group, week and contents</t>
  </si>
  <si>
    <t>Month</t>
  </si>
  <si>
    <t>If the price of salmon were 0, there would still be at least this much export value</t>
  </si>
  <si>
    <t>Intercept:</t>
  </si>
  <si>
    <t>Correlation:</t>
  </si>
  <si>
    <t>if the price of salmon changes by 1, the total export value changes by this amount</t>
  </si>
  <si>
    <t>Slope:</t>
  </si>
  <si>
    <t>Date (year, month)</t>
  </si>
  <si>
    <t>Export value (NOK million)</t>
  </si>
  <si>
    <t>Date (year, week)</t>
  </si>
  <si>
    <t>Export price (NOK/kg)</t>
  </si>
  <si>
    <t>Date (year, month, only 2000M01+)</t>
  </si>
  <si>
    <t>Date (year, month, day)</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</si>
  <si>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</si>
  <si>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</si>
  <si>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</si>
  <si>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</si>
  <si>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</si>
  <si>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</si>
  <si>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</si>
  <si>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</si>
  <si>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</si>
  <si>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</si>
  <si>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</si>
  <si>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</si>
  <si>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</si>
  <si>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</si>
  <si>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</si>
  <si>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</si>
  <si>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</si>
  <si>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</si>
  <si>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</si>
  <si>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</si>
  <si>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</si>
  <si>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</si>
  <si>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</si>
  <si>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</si>
  <si>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</si>
  <si>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</si>
  <si>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</si>
  <si>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</si>
  <si>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</si>
  <si>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</si>
  <si>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</si>
  <si>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</si>
  <si>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</si>
  <si>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</si>
  <si>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</si>
  <si>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</si>
  <si>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</si>
  <si>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</si>
  <si>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</si>
  <si>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</si>
  <si>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</si>
  <si>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</si>
  <si>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</si>
  <si>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</si>
  <si>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</si>
  <si>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</si>
  <si>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</si>
  <si>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</si>
  <si>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</si>
  <si>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</si>
  <si>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</si>
  <si>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</si>
  <si>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</si>
  <si>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</si>
  <si>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</si>
  <si>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</si>
  <si>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</si>
  <si>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</si>
  <si>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</si>
  <si>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</si>
  <si>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</si>
  <si>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</si>
  <si>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</si>
  <si>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</si>
  <si>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</si>
  <si>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</si>
  <si>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</si>
  <si>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</si>
  <si>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</si>
  <si>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</si>
  <si>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</si>
  <si>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</si>
  <si>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</si>
  <si>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</si>
  <si>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</si>
  <si>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</si>
  <si>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</si>
  <si>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</si>
  <si>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</si>
  <si>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</si>
  <si>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</si>
  <si>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</si>
  <si>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</si>
  <si>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</si>
  <si>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</si>
  <si>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</si>
  <si>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</si>
  <si>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</si>
  <si>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</si>
  <si>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</si>
  <si>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</si>
  <si>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</si>
  <si>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</si>
  <si>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</si>
  <si>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</si>
  <si>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</si>
  <si>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</si>
  <si>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</si>
  <si>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</si>
  <si>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</si>
  <si>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</si>
  <si>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</si>
  <si>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</si>
  <si>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</si>
  <si>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</si>
  <si>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</si>
  <si>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</si>
  <si>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</si>
  <si>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</si>
  <si>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</si>
  <si>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</si>
  <si>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</si>
  <si>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</si>
  <si>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</si>
  <si>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</si>
  <si>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</si>
  <si>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</si>
  <si>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</si>
  <si>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</si>
  <si>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</si>
  <si>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</si>
  <si>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</si>
  <si>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</si>
  <si>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</si>
  <si>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</si>
  <si>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</si>
  <si>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</si>
  <si>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</si>
  <si>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</si>
  <si>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</si>
  <si>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</si>
  <si>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</si>
  <si>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</si>
  <si>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</si>
  <si>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</si>
  <si>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</si>
  <si>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</si>
  <si>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</si>
  <si>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</si>
  <si>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</si>
  <si>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</si>
  <si>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</si>
  <si>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</si>
  <si>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</si>
  <si>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</si>
  <si>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</si>
  <si>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</si>
  <si>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</si>
  <si>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</si>
  <si>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</si>
  <si>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</si>
  <si>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</si>
  <si>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</si>
  <si>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</si>
  <si>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</si>
  <si>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</si>
  <si>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</si>
  <si>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</si>
  <si>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</si>
  <si>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</si>
  <si>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</si>
  <si>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</si>
  <si>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</si>
  <si>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</si>
  <si>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</si>
  <si>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</si>
  <si>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</si>
  <si>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</si>
  <si>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</si>
  <si>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</si>
  <si>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</si>
  <si>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</si>
  <si>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</si>
  <si>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</si>
  <si>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</si>
  <si>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</si>
  <si>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</si>
  <si>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</si>
  <si>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</si>
  <si>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</si>
  <si>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</si>
  <si>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</si>
  <si>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</si>
  <si>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</si>
  <si>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</si>
  <si>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</si>
  <si>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</si>
  <si>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</si>
  <si>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</si>
  <si>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</si>
  <si>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</si>
  <si>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</si>
  <si>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</si>
  <si>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</si>
  <si>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</si>
  <si>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</si>
  <si>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</si>
  <si>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</si>
  <si>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</si>
  <si>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</si>
  <si>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</si>
  <si>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</si>
  <si>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</si>
  <si>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</si>
  <si>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</si>
  <si>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</si>
  <si>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</si>
  <si>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</si>
  <si>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</si>
  <si>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</si>
  <si>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</si>
  <si>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</si>
  <si>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</si>
  <si>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</si>
  <si>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</si>
  <si>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</si>
  <si>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</si>
  <si>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</si>
  <si>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</si>
  <si>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</si>
  <si>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</si>
  <si>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</si>
  <si>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</si>
  <si>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</si>
  <si>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</si>
  <si>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</si>
  <si>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</si>
  <si>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</si>
  <si>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</si>
  <si>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</si>
  <si>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</si>
  <si>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</si>
  <si>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</si>
  <si>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</si>
  <si>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</si>
  <si>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</si>
  <si>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</si>
  <si>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</si>
  <si>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</si>
  <si>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</si>
  <si>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</si>
  <si>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</si>
  <si>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</si>
  <si>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</si>
  <si>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</si>
  <si>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</si>
  <si>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</si>
  <si>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</si>
  <si>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</si>
  <si>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</si>
  <si>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</si>
  <si>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</si>
  <si>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</si>
  <si>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</si>
  <si>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</si>
  <si>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</si>
  <si>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</si>
  <si>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</si>
  <si>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</si>
  <si>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</si>
  <si>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</si>
  <si>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</si>
  <si>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</si>
  <si>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</si>
  <si>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</si>
  <si>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</si>
  <si>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</si>
  <si>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</si>
  <si>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</si>
  <si>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</si>
  <si>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</si>
  <si>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</si>
  <si>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</si>
  <si>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</si>
  <si>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</si>
  <si>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</si>
  <si>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</si>
  <si>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</si>
  <si>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</si>
  <si>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</si>
  <si>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</si>
  <si>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</si>
  <si>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</si>
  <si>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</si>
  <si>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</si>
  <si>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</si>
  <si>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</si>
  <si>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</si>
  <si>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</si>
  <si>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</si>
  <si>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</si>
  <si>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</si>
  <si>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</si>
  <si>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</si>
  <si>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</si>
  <si>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</si>
  <si>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</si>
  <si>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</si>
  <si>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</si>
  <si>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</si>
  <si>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</si>
  <si>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</si>
  <si>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</si>
  <si>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</si>
  <si>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</si>
  <si>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</si>
  <si>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</si>
  <si>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</si>
  <si>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</si>
  <si>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</si>
  <si>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</si>
  <si>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Year</t>
  </si>
  <si>
    <t>Week</t>
  </si>
  <si>
    <t>Date and currency conversion</t>
  </si>
  <si>
    <t>Date conversion</t>
  </si>
  <si>
    <t>Export price conversion</t>
  </si>
  <si>
    <t>Raw data (2.3 sheet)</t>
  </si>
  <si>
    <t>Raw data (2.4 sheet)</t>
  </si>
  <si>
    <t>Average salmon export price in each month (NOK/kg)</t>
  </si>
  <si>
    <r>
      <t xml:space="preserve">Average salmon export price in each month (NOK/kg)
</t>
    </r>
    <r>
      <rPr>
        <b/>
        <sz val="10"/>
        <color rgb="FFFF0000"/>
        <rFont val="Calibri"/>
        <family val="2"/>
        <charset val="238"/>
        <scheme val="minor"/>
      </rPr>
      <t>Used for regression</t>
    </r>
  </si>
  <si>
    <r>
      <t xml:space="preserve">Export value (NOK)
</t>
    </r>
    <r>
      <rPr>
        <b/>
        <sz val="10"/>
        <color rgb="FFFF0000"/>
        <rFont val="Calibri"/>
        <family val="2"/>
        <charset val="238"/>
        <scheme val="minor"/>
      </rPr>
      <t>Used for regression</t>
    </r>
  </si>
  <si>
    <t>-&gt; 55%, which means there is a moderate positive relationship between export value and salmon price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</si>
</sst>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quot;Ft&quot;"/>
    <numFmt numFmtId="165" formatCode="_-* #,##0_-;\-* #,##0_-;_-* &quot;-&quot;??_-;_-@_-"/>
    <numFmt numFmtId="166" formatCode="[$$-1009]#,##0"/>
    <numFmt numFmtId="167" formatCode="#,##0\ [$NOK]"/>
    <numFmt numFmtId="168" formatCode="#,##0.0000\ [$NOK]"/>
    <numFmt numFmtId="169" formatCode="#,##0.00\ [$NOK]"/>
    <numFmt numFmtId="170" formatCode="&quot;$&quot;#,##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charset val="238"/>
      <scheme val="minor"/>
    </font>
    <font>
      <b/>
      <sz val="48"/>
      <color theme="1"/>
      <name val="Calibri"/>
      <family val="2"/>
      <charset val="238"/>
      <scheme val="minor"/>
    </font>
    <font>
      <sz val="11"/>
      <color rgb="FF000000"/>
      <name val="Calibri"/>
      <family val="2"/>
    </font>
    <font>
      <b/>
      <sz val="11"/>
      <color rgb="FF000000"/>
      <name val="Calibri"/>
      <family val="2"/>
    </font>
    <font>
      <b/>
      <sz val="14"/>
      <color rgb="FF000000"/>
      <name val="Calibri"/>
      <family val="2"/>
    </font>
    <font>
      <b/>
      <sz val="14"/>
      <color theme="1"/>
      <name val="Calibri"/>
      <family val="2"/>
      <charset val="238"/>
      <scheme val="minor"/>
    </font>
    <font>
      <b/>
      <sz val="10"/>
      <color theme="1"/>
      <name val="Calibri"/>
      <family val="2"/>
      <charset val="238"/>
      <scheme val="minor"/>
    </font>
    <font>
      <b/>
      <sz val="10"/>
      <color rgb="FFFF0000"/>
      <name val="Calibri"/>
      <family val="2"/>
      <charset val="238"/>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5"/>
        <bgColor indexed="64"/>
      </patternFill>
    </fill>
    <fill>
      <patternFill patternType="solid">
        <fgColor theme="8" tint="0.39997558519241921"/>
        <bgColor indexed="64"/>
      </patternFill>
    </fill>
    <fill>
      <patternFill patternType="solid">
        <fgColor rgb="FF0070C0"/>
        <bgColor indexed="64"/>
      </patternFill>
    </fill>
    <fill>
      <patternFill patternType="solid">
        <fgColor theme="8" tint="0.59999389629810485"/>
        <bgColor indexed="64"/>
      </patternFill>
    </fill>
    <fill>
      <patternFill patternType="solid">
        <fgColor theme="5" tint="0.3999755851924192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Border="0"/>
  </cellStyleXfs>
  <cellXfs count="59">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17" fillId="0" borderId="0" xfId="0" applyFont="1"/>
    <xf numFmtId="0" fontId="21" fillId="0" borderId="0" xfId="42"/>
    <xf numFmtId="1" fontId="21" fillId="0" borderId="0" xfId="42" applyNumberFormat="1"/>
    <xf numFmtId="0" fontId="22" fillId="0" borderId="0" xfId="42" applyFont="1"/>
    <xf numFmtId="0" fontId="23" fillId="0" borderId="0" xfId="42" applyFont="1"/>
    <xf numFmtId="2" fontId="21" fillId="0" borderId="0" xfId="42" applyNumberFormat="1"/>
    <xf numFmtId="167" fontId="21" fillId="0" borderId="0" xfId="42" applyNumberFormat="1"/>
    <xf numFmtId="0" fontId="21" fillId="0" borderId="0" xfId="42" quotePrefix="1"/>
    <xf numFmtId="168" fontId="21" fillId="0" borderId="0" xfId="42" applyNumberFormat="1"/>
    <xf numFmtId="0" fontId="0" fillId="0" borderId="12" xfId="0" applyBorder="1"/>
    <xf numFmtId="0" fontId="0" fillId="0" borderId="13" xfId="0" applyBorder="1"/>
    <xf numFmtId="0" fontId="22" fillId="0" borderId="12" xfId="42" applyFont="1" applyBorder="1"/>
    <xf numFmtId="1" fontId="21" fillId="0" borderId="13" xfId="42" applyNumberFormat="1" applyBorder="1"/>
    <xf numFmtId="167" fontId="21" fillId="0" borderId="13" xfId="42" applyNumberFormat="1" applyBorder="1"/>
    <xf numFmtId="14" fontId="0" fillId="0" borderId="0" xfId="0" applyNumberFormat="1"/>
    <xf numFmtId="2" fontId="0" fillId="0" borderId="13" xfId="0" applyNumberFormat="1" applyBorder="1"/>
    <xf numFmtId="0" fontId="25" fillId="0" borderId="15" xfId="0" applyFont="1" applyBorder="1" applyAlignment="1">
      <alignment horizontal="center" vertical="center"/>
    </xf>
    <xf numFmtId="0" fontId="25" fillId="0" borderId="15" xfId="0" pivotButton="1" applyFont="1" applyBorder="1" applyAlignment="1">
      <alignment horizontal="center" vertical="center"/>
    </xf>
    <xf numFmtId="169" fontId="0" fillId="0" borderId="12" xfId="0" applyNumberFormat="1" applyBorder="1"/>
    <xf numFmtId="169" fontId="0" fillId="0" borderId="13" xfId="0" applyNumberFormat="1" applyBorder="1"/>
    <xf numFmtId="169" fontId="0" fillId="0" borderId="0" xfId="0" applyNumberFormat="1"/>
    <xf numFmtId="169" fontId="21" fillId="0" borderId="13" xfId="42" applyNumberFormat="1" applyBorder="1"/>
    <xf numFmtId="0" fontId="25" fillId="0" borderId="16" xfId="0" applyFont="1" applyBorder="1" applyAlignment="1">
      <alignment horizontal="center" vertical="center"/>
    </xf>
    <xf numFmtId="0" fontId="25" fillId="0" borderId="17" xfId="0" applyFont="1" applyBorder="1" applyAlignment="1">
      <alignment horizontal="center" vertical="center"/>
    </xf>
    <xf numFmtId="0" fontId="25" fillId="0" borderId="17" xfId="0" applyFont="1" applyBorder="1" applyAlignment="1">
      <alignment horizontal="center" vertical="center" wrapText="1"/>
    </xf>
    <xf numFmtId="17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24" fillId="38" borderId="10" xfId="0" applyFont="1" applyFill="1" applyBorder="1" applyAlignment="1">
      <alignment horizontal="center" vertical="center"/>
    </xf>
    <xf numFmtId="0" fontId="24" fillId="38" borderId="11" xfId="0" applyFont="1" applyFill="1" applyBorder="1" applyAlignment="1">
      <alignment horizontal="center" vertical="center"/>
    </xf>
    <xf numFmtId="0" fontId="24" fillId="38" borderId="12" xfId="0" applyFont="1" applyFill="1" applyBorder="1" applyAlignment="1">
      <alignment horizontal="center" vertical="center"/>
    </xf>
    <xf numFmtId="0" fontId="24" fillId="38" borderId="13" xfId="0" applyFont="1" applyFill="1" applyBorder="1" applyAlignment="1">
      <alignment horizontal="center" vertical="center"/>
    </xf>
    <xf numFmtId="0" fontId="24" fillId="34" borderId="10" xfId="0" applyFont="1" applyFill="1" applyBorder="1" applyAlignment="1">
      <alignment horizontal="center" vertical="center"/>
    </xf>
    <xf numFmtId="0" fontId="24" fillId="34" borderId="11" xfId="0" applyFont="1" applyFill="1" applyBorder="1" applyAlignment="1">
      <alignment horizontal="center" vertical="center"/>
    </xf>
    <xf numFmtId="0" fontId="24" fillId="34" borderId="12" xfId="0" applyFont="1" applyFill="1" applyBorder="1" applyAlignment="1">
      <alignment horizontal="center" vertical="center"/>
    </xf>
    <xf numFmtId="0" fontId="24" fillId="34" borderId="13" xfId="0" applyFont="1" applyFill="1" applyBorder="1" applyAlignment="1">
      <alignment horizontal="center" vertical="center"/>
    </xf>
    <xf numFmtId="0" fontId="24" fillId="37" borderId="10" xfId="0" applyFont="1" applyFill="1" applyBorder="1" applyAlignment="1">
      <alignment horizontal="center" vertical="center"/>
    </xf>
    <xf numFmtId="0" fontId="24" fillId="37" borderId="11" xfId="0" applyFont="1" applyFill="1" applyBorder="1" applyAlignment="1">
      <alignment horizontal="center" vertical="center"/>
    </xf>
    <xf numFmtId="0" fontId="24" fillId="37" borderId="12" xfId="0" applyFont="1" applyFill="1" applyBorder="1" applyAlignment="1">
      <alignment horizontal="center" vertical="center"/>
    </xf>
    <xf numFmtId="0" fontId="24" fillId="37" borderId="13" xfId="0" applyFont="1" applyFill="1" applyBorder="1" applyAlignment="1">
      <alignment horizontal="center" vertical="center"/>
    </xf>
    <xf numFmtId="0" fontId="24" fillId="35" borderId="10" xfId="0" applyFont="1" applyFill="1" applyBorder="1" applyAlignment="1">
      <alignment horizontal="center" vertical="center"/>
    </xf>
    <xf numFmtId="0" fontId="24" fillId="35" borderId="14" xfId="0" applyFont="1" applyFill="1" applyBorder="1" applyAlignment="1">
      <alignment horizontal="center" vertical="center"/>
    </xf>
    <xf numFmtId="0" fontId="24" fillId="35" borderId="11" xfId="0" applyFont="1" applyFill="1" applyBorder="1" applyAlignment="1">
      <alignment horizontal="center" vertical="center"/>
    </xf>
    <xf numFmtId="0" fontId="24" fillId="35" borderId="12" xfId="0" applyFont="1" applyFill="1" applyBorder="1" applyAlignment="1">
      <alignment horizontal="center" vertical="center"/>
    </xf>
    <xf numFmtId="0" fontId="24" fillId="35" borderId="0" xfId="0" applyFont="1" applyFill="1" applyAlignment="1">
      <alignment horizontal="center" vertical="center"/>
    </xf>
    <xf numFmtId="0" fontId="24" fillId="35" borderId="13" xfId="0" applyFont="1" applyFill="1" applyBorder="1" applyAlignment="1">
      <alignment horizontal="center" vertical="center"/>
    </xf>
    <xf numFmtId="0" fontId="24" fillId="36" borderId="10" xfId="0" applyFont="1" applyFill="1" applyBorder="1" applyAlignment="1">
      <alignment horizontal="center" vertical="center"/>
    </xf>
    <xf numFmtId="0" fontId="24" fillId="36" borderId="14" xfId="0" applyFont="1" applyFill="1" applyBorder="1" applyAlignment="1">
      <alignment horizontal="center" vertical="center"/>
    </xf>
    <xf numFmtId="0" fontId="24" fillId="36" borderId="11" xfId="0" applyFont="1" applyFill="1" applyBorder="1" applyAlignment="1">
      <alignment horizontal="center" vertical="center"/>
    </xf>
    <xf numFmtId="0" fontId="24" fillId="36" borderId="12" xfId="0" applyFont="1" applyFill="1" applyBorder="1" applyAlignment="1">
      <alignment horizontal="center" vertical="center"/>
    </xf>
    <xf numFmtId="0" fontId="24" fillId="36" borderId="0" xfId="0" applyFont="1" applyFill="1" applyAlignment="1">
      <alignment horizontal="center" vertical="center"/>
    </xf>
    <xf numFmtId="0" fontId="24" fillId="36" borderId="13"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A4EDB161-016A-4670-AE63-A09A73A9E733}"/>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0.00\ [$NOK]"/>
    </dxf>
    <dxf>
      <alignment horizontal="center"/>
    </dxf>
    <dxf>
      <alignment horizontal="center"/>
    </dxf>
    <dxf>
      <alignment vertical="center"/>
    </dxf>
    <dxf>
      <alignment vertical="center"/>
    </dxf>
    <dxf>
      <font>
        <sz val="10"/>
      </font>
    </dxf>
    <dxf>
      <font>
        <sz val="10"/>
      </font>
    </dxf>
    <dxf>
      <font>
        <b/>
        <charset val="238"/>
      </font>
    </dxf>
    <dxf>
      <font>
        <b/>
        <charset val="23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border>
        <right/>
        <top/>
        <bottom/>
        <vertical/>
        <horizontal/>
      </border>
    </dxf>
    <dxf>
      <numFmt numFmtId="2" formatCode="0.00"/>
    </dxf>
    <dxf>
      <numFmt numFmtId="166" formatCode="[$$-1009]#,##0"/>
    </dxf>
    <dxf>
      <numFmt numFmtId="165"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[Péter Megyes.Excel.portfolio.xlsx]1.3 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a:t>Avg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59986277126362"/>
          <c:y val="0.31859679304792782"/>
          <c:w val="0.46169072543120843"/>
          <c:h val="0.37022078122587615"/>
        </c:manualLayout>
      </c:layout>
      <c:barChart>
        <c:barDir val="col"/>
        <c:grouping val="clustered"/>
        <c:varyColors val="0"/>
        <c:ser>
          <c:idx val="0"/>
          <c:order val="0"/>
          <c:tx>
            <c:strRef>
              <c:f>'1.3 Pivot Table'!$B$1:$B$2</c:f>
              <c:strCache>
                <c:ptCount val="1"/>
                <c:pt idx="0">
                  <c:v>No</c:v>
                </c:pt>
              </c:strCache>
            </c:strRef>
          </c:tx>
          <c:spPr>
            <a:solidFill>
              <a:schemeClr val="accent1"/>
            </a:solidFill>
            <a:ln>
              <a:noFill/>
            </a:ln>
            <a:effectLst/>
          </c:spPr>
          <c:invertIfNegative val="0"/>
          <c:cat>
            <c:strRef>
              <c:f>'1.3 Pivot Table'!$A$3:$A$5</c:f>
              <c:strCache>
                <c:ptCount val="2"/>
                <c:pt idx="0">
                  <c:v>Female</c:v>
                </c:pt>
                <c:pt idx="1">
                  <c:v>Male</c:v>
                </c:pt>
              </c:strCache>
            </c:strRef>
          </c:cat>
          <c:val>
            <c:numRef>
              <c:f>'1.3 Pivot Table'!$B$3:$B$5</c:f>
              <c:numCache>
                <c:formatCode>[$$-1009]#\ ##0</c:formatCode>
                <c:ptCount val="2"/>
                <c:pt idx="0">
                  <c:v>53440</c:v>
                </c:pt>
                <c:pt idx="1">
                  <c:v>56208.178438661707</c:v>
                </c:pt>
              </c:numCache>
            </c:numRef>
          </c:val>
          <c:extLst>
            <c:ext xmlns:c16="http://schemas.microsoft.com/office/drawing/2014/chart" uri="{C3380CC4-5D6E-409C-BE32-E72D297353CC}">
              <c16:uniqueId val="{00000000-5F75-4174-B9D4-EB7E8267B8B7}"/>
            </c:ext>
          </c:extLst>
        </c:ser>
        <c:ser>
          <c:idx val="1"/>
          <c:order val="1"/>
          <c:tx>
            <c:strRef>
              <c:f>'1.3 Pivot Table'!$C$1:$C$2</c:f>
              <c:strCache>
                <c:ptCount val="1"/>
                <c:pt idx="0">
                  <c:v>Yes</c:v>
                </c:pt>
              </c:strCache>
            </c:strRef>
          </c:tx>
          <c:spPr>
            <a:solidFill>
              <a:schemeClr val="accent2"/>
            </a:solidFill>
            <a:ln>
              <a:noFill/>
            </a:ln>
            <a:effectLst/>
          </c:spPr>
          <c:invertIfNegative val="0"/>
          <c:cat>
            <c:strRef>
              <c:f>'1.3 Pivot Table'!$A$3:$A$5</c:f>
              <c:strCache>
                <c:ptCount val="2"/>
                <c:pt idx="0">
                  <c:v>Female</c:v>
                </c:pt>
                <c:pt idx="1">
                  <c:v>Male</c:v>
                </c:pt>
              </c:strCache>
            </c:strRef>
          </c:cat>
          <c:val>
            <c:numRef>
              <c:f>'1.3 Pivot Table'!$C$3:$C$5</c:f>
              <c:numCache>
                <c:formatCode>[$$-1009]#\ ##0</c:formatCode>
                <c:ptCount val="2"/>
                <c:pt idx="0">
                  <c:v>55774.058577405856</c:v>
                </c:pt>
                <c:pt idx="1">
                  <c:v>60123.966942148763</c:v>
                </c:pt>
              </c:numCache>
            </c:numRef>
          </c:val>
          <c:extLst>
            <c:ext xmlns:c16="http://schemas.microsoft.com/office/drawing/2014/chart" uri="{C3380CC4-5D6E-409C-BE32-E72D297353CC}">
              <c16:uniqueId val="{00000001-5F75-4174-B9D4-EB7E8267B8B7}"/>
            </c:ext>
          </c:extLst>
        </c:ser>
        <c:dLbls>
          <c:showLegendKey val="0"/>
          <c:showVal val="0"/>
          <c:showCatName val="0"/>
          <c:showSerName val="0"/>
          <c:showPercent val="0"/>
          <c:showBubbleSize val="0"/>
        </c:dLbls>
        <c:gapWidth val="219"/>
        <c:overlap val="-27"/>
        <c:axId val="1192627568"/>
        <c:axId val="1192611248"/>
      </c:barChart>
      <c:catAx>
        <c:axId val="1192627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u-HU"/>
                  <a:t>Gender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611248"/>
        <c:crosses val="autoZero"/>
        <c:auto val="1"/>
        <c:lblAlgn val="ctr"/>
        <c:lblOffset val="100"/>
        <c:noMultiLvlLbl val="0"/>
      </c:catAx>
      <c:valAx>
        <c:axId val="1192611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u-HU"/>
                  <a:t>Income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1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627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[Péter Megyes.Excel.portfolio.xlsx]1.3 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hu-HU"/>
              <a:t>Customer Commute</a:t>
            </a:r>
            <a:endParaRPr lang="en-GB"/>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'1.3 Pivot Table'!$B$18:$B$19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'1.3 Pivot Table'!$A$20:$A$25</c:f>
              <c:strCache>
                <c:ptCount val="5"/>
                <c:pt idx="0">
                  <c:v>0-1 Miles</c:v>
                </c:pt>
                <c:pt idx="1">
                  <c:v>1-2 Miles</c:v>
                </c:pt>
                <c:pt idx="2">
                  <c:v>2-5 Miles</c:v>
                </c:pt>
                <c:pt idx="3">
                  <c:v>5-10 Miles</c:v>
                </c:pt>
                <c:pt idx="4">
                  <c:v>More than 10 Miles</c:v>
                </c:pt>
              </c:strCache>
            </c:strRef>
          </c:cat>
          <c:val>
            <c:numRef>
              <c:f>'1.3 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EC0-4833-A634-3CA69F283D4F}"/>
            </c:ext>
          </c:extLst>
        </c:ser>
        <c:ser>
          <c:idx val="1"/>
          <c:order val="1"/>
          <c:tx>
            <c:strRef>
              <c:f>'1.3 Pivot Table'!$C$18:$C$19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'1.3 Pivot Table'!$A$20:$A$25</c:f>
              <c:strCache>
                <c:ptCount val="5"/>
                <c:pt idx="0">
                  <c:v>0-1 Miles</c:v>
                </c:pt>
                <c:pt idx="1">
                  <c:v>1-2 Miles</c:v>
                </c:pt>
                <c:pt idx="2">
                  <c:v>2-5 Miles</c:v>
                </c:pt>
                <c:pt idx="3">
                  <c:v>5-10 Miles</c:v>
                </c:pt>
                <c:pt idx="4">
                  <c:v>More than 10 Miles</c:v>
                </c:pt>
              </c:strCache>
            </c:strRef>
          </c:cat>
          <c:val>
            <c:numRef>
              <c:f>'1.3 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EC0-4833-A634-3CA69F283D4F}"/>
            </c:ext>
          </c:extLst>
        </c:ser>
        <c:dLbls>
          <c:showLegendKey val="0"/>
          <c:showVal val="0"/>
          <c:showCatName val="0"/>
          <c:showSerName val="0"/>
          <c:showPercent val="0"/>
          <c:showBubbleSize val="0"/>
        </c:dLbls>
        <c:marker val="1"/>
        <c:smooth val="0"/>
        <c:axId val="1176654304"/>
        <c:axId val="1176657184"/>
      </c:lineChart>
      <c:catAx>
        <c:axId val="11766543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hu-HU"/>
                  <a:t>Commute Distance</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GB"/>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6657184"/>
        <c:crosses val="autoZero"/>
        <c:auto val="1"/>
        <c:lblAlgn val="ctr"/>
        <c:lblOffset val="100"/>
        <c:noMultiLvlLbl val="0"/>
      </c:catAx>
      <c:valAx>
        <c:axId val="11766571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665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[Péter Megyes.Excel.portfolio.xlsx]1.3 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a:t>Customer Age</a:t>
            </a:r>
            <a:r>
              <a:rPr lang="hu-HU" baseline="0"/>
              <a:t>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'1.3 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'1.3 Pivot Table'!$A$39:$A$42</c:f>
              <c:strCache>
                <c:ptCount val="3"/>
                <c:pt idx="0">
                  <c:v>Adolescent</c:v>
                </c:pt>
                <c:pt idx="1">
                  <c:v>Middle Age</c:v>
                </c:pt>
                <c:pt idx="2">
                  <c:v>Old</c:v>
                </c:pt>
              </c:strCache>
            </c:strRef>
          </c:cat>
          <c:val>
            <c:numRef>
              <c:f>'1.3 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BD0-4E74-B6A7-AFDD9D102825}"/>
            </c:ext>
          </c:extLst>
        </c:ser>
        <c:ser>
          <c:idx val="1"/>
          <c:order val="1"/>
          <c:tx>
            <c:strRef>
              <c:f>'1.3 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'1.3 Pivot Table'!$A$39:$A$42</c:f>
              <c:strCache>
                <c:ptCount val="3"/>
                <c:pt idx="0">
                  <c:v>Adolescent</c:v>
                </c:pt>
                <c:pt idx="1">
                  <c:v>Middle Age</c:v>
                </c:pt>
                <c:pt idx="2">
                  <c:v>Old</c:v>
                </c:pt>
              </c:strCache>
            </c:strRef>
          </c:cat>
          <c:val>
            <c:numRef>
              <c:f>'1.3 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BD0-4E74-B6A7-AFDD9D102825}"/>
            </c:ext>
          </c:extLst>
        </c:ser>
        <c:dLbls>
          <c:showLegendKey val="0"/>
          <c:showVal val="0"/>
          <c:showCatName val="0"/>
          <c:showSerName val="0"/>
          <c:showPercent val="0"/>
          <c:showBubbleSize val="0"/>
        </c:dLbls>
        <c:marker val="1"/>
        <c:smooth val="0"/>
        <c:axId val="1515977456"/>
        <c:axId val="1515973616"/>
      </c:lineChart>
      <c:catAx>
        <c:axId val="1515977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u-HU"/>
                  <a:t>Age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73616"/>
        <c:crosses val="autoZero"/>
        <c:auto val="1"/>
        <c:lblAlgn val="ctr"/>
        <c:lblOffset val="100"/>
        <c:noMultiLvlLbl val="0"/>
      </c:catAx>
      <c:valAx>
        <c:axId val="151597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7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[Péter Megyes.Excel.portfolio.xlsx]1.3 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a:t>Avg Income Per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'1.3 Pivot Table'!$B$1:$B$2</c:f>
              <c:strCache>
                <c:ptCount val="1"/>
                <c:pt idx="0">
                  <c:v>No</c:v>
                </c:pt>
              </c:strCache>
            </c:strRef>
          </c:tx>
          <c:spPr>
            <a:solidFill>
              <a:schemeClr val="accent1"/>
            </a:solidFill>
            <a:ln>
              <a:noFill/>
            </a:ln>
            <a:effectLst/>
          </c:spPr>
          <c:invertIfNegative val="0"/>
          <c:cat>
            <c:strRef>
              <c:f>'1.3 Pivot Table'!$A$3:$A$5</c:f>
              <c:strCache>
                <c:ptCount val="2"/>
                <c:pt idx="0">
                  <c:v>Female</c:v>
                </c:pt>
                <c:pt idx="1">
                  <c:v>Male</c:v>
                </c:pt>
              </c:strCache>
            </c:strRef>
          </c:cat>
          <c:val>
            <c:numRef>
              <c:f>'1.3 Pivot Table'!$B$3:$B$5</c:f>
              <c:numCache>
                <c:formatCode>[$$-1009]#\ ##0</c:formatCode>
                <c:ptCount val="2"/>
                <c:pt idx="0">
                  <c:v>53440</c:v>
                </c:pt>
                <c:pt idx="1">
                  <c:v>56208.178438661707</c:v>
                </c:pt>
              </c:numCache>
            </c:numRef>
          </c:val>
          <c:extLst>
            <c:ext xmlns:c16="http://schemas.microsoft.com/office/drawing/2014/chart" uri="{C3380CC4-5D6E-409C-BE32-E72D297353CC}">
              <c16:uniqueId val="{00000000-B21E-48C9-A1B5-AFDE59C36215}"/>
            </c:ext>
          </c:extLst>
        </c:ser>
        <c:ser>
          <c:idx val="1"/>
          <c:order val="1"/>
          <c:tx>
            <c:strRef>
              <c:f>'1.3 Pivot Table'!$C$1:$C$2</c:f>
              <c:strCache>
                <c:ptCount val="1"/>
                <c:pt idx="0">
                  <c:v>Yes</c:v>
                </c:pt>
              </c:strCache>
            </c:strRef>
          </c:tx>
          <c:spPr>
            <a:solidFill>
              <a:schemeClr val="accent2"/>
            </a:solidFill>
            <a:ln>
              <a:noFill/>
            </a:ln>
            <a:effectLst/>
          </c:spPr>
          <c:invertIfNegative val="0"/>
          <c:cat>
            <c:strRef>
              <c:f>'1.3 Pivot Table'!$A$3:$A$5</c:f>
              <c:strCache>
                <c:ptCount val="2"/>
                <c:pt idx="0">
                  <c:v>Female</c:v>
                </c:pt>
                <c:pt idx="1">
                  <c:v>Male</c:v>
                </c:pt>
              </c:strCache>
            </c:strRef>
          </c:cat>
          <c:val>
            <c:numRef>
              <c:f>'1.3 Pivot Table'!$C$3:$C$5</c:f>
              <c:numCache>
                <c:formatCode>[$$-1009]#\ ##0</c:formatCode>
                <c:ptCount val="2"/>
                <c:pt idx="0">
                  <c:v>55774.058577405856</c:v>
                </c:pt>
                <c:pt idx="1">
                  <c:v>60123.966942148763</c:v>
                </c:pt>
              </c:numCache>
            </c:numRef>
          </c:val>
          <c:extLst>
            <c:ext xmlns:c16="http://schemas.microsoft.com/office/drawing/2014/chart" uri="{C3380CC4-5D6E-409C-BE32-E72D297353CC}">
              <c16:uniqueId val="{00000001-B21E-48C9-A1B5-AFDE59C36215}"/>
            </c:ext>
          </c:extLst>
        </c:ser>
        <c:dLbls>
          <c:showLegendKey val="0"/>
          <c:showVal val="0"/>
          <c:showCatName val="0"/>
          <c:showSerName val="0"/>
          <c:showPercent val="0"/>
          <c:showBubbleSize val="0"/>
        </c:dLbls>
        <c:gapWidth val="219"/>
        <c:overlap val="-27"/>
        <c:axId val="1192627568"/>
        <c:axId val="1192611248"/>
      </c:barChart>
      <c:catAx>
        <c:axId val="1192627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u-HU"/>
                  <a:t>Gender</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611248"/>
        <c:crosses val="autoZero"/>
        <c:auto val="1"/>
        <c:lblAlgn val="ctr"/>
        <c:lblOffset val="100"/>
        <c:noMultiLvlLbl val="0"/>
      </c:catAx>
      <c:valAx>
        <c:axId val="1192611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u-HU"/>
                  <a:t>Income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1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6275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[Péter Megyes.Excel.portfolio.xlsx]1.3 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a:t>Customer</a:t>
            </a:r>
            <a:r>
              <a:rPr lang="hu-HU"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'1.3 Pivot Table'!$B$18:$B$19</c:f>
              <c:strCache>
                <c:ptCount val="1"/>
                <c:pt idx="0">
                  <c:v>No</c:v>
                </c:pt>
              </c:strCache>
            </c:strRef>
          </c:tx>
          <c:spPr>
            <a:ln w="28575" cap="rnd">
              <a:solidFill>
                <a:schemeClr val="accent1"/>
              </a:solidFill>
              <a:round/>
            </a:ln>
            <a:effectLst/>
          </c:spPr>
          <c:marker>
            <c:symbol val="none"/>
          </c:marker>
          <c:cat>
            <c:strRef>
              <c:f>'1.3 Pivot Table'!$A$20:$A$25</c:f>
              <c:strCache>
                <c:ptCount val="5"/>
                <c:pt idx="0">
                  <c:v>0-1 Miles</c:v>
                </c:pt>
                <c:pt idx="1">
                  <c:v>1-2 Miles</c:v>
                </c:pt>
                <c:pt idx="2">
                  <c:v>2-5 Miles</c:v>
                </c:pt>
                <c:pt idx="3">
                  <c:v>5-10 Miles</c:v>
                </c:pt>
                <c:pt idx="4">
                  <c:v>More than 10 Miles</c:v>
                </c:pt>
              </c:strCache>
            </c:strRef>
          </c:cat>
          <c:val>
            <c:numRef>
              <c:f>'1.3 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613-41DC-9FAC-BBCE942A7131}"/>
            </c:ext>
          </c:extLst>
        </c:ser>
        <c:ser>
          <c:idx val="1"/>
          <c:order val="1"/>
          <c:tx>
            <c:strRef>
              <c:f>'1.3 Pivot Table'!$C$18:$C$19</c:f>
              <c:strCache>
                <c:ptCount val="1"/>
                <c:pt idx="0">
                  <c:v>Yes</c:v>
                </c:pt>
              </c:strCache>
            </c:strRef>
          </c:tx>
          <c:spPr>
            <a:ln w="28575" cap="rnd">
              <a:solidFill>
                <a:schemeClr val="accent2"/>
              </a:solidFill>
              <a:round/>
            </a:ln>
            <a:effectLst/>
          </c:spPr>
          <c:marker>
            <c:symbol val="none"/>
          </c:marker>
          <c:cat>
            <c:strRef>
              <c:f>'1.3 Pivot Table'!$A$20:$A$25</c:f>
              <c:strCache>
                <c:ptCount val="5"/>
                <c:pt idx="0">
                  <c:v>0-1 Miles</c:v>
                </c:pt>
                <c:pt idx="1">
                  <c:v>1-2 Miles</c:v>
                </c:pt>
                <c:pt idx="2">
                  <c:v>2-5 Miles</c:v>
                </c:pt>
                <c:pt idx="3">
                  <c:v>5-10 Miles</c:v>
                </c:pt>
                <c:pt idx="4">
                  <c:v>More than 10 Miles</c:v>
                </c:pt>
              </c:strCache>
            </c:strRef>
          </c:cat>
          <c:val>
            <c:numRef>
              <c:f>'1.3 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613-41DC-9FAC-BBCE942A7131}"/>
            </c:ext>
          </c:extLst>
        </c:ser>
        <c:dLbls>
          <c:showLegendKey val="0"/>
          <c:showVal val="0"/>
          <c:showCatName val="0"/>
          <c:showSerName val="0"/>
          <c:showPercent val="0"/>
          <c:showBubbleSize val="0"/>
        </c:dLbls>
        <c:smooth val="0"/>
        <c:axId val="1176654304"/>
        <c:axId val="1176657184"/>
      </c:lineChart>
      <c:catAx>
        <c:axId val="1176654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u-HU"/>
                  <a:t>Commute</a:t>
                </a:r>
                <a:r>
                  <a:rPr lang="hu-HU"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57184"/>
        <c:crosses val="autoZero"/>
        <c:auto val="1"/>
        <c:lblAlgn val="ctr"/>
        <c:lblOffset val="100"/>
        <c:noMultiLvlLbl val="0"/>
      </c:catAx>
      <c:valAx>
        <c:axId val="117665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5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[Péter Megyes.Excel.portfolio.xlsx]1.3 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a:t>Customer Age</a:t>
            </a:r>
            <a:r>
              <a:rPr lang="hu-HU" baseline="0"/>
              <a:t>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'1.3 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'1.3 Pivot Table'!$A$39:$A$42</c:f>
              <c:strCache>
                <c:ptCount val="3"/>
                <c:pt idx="0">
                  <c:v>Adolescent</c:v>
                </c:pt>
                <c:pt idx="1">
                  <c:v>Middle Age</c:v>
                </c:pt>
                <c:pt idx="2">
                  <c:v>Old</c:v>
                </c:pt>
              </c:strCache>
            </c:strRef>
          </c:cat>
          <c:val>
            <c:numRef>
              <c:f>'1.3 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648-4979-9876-339C6B37057B}"/>
            </c:ext>
          </c:extLst>
        </c:ser>
        <c:ser>
          <c:idx val="1"/>
          <c:order val="1"/>
          <c:tx>
            <c:strRef>
              <c:f>'1.3 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'1.3 Pivot Table'!$A$39:$A$42</c:f>
              <c:strCache>
                <c:ptCount val="3"/>
                <c:pt idx="0">
                  <c:v>Adolescent</c:v>
                </c:pt>
                <c:pt idx="1">
                  <c:v>Middle Age</c:v>
                </c:pt>
                <c:pt idx="2">
                  <c:v>Old</c:v>
                </c:pt>
              </c:strCache>
            </c:strRef>
          </c:cat>
          <c:val>
            <c:numRef>
              <c:f>'1.3 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648-4979-9876-339C6B37057B}"/>
            </c:ext>
          </c:extLst>
        </c:ser>
        <c:dLbls>
          <c:showLegendKey val="0"/>
          <c:showVal val="0"/>
          <c:showCatName val="0"/>
          <c:showSerName val="0"/>
          <c:showPercent val="0"/>
          <c:showBubbleSize val="0"/>
        </c:dLbls>
        <c:marker val="1"/>
        <c:smooth val="0"/>
        <c:axId val="1515977456"/>
        <c:axId val="1515973616"/>
      </c:lineChart>
      <c:catAx>
        <c:axId val="1515977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u-HU"/>
                  <a:t>Age Bracket</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73616"/>
        <c:crosses val="autoZero"/>
        <c:auto val="1"/>
        <c:lblAlgn val="ctr"/>
        <c:lblOffset val="100"/>
        <c:noMultiLvlLbl val="0"/>
      </c:catAx>
      <c:valAx>
        <c:axId val="151597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7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[Péter Megyes.Excel.portfolio.xlsx]1.3 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'1.3 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'1.3 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'1.3 Pivot Table'!$B$56:$B$109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FA2A-4C37-8DAF-A6BDFD6A5928}"/>
            </c:ext>
          </c:extLst>
        </c:ser>
        <c:ser>
          <c:idx val="1"/>
          <c:order val="1"/>
          <c:tx>
            <c:strRef>
              <c:f>'1.3 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'1.3 Pivot Table'!$A$56:$A$109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'1.3 Pivot Table'!$C$56:$C$109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FA2A-4C37-8DAF-A6BDFD6A5928}"/>
            </c:ext>
          </c:extLst>
        </c:ser>
        <c:dLbls>
          <c:showLegendKey val="0"/>
          <c:showVal val="0"/>
          <c:showCatName val="0"/>
          <c:showSerName val="0"/>
          <c:showPercent val="0"/>
          <c:showBubbleSize val="0"/>
        </c:dLbls>
        <c:marker val="1"/>
        <c:smooth val="0"/>
        <c:axId val="1515978896"/>
        <c:axId val="1515979376"/>
      </c:lineChart>
      <c:catAx>
        <c:axId val="151597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79376"/>
        <c:crosses val="autoZero"/>
        <c:auto val="1"/>
        <c:lblAlgn val="ctr"/>
        <c:lblOffset val="100"/>
        <c:noMultiLvlLbl val="0"/>
      </c:catAx>
      <c:valAx>
        <c:axId val="1515979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7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u-HU" sz="2400" b="1"/>
              <a:t>Total export value and fresh salmon export price</a:t>
            </a:r>
            <a:endParaRPr lang="en-GB"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Pt>
            <c:idx val="263"/>
            <c:marker>
              <c:symbol val="circle"/>
              <c:size val="5"/>
              <c:spPr>
                <a:solidFill>
                  <a:schemeClr val="accent1"/>
                </a:solidFill>
                <a:ln w="9525">
                  <a:solidFill>
                    <a:schemeClr val="accent1"/>
                  </a:solidFill>
                </a:ln>
                <a:effectLst/>
              </c:spPr>
            </c:marker>
            <c:bubble3D val="0"/>
            <c:spPr>
              <a:ln w="19050" cap="rnd">
                <a:noFill/>
                <a:round/>
              </a:ln>
              <a:effectLst/>
            </c:spPr>
            <c:extLst>
              <c:ext xmlns:c16="http://schemas.microsoft.com/office/drawing/2014/chart" uri="{C3380CC4-5D6E-409C-BE32-E72D297353CC}">
                <c16:uniqueId val="{00000001-F95C-4EEB-B760-FFC68AF3C088}"/>
              </c:ext>
            </c:extLst>
          </c:dPt>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FF0000"/>
                </a:solidFill>
                <a:prstDash val="solid"/>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'2.2 Working Sheet'!$J$4:$J$313</c:f>
              <c:numCache>
                <c:formatCode>#\ ##0.00\ [$NOK]</c:formatCode>
                <c:ptCount val="310"/>
                <c:pt idx="0">
                  <c:v>31.076000000000001</c:v>
                </c:pt>
                <c:pt idx="1">
                  <c:v>32.305</c:v>
                </c:pt>
                <c:pt idx="2">
                  <c:v>33.292500000000004</c:v>
                </c:pt>
                <c:pt idx="3">
                  <c:v>35.286000000000001</c:v>
                </c:pt>
                <c:pt idx="4">
                  <c:v>36.322499999999998</c:v>
                </c:pt>
                <c:pt idx="5">
                  <c:v>34.93</c:v>
                </c:pt>
                <c:pt idx="6">
                  <c:v>35.564000000000007</c:v>
                </c:pt>
                <c:pt idx="7">
                  <c:v>33.75</c:v>
                </c:pt>
                <c:pt idx="8">
                  <c:v>29.421999999999997</c:v>
                </c:pt>
                <c:pt idx="9">
                  <c:v>27.28</c:v>
                </c:pt>
                <c:pt idx="10">
                  <c:v>26.79</c:v>
                </c:pt>
                <c:pt idx="11">
                  <c:v>27.647500000000001</c:v>
                </c:pt>
                <c:pt idx="12">
                  <c:v>26.874000000000002</c:v>
                </c:pt>
                <c:pt idx="13">
                  <c:v>27.042499999999997</c:v>
                </c:pt>
                <c:pt idx="14">
                  <c:v>27.844999999999999</c:v>
                </c:pt>
                <c:pt idx="15">
                  <c:v>27.553999999999995</c:v>
                </c:pt>
                <c:pt idx="16">
                  <c:v>27.2225</c:v>
                </c:pt>
                <c:pt idx="17">
                  <c:v>26.954999999999998</c:v>
                </c:pt>
                <c:pt idx="18">
                  <c:v>26.342000000000002</c:v>
                </c:pt>
                <c:pt idx="19">
                  <c:v>26.172499999999999</c:v>
                </c:pt>
                <c:pt idx="20">
                  <c:v>25.452499999999997</c:v>
                </c:pt>
                <c:pt idx="21">
                  <c:v>24.18</c:v>
                </c:pt>
                <c:pt idx="22">
                  <c:v>23.19</c:v>
                </c:pt>
                <c:pt idx="23">
                  <c:v>22.78</c:v>
                </c:pt>
                <c:pt idx="24">
                  <c:v>22.722000000000001</c:v>
                </c:pt>
                <c:pt idx="25">
                  <c:v>22.512499999999999</c:v>
                </c:pt>
                <c:pt idx="26">
                  <c:v>23.587499999999999</c:v>
                </c:pt>
                <c:pt idx="27">
                  <c:v>23.974</c:v>
                </c:pt>
                <c:pt idx="28">
                  <c:v>24.664999999999999</c:v>
                </c:pt>
                <c:pt idx="29">
                  <c:v>23.622500000000002</c:v>
                </c:pt>
                <c:pt idx="30">
                  <c:v>22.9</c:v>
                </c:pt>
                <c:pt idx="31">
                  <c:v>23.962500000000002</c:v>
                </c:pt>
                <c:pt idx="32">
                  <c:v>23.619999999999997</c:v>
                </c:pt>
                <c:pt idx="33">
                  <c:v>23.332000000000001</c:v>
                </c:pt>
                <c:pt idx="34">
                  <c:v>22.452500000000001</c:v>
                </c:pt>
                <c:pt idx="35">
                  <c:v>23.085000000000001</c:v>
                </c:pt>
                <c:pt idx="36">
                  <c:v>22.818000000000001</c:v>
                </c:pt>
                <c:pt idx="37">
                  <c:v>22.774999999999999</c:v>
                </c:pt>
                <c:pt idx="38">
                  <c:v>23.134999999999998</c:v>
                </c:pt>
                <c:pt idx="39">
                  <c:v>22.93</c:v>
                </c:pt>
                <c:pt idx="40">
                  <c:v>22.094999999999999</c:v>
                </c:pt>
                <c:pt idx="41">
                  <c:v>19.015000000000001</c:v>
                </c:pt>
                <c:pt idx="42">
                  <c:v>17.910000000000004</c:v>
                </c:pt>
                <c:pt idx="43">
                  <c:v>18.747500000000002</c:v>
                </c:pt>
                <c:pt idx="44">
                  <c:v>21.055</c:v>
                </c:pt>
                <c:pt idx="45">
                  <c:v>22.356000000000002</c:v>
                </c:pt>
                <c:pt idx="46">
                  <c:v>20.844999999999999</c:v>
                </c:pt>
                <c:pt idx="47">
                  <c:v>20.997499999999999</c:v>
                </c:pt>
                <c:pt idx="48">
                  <c:v>22.038000000000004</c:v>
                </c:pt>
                <c:pt idx="49">
                  <c:v>23.080000000000002</c:v>
                </c:pt>
                <c:pt idx="50">
                  <c:v>24.012499999999999</c:v>
                </c:pt>
                <c:pt idx="51">
                  <c:v>24.974</c:v>
                </c:pt>
                <c:pt idx="52">
                  <c:v>23.7775</c:v>
                </c:pt>
                <c:pt idx="53">
                  <c:v>22.047499999999999</c:v>
                </c:pt>
                <c:pt idx="54">
                  <c:v>21.55</c:v>
                </c:pt>
                <c:pt idx="55">
                  <c:v>23.024999999999999</c:v>
                </c:pt>
                <c:pt idx="56">
                  <c:v>22.277999999999999</c:v>
                </c:pt>
                <c:pt idx="57">
                  <c:v>21.037500000000001</c:v>
                </c:pt>
                <c:pt idx="58">
                  <c:v>20.239999999999998</c:v>
                </c:pt>
                <c:pt idx="59">
                  <c:v>22.594000000000001</c:v>
                </c:pt>
                <c:pt idx="60">
                  <c:v>23.416</c:v>
                </c:pt>
                <c:pt idx="61">
                  <c:v>24.97</c:v>
                </c:pt>
                <c:pt idx="62">
                  <c:v>24.779999999999998</c:v>
                </c:pt>
                <c:pt idx="63">
                  <c:v>25.044</c:v>
                </c:pt>
                <c:pt idx="64">
                  <c:v>25.752500000000001</c:v>
                </c:pt>
                <c:pt idx="65">
                  <c:v>27.557499999999997</c:v>
                </c:pt>
                <c:pt idx="66">
                  <c:v>28.919999999999998</c:v>
                </c:pt>
                <c:pt idx="67">
                  <c:v>28.032499999999999</c:v>
                </c:pt>
                <c:pt idx="68">
                  <c:v>26.3675</c:v>
                </c:pt>
                <c:pt idx="69">
                  <c:v>26.283999999999999</c:v>
                </c:pt>
                <c:pt idx="70">
                  <c:v>26.142499999999998</c:v>
                </c:pt>
                <c:pt idx="71">
                  <c:v>27.717500000000001</c:v>
                </c:pt>
                <c:pt idx="72">
                  <c:v>26.79</c:v>
                </c:pt>
                <c:pt idx="73">
                  <c:v>27.355</c:v>
                </c:pt>
                <c:pt idx="74">
                  <c:v>31.0625</c:v>
                </c:pt>
                <c:pt idx="75">
                  <c:v>35.106000000000002</c:v>
                </c:pt>
                <c:pt idx="76">
                  <c:v>38.517499999999998</c:v>
                </c:pt>
                <c:pt idx="77">
                  <c:v>41.782499999999999</c:v>
                </c:pt>
                <c:pt idx="78">
                  <c:v>38.291999999999994</c:v>
                </c:pt>
                <c:pt idx="79">
                  <c:v>35.862499999999997</c:v>
                </c:pt>
                <c:pt idx="80">
                  <c:v>30.557500000000001</c:v>
                </c:pt>
                <c:pt idx="81">
                  <c:v>28.421999999999997</c:v>
                </c:pt>
                <c:pt idx="82">
                  <c:v>27.697500000000002</c:v>
                </c:pt>
                <c:pt idx="83">
                  <c:v>27.740000000000002</c:v>
                </c:pt>
                <c:pt idx="84">
                  <c:v>28.341999999999995</c:v>
                </c:pt>
                <c:pt idx="85">
                  <c:v>28.754999999999999</c:v>
                </c:pt>
                <c:pt idx="86">
                  <c:v>28.932500000000001</c:v>
                </c:pt>
                <c:pt idx="87">
                  <c:v>28.49</c:v>
                </c:pt>
                <c:pt idx="88">
                  <c:v>26.467500000000001</c:v>
                </c:pt>
                <c:pt idx="89">
                  <c:v>25.285</c:v>
                </c:pt>
                <c:pt idx="90">
                  <c:v>25.404000000000003</c:v>
                </c:pt>
                <c:pt idx="91">
                  <c:v>27.884999999999998</c:v>
                </c:pt>
                <c:pt idx="92">
                  <c:v>25.807499999999997</c:v>
                </c:pt>
                <c:pt idx="93">
                  <c:v>24.147999999999996</c:v>
                </c:pt>
                <c:pt idx="94">
                  <c:v>24.487500000000001</c:v>
                </c:pt>
                <c:pt idx="95">
                  <c:v>26.287500000000001</c:v>
                </c:pt>
                <c:pt idx="96">
                  <c:v>26.142000000000003</c:v>
                </c:pt>
                <c:pt idx="97">
                  <c:v>25.587499999999999</c:v>
                </c:pt>
                <c:pt idx="98">
                  <c:v>26.977499999999999</c:v>
                </c:pt>
                <c:pt idx="99">
                  <c:v>26.095999999999997</c:v>
                </c:pt>
                <c:pt idx="100">
                  <c:v>26.787500000000001</c:v>
                </c:pt>
                <c:pt idx="101">
                  <c:v>26.442499999999999</c:v>
                </c:pt>
                <c:pt idx="102">
                  <c:v>28.669999999999998</c:v>
                </c:pt>
                <c:pt idx="103">
                  <c:v>28.6525</c:v>
                </c:pt>
                <c:pt idx="104">
                  <c:v>27.866000000000003</c:v>
                </c:pt>
                <c:pt idx="105">
                  <c:v>27.002499999999998</c:v>
                </c:pt>
                <c:pt idx="106">
                  <c:v>26.34</c:v>
                </c:pt>
                <c:pt idx="107">
                  <c:v>27.557500000000001</c:v>
                </c:pt>
                <c:pt idx="108">
                  <c:v>29.004000000000001</c:v>
                </c:pt>
                <c:pt idx="109">
                  <c:v>28.272500000000001</c:v>
                </c:pt>
                <c:pt idx="110">
                  <c:v>30.35</c:v>
                </c:pt>
                <c:pt idx="111">
                  <c:v>32.066000000000003</c:v>
                </c:pt>
                <c:pt idx="112">
                  <c:v>35.1875</c:v>
                </c:pt>
                <c:pt idx="113">
                  <c:v>35.167499999999997</c:v>
                </c:pt>
                <c:pt idx="114">
                  <c:v>36.658000000000001</c:v>
                </c:pt>
                <c:pt idx="115">
                  <c:v>30.295000000000002</c:v>
                </c:pt>
                <c:pt idx="116">
                  <c:v>29.702500000000001</c:v>
                </c:pt>
                <c:pt idx="117">
                  <c:v>27.351999999999997</c:v>
                </c:pt>
                <c:pt idx="118">
                  <c:v>28.247499999999999</c:v>
                </c:pt>
                <c:pt idx="119">
                  <c:v>29.336000000000002</c:v>
                </c:pt>
                <c:pt idx="120">
                  <c:v>29.687999999999999</c:v>
                </c:pt>
                <c:pt idx="121">
                  <c:v>34.56</c:v>
                </c:pt>
                <c:pt idx="122">
                  <c:v>36.524999999999999</c:v>
                </c:pt>
                <c:pt idx="123">
                  <c:v>38.853999999999999</c:v>
                </c:pt>
                <c:pt idx="124">
                  <c:v>39.7425</c:v>
                </c:pt>
                <c:pt idx="125">
                  <c:v>38.760000000000005</c:v>
                </c:pt>
                <c:pt idx="126">
                  <c:v>39.327999999999996</c:v>
                </c:pt>
                <c:pt idx="127">
                  <c:v>39.589999999999996</c:v>
                </c:pt>
                <c:pt idx="128">
                  <c:v>37.222499999999997</c:v>
                </c:pt>
                <c:pt idx="129">
                  <c:v>36.694000000000003</c:v>
                </c:pt>
                <c:pt idx="130">
                  <c:v>36.6325</c:v>
                </c:pt>
                <c:pt idx="131">
                  <c:v>42.550000000000004</c:v>
                </c:pt>
                <c:pt idx="132">
                  <c:v>39.525999999999996</c:v>
                </c:pt>
                <c:pt idx="133">
                  <c:v>40.755000000000003</c:v>
                </c:pt>
                <c:pt idx="134">
                  <c:v>40.682499999999997</c:v>
                </c:pt>
                <c:pt idx="135">
                  <c:v>42.762</c:v>
                </c:pt>
                <c:pt idx="136">
                  <c:v>37.887500000000003</c:v>
                </c:pt>
                <c:pt idx="137">
                  <c:v>31.907499999999999</c:v>
                </c:pt>
                <c:pt idx="138">
                  <c:v>30.898000000000003</c:v>
                </c:pt>
                <c:pt idx="139">
                  <c:v>28.08</c:v>
                </c:pt>
                <c:pt idx="140">
                  <c:v>26.315000000000001</c:v>
                </c:pt>
                <c:pt idx="141">
                  <c:v>23.513999999999999</c:v>
                </c:pt>
                <c:pt idx="142">
                  <c:v>25.4</c:v>
                </c:pt>
                <c:pt idx="143">
                  <c:v>26.922499999999999</c:v>
                </c:pt>
                <c:pt idx="144">
                  <c:v>25.576000000000001</c:v>
                </c:pt>
                <c:pt idx="145">
                  <c:v>28.6525</c:v>
                </c:pt>
                <c:pt idx="146">
                  <c:v>28.155000000000001</c:v>
                </c:pt>
                <c:pt idx="147">
                  <c:v>29.173999999999999</c:v>
                </c:pt>
                <c:pt idx="148">
                  <c:v>29.535</c:v>
                </c:pt>
                <c:pt idx="149">
                  <c:v>26.707500000000003</c:v>
                </c:pt>
                <c:pt idx="150">
                  <c:v>26.946000000000005</c:v>
                </c:pt>
                <c:pt idx="151">
                  <c:v>28.11</c:v>
                </c:pt>
                <c:pt idx="152">
                  <c:v>25.962</c:v>
                </c:pt>
                <c:pt idx="153">
                  <c:v>26.254999999999999</c:v>
                </c:pt>
                <c:pt idx="154">
                  <c:v>27.024999999999999</c:v>
                </c:pt>
                <c:pt idx="155">
                  <c:v>30.6525</c:v>
                </c:pt>
                <c:pt idx="156">
                  <c:v>34.692</c:v>
                </c:pt>
                <c:pt idx="157">
                  <c:v>36.7425</c:v>
                </c:pt>
                <c:pt idx="158">
                  <c:v>37.637500000000003</c:v>
                </c:pt>
                <c:pt idx="159">
                  <c:v>41.951999999999998</c:v>
                </c:pt>
                <c:pt idx="160">
                  <c:v>42.6</c:v>
                </c:pt>
                <c:pt idx="161">
                  <c:v>41.0075</c:v>
                </c:pt>
                <c:pt idx="162">
                  <c:v>43.536000000000001</c:v>
                </c:pt>
                <c:pt idx="163">
                  <c:v>40.884999999999998</c:v>
                </c:pt>
                <c:pt idx="164">
                  <c:v>33.474999999999994</c:v>
                </c:pt>
                <c:pt idx="165">
                  <c:v>37.661999999999999</c:v>
                </c:pt>
                <c:pt idx="166">
                  <c:v>38.897499999999994</c:v>
                </c:pt>
                <c:pt idx="167">
                  <c:v>48.34</c:v>
                </c:pt>
                <c:pt idx="168">
                  <c:v>48.975999999999999</c:v>
                </c:pt>
                <c:pt idx="169">
                  <c:v>47.6175</c:v>
                </c:pt>
                <c:pt idx="170">
                  <c:v>43.915000000000006</c:v>
                </c:pt>
                <c:pt idx="171">
                  <c:v>45.333999999999996</c:v>
                </c:pt>
                <c:pt idx="172">
                  <c:v>40.127499999999998</c:v>
                </c:pt>
                <c:pt idx="173">
                  <c:v>36.307499999999997</c:v>
                </c:pt>
                <c:pt idx="174">
                  <c:v>40.29</c:v>
                </c:pt>
                <c:pt idx="175">
                  <c:v>35.78</c:v>
                </c:pt>
                <c:pt idx="176">
                  <c:v>34.905000000000001</c:v>
                </c:pt>
                <c:pt idx="177">
                  <c:v>35.6</c:v>
                </c:pt>
                <c:pt idx="178">
                  <c:v>40.674999999999997</c:v>
                </c:pt>
                <c:pt idx="179">
                  <c:v>45.422499999999999</c:v>
                </c:pt>
                <c:pt idx="180">
                  <c:v>44.341999999999999</c:v>
                </c:pt>
                <c:pt idx="181">
                  <c:v>42.267499999999998</c:v>
                </c:pt>
                <c:pt idx="182">
                  <c:v>41.43</c:v>
                </c:pt>
                <c:pt idx="183">
                  <c:v>40.152000000000001</c:v>
                </c:pt>
                <c:pt idx="184">
                  <c:v>38.379999999999995</c:v>
                </c:pt>
                <c:pt idx="185">
                  <c:v>40.977499999999999</c:v>
                </c:pt>
                <c:pt idx="186">
                  <c:v>43.738</c:v>
                </c:pt>
                <c:pt idx="187">
                  <c:v>43.527500000000003</c:v>
                </c:pt>
                <c:pt idx="188">
                  <c:v>42.034999999999997</c:v>
                </c:pt>
                <c:pt idx="189">
                  <c:v>41.701999999999998</c:v>
                </c:pt>
                <c:pt idx="190">
                  <c:v>44.699999999999996</c:v>
                </c:pt>
                <c:pt idx="191">
                  <c:v>51.746000000000002</c:v>
                </c:pt>
                <c:pt idx="192">
                  <c:v>54.796000000000006</c:v>
                </c:pt>
                <c:pt idx="193">
                  <c:v>56.794999999999995</c:v>
                </c:pt>
                <c:pt idx="194">
                  <c:v>59.61</c:v>
                </c:pt>
                <c:pt idx="195">
                  <c:v>56.718000000000004</c:v>
                </c:pt>
                <c:pt idx="196">
                  <c:v>60.805</c:v>
                </c:pt>
                <c:pt idx="197">
                  <c:v>66.64</c:v>
                </c:pt>
                <c:pt idx="198">
                  <c:v>64.677999999999997</c:v>
                </c:pt>
                <c:pt idx="199">
                  <c:v>57.917499999999997</c:v>
                </c:pt>
                <c:pt idx="200">
                  <c:v>55.089999999999996</c:v>
                </c:pt>
                <c:pt idx="201">
                  <c:v>60.795000000000002</c:v>
                </c:pt>
                <c:pt idx="202">
                  <c:v>62.15</c:v>
                </c:pt>
                <c:pt idx="203">
                  <c:v>70.585000000000008</c:v>
                </c:pt>
                <c:pt idx="204">
                  <c:v>71.305999999999997</c:v>
                </c:pt>
                <c:pt idx="205">
                  <c:v>62.947500000000005</c:v>
                </c:pt>
                <c:pt idx="206">
                  <c:v>61.7</c:v>
                </c:pt>
                <c:pt idx="207">
                  <c:v>64.152000000000001</c:v>
                </c:pt>
                <c:pt idx="208">
                  <c:v>70.209999999999994</c:v>
                </c:pt>
                <c:pt idx="209">
                  <c:v>69.025000000000006</c:v>
                </c:pt>
                <c:pt idx="210">
                  <c:v>63.342000000000006</c:v>
                </c:pt>
                <c:pt idx="211">
                  <c:v>56.712499999999991</c:v>
                </c:pt>
                <c:pt idx="212">
                  <c:v>55.48</c:v>
                </c:pt>
                <c:pt idx="213">
                  <c:v>53.734000000000002</c:v>
                </c:pt>
                <c:pt idx="214">
                  <c:v>50.702500000000001</c:v>
                </c:pt>
                <c:pt idx="215">
                  <c:v>54.519999999999996</c:v>
                </c:pt>
                <c:pt idx="216">
                  <c:v>57.016000000000005</c:v>
                </c:pt>
                <c:pt idx="217">
                  <c:v>59.642500000000005</c:v>
                </c:pt>
                <c:pt idx="218">
                  <c:v>68.094999999999999</c:v>
                </c:pt>
                <c:pt idx="219">
                  <c:v>68.996000000000009</c:v>
                </c:pt>
                <c:pt idx="220">
                  <c:v>72.842500000000001</c:v>
                </c:pt>
                <c:pt idx="221">
                  <c:v>61.572500000000005</c:v>
                </c:pt>
                <c:pt idx="222">
                  <c:v>56.519999999999996</c:v>
                </c:pt>
                <c:pt idx="223">
                  <c:v>55.342500000000001</c:v>
                </c:pt>
                <c:pt idx="224">
                  <c:v>61.032500000000006</c:v>
                </c:pt>
                <c:pt idx="225">
                  <c:v>58.442000000000007</c:v>
                </c:pt>
                <c:pt idx="226">
                  <c:v>55.717500000000001</c:v>
                </c:pt>
                <c:pt idx="227">
                  <c:v>60.43</c:v>
                </c:pt>
                <c:pt idx="228">
                  <c:v>62.335999999999991</c:v>
                </c:pt>
                <c:pt idx="229">
                  <c:v>59.800000000000004</c:v>
                </c:pt>
                <c:pt idx="230">
                  <c:v>69.227499999999992</c:v>
                </c:pt>
                <c:pt idx="231">
                  <c:v>67.873999999999995</c:v>
                </c:pt>
                <c:pt idx="232">
                  <c:v>61.817500000000003</c:v>
                </c:pt>
                <c:pt idx="233">
                  <c:v>63.99</c:v>
                </c:pt>
                <c:pt idx="234">
                  <c:v>59.234000000000002</c:v>
                </c:pt>
                <c:pt idx="235">
                  <c:v>54.104999999999997</c:v>
                </c:pt>
                <c:pt idx="236">
                  <c:v>50.055</c:v>
                </c:pt>
                <c:pt idx="237">
                  <c:v>51.81</c:v>
                </c:pt>
                <c:pt idx="238">
                  <c:v>59.480000000000004</c:v>
                </c:pt>
                <c:pt idx="239">
                  <c:v>71.142500000000013</c:v>
                </c:pt>
                <c:pt idx="240">
                  <c:v>75.597999999999999</c:v>
                </c:pt>
                <c:pt idx="241">
                  <c:v>67.81750000000001</c:v>
                </c:pt>
                <c:pt idx="242">
                  <c:v>63.537499999999994</c:v>
                </c:pt>
                <c:pt idx="243">
                  <c:v>57.56</c:v>
                </c:pt>
                <c:pt idx="244">
                  <c:v>60.892499999999998</c:v>
                </c:pt>
                <c:pt idx="245">
                  <c:v>65.025000000000006</c:v>
                </c:pt>
                <c:pt idx="246">
                  <c:v>54.625999999999998</c:v>
                </c:pt>
                <c:pt idx="247">
                  <c:v>50.795000000000002</c:v>
                </c:pt>
                <c:pt idx="248">
                  <c:v>49.492000000000004</c:v>
                </c:pt>
                <c:pt idx="249">
                  <c:v>48.427500000000002</c:v>
                </c:pt>
                <c:pt idx="250">
                  <c:v>47.782499999999999</c:v>
                </c:pt>
                <c:pt idx="251">
                  <c:v>48.582000000000001</c:v>
                </c:pt>
                <c:pt idx="252">
                  <c:v>48.398000000000003</c:v>
                </c:pt>
                <c:pt idx="253">
                  <c:v>55.274999999999999</c:v>
                </c:pt>
                <c:pt idx="254">
                  <c:v>62.517499999999998</c:v>
                </c:pt>
                <c:pt idx="255">
                  <c:v>63.617999999999995</c:v>
                </c:pt>
                <c:pt idx="256">
                  <c:v>65.67</c:v>
                </c:pt>
                <c:pt idx="257">
                  <c:v>59.594999999999999</c:v>
                </c:pt>
                <c:pt idx="258">
                  <c:v>62.227999999999994</c:v>
                </c:pt>
                <c:pt idx="259">
                  <c:v>56.12</c:v>
                </c:pt>
                <c:pt idx="260">
                  <c:v>53.037499999999994</c:v>
                </c:pt>
                <c:pt idx="261">
                  <c:v>57.483999999999995</c:v>
                </c:pt>
                <c:pt idx="262">
                  <c:v>58.984999999999999</c:v>
                </c:pt>
                <c:pt idx="263">
                  <c:v>69.132499999999993</c:v>
                </c:pt>
                <c:pt idx="264">
                  <c:v>71.463999999999999</c:v>
                </c:pt>
                <c:pt idx="265">
                  <c:v>84.204999999999998</c:v>
                </c:pt>
                <c:pt idx="266">
                  <c:v>82.3</c:v>
                </c:pt>
                <c:pt idx="267">
                  <c:v>100.54599999999999</c:v>
                </c:pt>
                <c:pt idx="268">
                  <c:v>95.342500000000001</c:v>
                </c:pt>
                <c:pt idx="269">
                  <c:v>96.412499999999994</c:v>
                </c:pt>
                <c:pt idx="270">
                  <c:v>81.802000000000007</c:v>
                </c:pt>
                <c:pt idx="271">
                  <c:v>67.5625</c:v>
                </c:pt>
                <c:pt idx="272">
                  <c:v>64.127499999999998</c:v>
                </c:pt>
                <c:pt idx="273">
                  <c:v>71.150000000000006</c:v>
                </c:pt>
                <c:pt idx="274">
                  <c:v>74.67</c:v>
                </c:pt>
                <c:pt idx="275">
                  <c:v>79.039999999999992</c:v>
                </c:pt>
                <c:pt idx="276">
                  <c:v>93</c:v>
                </c:pt>
                <c:pt idx="277">
                  <c:v>107.11499999999999</c:v>
                </c:pt>
                <c:pt idx="278">
                  <c:v>117.36750000000001</c:v>
                </c:pt>
                <c:pt idx="279">
                  <c:v>113.434</c:v>
                </c:pt>
                <c:pt idx="280">
                  <c:v>110.2825</c:v>
                </c:pt>
                <c:pt idx="281">
                  <c:v>98.082499999999996</c:v>
                </c:pt>
                <c:pt idx="282">
                  <c:v>90.801999999999992</c:v>
                </c:pt>
                <c:pt idx="283">
                  <c:v>77.605000000000004</c:v>
                </c:pt>
                <c:pt idx="284">
                  <c:v>77.83250000000001</c:v>
                </c:pt>
                <c:pt idx="285">
                  <c:v>82.806000000000012</c:v>
                </c:pt>
                <c:pt idx="286">
                  <c:v>83.134999999999991</c:v>
                </c:pt>
                <c:pt idx="287">
                  <c:v>91.570000000000007</c:v>
                </c:pt>
                <c:pt idx="288">
                  <c:v>107.056</c:v>
                </c:pt>
                <c:pt idx="289">
                  <c:v>108.88</c:v>
                </c:pt>
                <c:pt idx="290">
                  <c:v>108.8625</c:v>
                </c:pt>
                <c:pt idx="291">
                  <c:v>119.474</c:v>
                </c:pt>
                <c:pt idx="292">
                  <c:v>116.46250000000001</c:v>
                </c:pt>
                <c:pt idx="293">
                  <c:v>85.484999999999999</c:v>
                </c:pt>
                <c:pt idx="294">
                  <c:v>80.443999999999988</c:v>
                </c:pt>
                <c:pt idx="295">
                  <c:v>78.012500000000003</c:v>
                </c:pt>
                <c:pt idx="296">
                  <c:v>72.94</c:v>
                </c:pt>
                <c:pt idx="297">
                  <c:v>75.715000000000003</c:v>
                </c:pt>
                <c:pt idx="298">
                  <c:v>83.847499999999997</c:v>
                </c:pt>
                <c:pt idx="299">
                  <c:v>95.542500000000004</c:v>
                </c:pt>
                <c:pt idx="300">
                  <c:v>108.226</c:v>
                </c:pt>
                <c:pt idx="301">
                  <c:v>92.762500000000003</c:v>
                </c:pt>
                <c:pt idx="302">
                  <c:v>87.295000000000002</c:v>
                </c:pt>
                <c:pt idx="303">
                  <c:v>82.966000000000008</c:v>
                </c:pt>
                <c:pt idx="304">
                  <c:v>74.42</c:v>
                </c:pt>
                <c:pt idx="305">
                  <c:v>75.055000000000007</c:v>
                </c:pt>
                <c:pt idx="306">
                  <c:v>66.275999999999982</c:v>
                </c:pt>
                <c:pt idx="307">
                  <c:v>64.355000000000004</c:v>
                </c:pt>
                <c:pt idx="308">
                  <c:v>75.625</c:v>
                </c:pt>
                <c:pt idx="309">
                  <c:v>77.12</c:v>
                </c:pt>
              </c:numCache>
            </c:numRef>
          </c:xVal>
          <c:yVal>
            <c:numRef>
              <c:f>'2.2 Working Sheet'!$N$4:$N$313</c:f>
              <c:numCache>
                <c:formatCode>#\ ##0\ [$NOK]</c:formatCode>
                <c:ptCount val="310"/>
                <c:pt idx="0">
                  <c:v>38985000000</c:v>
                </c:pt>
                <c:pt idx="1">
                  <c:v>38900000000</c:v>
                </c:pt>
                <c:pt idx="2">
                  <c:v>42813000000</c:v>
                </c:pt>
                <c:pt idx="3">
                  <c:v>37147000000</c:v>
                </c:pt>
                <c:pt idx="4">
                  <c:v>43463000000</c:v>
                </c:pt>
                <c:pt idx="5">
                  <c:v>41200000000</c:v>
                </c:pt>
                <c:pt idx="6">
                  <c:v>40961000000</c:v>
                </c:pt>
                <c:pt idx="7">
                  <c:v>48092000000</c:v>
                </c:pt>
                <c:pt idx="8">
                  <c:v>46327000000</c:v>
                </c:pt>
                <c:pt idx="9">
                  <c:v>52590000000</c:v>
                </c:pt>
                <c:pt idx="10">
                  <c:v>53518000000</c:v>
                </c:pt>
                <c:pt idx="11">
                  <c:v>45816000000</c:v>
                </c:pt>
                <c:pt idx="12">
                  <c:v>50394000000</c:v>
                </c:pt>
                <c:pt idx="13">
                  <c:v>42706000000</c:v>
                </c:pt>
                <c:pt idx="14">
                  <c:v>45535000000</c:v>
                </c:pt>
                <c:pt idx="15">
                  <c:v>44396000000</c:v>
                </c:pt>
                <c:pt idx="16">
                  <c:v>46982000000</c:v>
                </c:pt>
                <c:pt idx="17">
                  <c:v>42862000000</c:v>
                </c:pt>
                <c:pt idx="18">
                  <c:v>46018000000</c:v>
                </c:pt>
                <c:pt idx="19">
                  <c:v>41530000000</c:v>
                </c:pt>
                <c:pt idx="20">
                  <c:v>42441000000</c:v>
                </c:pt>
                <c:pt idx="21">
                  <c:v>44725000000</c:v>
                </c:pt>
                <c:pt idx="22">
                  <c:v>39677000000</c:v>
                </c:pt>
                <c:pt idx="23">
                  <c:v>44996000000</c:v>
                </c:pt>
                <c:pt idx="24">
                  <c:v>36655000000</c:v>
                </c:pt>
                <c:pt idx="25">
                  <c:v>37124000000</c:v>
                </c:pt>
                <c:pt idx="26">
                  <c:v>41555000000</c:v>
                </c:pt>
                <c:pt idx="27">
                  <c:v>43274000000</c:v>
                </c:pt>
                <c:pt idx="28">
                  <c:v>38761000000</c:v>
                </c:pt>
                <c:pt idx="29">
                  <c:v>38505000000</c:v>
                </c:pt>
                <c:pt idx="30">
                  <c:v>36245000000</c:v>
                </c:pt>
                <c:pt idx="31">
                  <c:v>37567000000</c:v>
                </c:pt>
                <c:pt idx="32">
                  <c:v>38949000000</c:v>
                </c:pt>
                <c:pt idx="33">
                  <c:v>40868000000</c:v>
                </c:pt>
                <c:pt idx="34">
                  <c:v>41117000000</c:v>
                </c:pt>
                <c:pt idx="35">
                  <c:v>42334000000</c:v>
                </c:pt>
                <c:pt idx="36">
                  <c:v>41116000000</c:v>
                </c:pt>
                <c:pt idx="37">
                  <c:v>41070000000</c:v>
                </c:pt>
                <c:pt idx="38">
                  <c:v>40742000000</c:v>
                </c:pt>
                <c:pt idx="39">
                  <c:v>41028000000</c:v>
                </c:pt>
                <c:pt idx="40">
                  <c:v>39235000000</c:v>
                </c:pt>
                <c:pt idx="41">
                  <c:v>34581000000</c:v>
                </c:pt>
                <c:pt idx="42">
                  <c:v>37725000000</c:v>
                </c:pt>
                <c:pt idx="43">
                  <c:v>37396000000</c:v>
                </c:pt>
                <c:pt idx="44">
                  <c:v>38497000000</c:v>
                </c:pt>
                <c:pt idx="45">
                  <c:v>46518000000</c:v>
                </c:pt>
                <c:pt idx="46">
                  <c:v>41665000000</c:v>
                </c:pt>
                <c:pt idx="47">
                  <c:v>43359000000</c:v>
                </c:pt>
                <c:pt idx="48">
                  <c:v>42455000000</c:v>
                </c:pt>
                <c:pt idx="49">
                  <c:v>44869000000</c:v>
                </c:pt>
                <c:pt idx="50">
                  <c:v>47696000000</c:v>
                </c:pt>
                <c:pt idx="51">
                  <c:v>45252000000</c:v>
                </c:pt>
                <c:pt idx="52">
                  <c:v>43755000000</c:v>
                </c:pt>
                <c:pt idx="53">
                  <c:v>44202000000</c:v>
                </c:pt>
                <c:pt idx="54">
                  <c:v>47216000000</c:v>
                </c:pt>
                <c:pt idx="55">
                  <c:v>42696000000</c:v>
                </c:pt>
                <c:pt idx="56">
                  <c:v>48072000000</c:v>
                </c:pt>
                <c:pt idx="57">
                  <c:v>51998000000</c:v>
                </c:pt>
                <c:pt idx="58">
                  <c:v>51369000000</c:v>
                </c:pt>
                <c:pt idx="59">
                  <c:v>45316000000</c:v>
                </c:pt>
                <c:pt idx="60">
                  <c:v>48652000000</c:v>
                </c:pt>
                <c:pt idx="61">
                  <c:v>49840000000</c:v>
                </c:pt>
                <c:pt idx="62">
                  <c:v>53943000000</c:v>
                </c:pt>
                <c:pt idx="63">
                  <c:v>59761000000</c:v>
                </c:pt>
                <c:pt idx="64">
                  <c:v>52185000000</c:v>
                </c:pt>
                <c:pt idx="65">
                  <c:v>49667000000</c:v>
                </c:pt>
                <c:pt idx="66">
                  <c:v>54083000000</c:v>
                </c:pt>
                <c:pt idx="67">
                  <c:v>57128000000</c:v>
                </c:pt>
                <c:pt idx="68">
                  <c:v>57541000000</c:v>
                </c:pt>
                <c:pt idx="69">
                  <c:v>64133000000</c:v>
                </c:pt>
                <c:pt idx="70">
                  <c:v>58043000000</c:v>
                </c:pt>
                <c:pt idx="71">
                  <c:v>63783000000</c:v>
                </c:pt>
                <c:pt idx="72">
                  <c:v>70255000000</c:v>
                </c:pt>
                <c:pt idx="73">
                  <c:v>61274000000</c:v>
                </c:pt>
                <c:pt idx="74">
                  <c:v>72719000000</c:v>
                </c:pt>
                <c:pt idx="75">
                  <c:v>62410000000</c:v>
                </c:pt>
                <c:pt idx="76">
                  <c:v>62350000000</c:v>
                </c:pt>
                <c:pt idx="77">
                  <c:v>65520000000</c:v>
                </c:pt>
                <c:pt idx="78">
                  <c:v>62813000000</c:v>
                </c:pt>
                <c:pt idx="79">
                  <c:v>65240000000</c:v>
                </c:pt>
                <c:pt idx="80">
                  <c:v>60268000000</c:v>
                </c:pt>
                <c:pt idx="81">
                  <c:v>68745000000</c:v>
                </c:pt>
                <c:pt idx="82">
                  <c:v>67685000000</c:v>
                </c:pt>
                <c:pt idx="83">
                  <c:v>63664000000</c:v>
                </c:pt>
                <c:pt idx="84">
                  <c:v>67604000000</c:v>
                </c:pt>
                <c:pt idx="85">
                  <c:v>59469000000</c:v>
                </c:pt>
                <c:pt idx="86">
                  <c:v>69119000000</c:v>
                </c:pt>
                <c:pt idx="87">
                  <c:v>63304000000</c:v>
                </c:pt>
                <c:pt idx="88">
                  <c:v>63610000000</c:v>
                </c:pt>
                <c:pt idx="89">
                  <c:v>63367000000</c:v>
                </c:pt>
                <c:pt idx="90">
                  <c:v>59884000000</c:v>
                </c:pt>
                <c:pt idx="91">
                  <c:v>63448000000</c:v>
                </c:pt>
                <c:pt idx="92">
                  <c:v>64319000000</c:v>
                </c:pt>
                <c:pt idx="93">
                  <c:v>72463000000</c:v>
                </c:pt>
                <c:pt idx="94">
                  <c:v>72748000000</c:v>
                </c:pt>
                <c:pt idx="95">
                  <c:v>76030000000</c:v>
                </c:pt>
                <c:pt idx="96">
                  <c:v>78569000000</c:v>
                </c:pt>
                <c:pt idx="97">
                  <c:v>79394000000</c:v>
                </c:pt>
                <c:pt idx="98">
                  <c:v>78533000000</c:v>
                </c:pt>
                <c:pt idx="99">
                  <c:v>85041000000</c:v>
                </c:pt>
                <c:pt idx="100">
                  <c:v>82807000000</c:v>
                </c:pt>
                <c:pt idx="101">
                  <c:v>81263000000</c:v>
                </c:pt>
                <c:pt idx="102">
                  <c:v>81115000000</c:v>
                </c:pt>
                <c:pt idx="103">
                  <c:v>78140000000</c:v>
                </c:pt>
                <c:pt idx="104">
                  <c:v>74339000000</c:v>
                </c:pt>
                <c:pt idx="105">
                  <c:v>83774000000</c:v>
                </c:pt>
                <c:pt idx="106">
                  <c:v>77775000000</c:v>
                </c:pt>
                <c:pt idx="107">
                  <c:v>72403000000</c:v>
                </c:pt>
                <c:pt idx="108">
                  <c:v>68333000000</c:v>
                </c:pt>
                <c:pt idx="109">
                  <c:v>65197000000</c:v>
                </c:pt>
                <c:pt idx="110">
                  <c:v>69777000000</c:v>
                </c:pt>
                <c:pt idx="111">
                  <c:v>55656000000</c:v>
                </c:pt>
                <c:pt idx="112">
                  <c:v>53449000000</c:v>
                </c:pt>
                <c:pt idx="113">
                  <c:v>56855000000</c:v>
                </c:pt>
                <c:pt idx="114">
                  <c:v>60843000000</c:v>
                </c:pt>
                <c:pt idx="115">
                  <c:v>54873000000</c:v>
                </c:pt>
                <c:pt idx="116">
                  <c:v>57493000000</c:v>
                </c:pt>
                <c:pt idx="117">
                  <c:v>63117000000</c:v>
                </c:pt>
                <c:pt idx="118">
                  <c:v>63890000000</c:v>
                </c:pt>
                <c:pt idx="119">
                  <c:v>61823000000</c:v>
                </c:pt>
                <c:pt idx="120">
                  <c:v>63909000000</c:v>
                </c:pt>
                <c:pt idx="121">
                  <c:v>66175000000</c:v>
                </c:pt>
                <c:pt idx="122">
                  <c:v>71130000000</c:v>
                </c:pt>
                <c:pt idx="123">
                  <c:v>63015000000</c:v>
                </c:pt>
                <c:pt idx="124">
                  <c:v>59043000000</c:v>
                </c:pt>
                <c:pt idx="125">
                  <c:v>66522000000</c:v>
                </c:pt>
                <c:pt idx="126">
                  <c:v>60853000000</c:v>
                </c:pt>
                <c:pt idx="127">
                  <c:v>56488000000</c:v>
                </c:pt>
                <c:pt idx="128">
                  <c:v>63770000000</c:v>
                </c:pt>
                <c:pt idx="129">
                  <c:v>66955000000</c:v>
                </c:pt>
                <c:pt idx="130">
                  <c:v>73166000000</c:v>
                </c:pt>
                <c:pt idx="131">
                  <c:v>77093000000</c:v>
                </c:pt>
                <c:pt idx="132">
                  <c:v>76393000000</c:v>
                </c:pt>
                <c:pt idx="133">
                  <c:v>71457000000</c:v>
                </c:pt>
                <c:pt idx="134">
                  <c:v>82203000000</c:v>
                </c:pt>
                <c:pt idx="135">
                  <c:v>78141000000</c:v>
                </c:pt>
                <c:pt idx="136">
                  <c:v>69312000000</c:v>
                </c:pt>
                <c:pt idx="137">
                  <c:v>67057000000</c:v>
                </c:pt>
                <c:pt idx="138">
                  <c:v>71986000000</c:v>
                </c:pt>
                <c:pt idx="139">
                  <c:v>71827000000</c:v>
                </c:pt>
                <c:pt idx="140">
                  <c:v>74834000000</c:v>
                </c:pt>
                <c:pt idx="141">
                  <c:v>72089000000</c:v>
                </c:pt>
                <c:pt idx="142">
                  <c:v>81756000000</c:v>
                </c:pt>
                <c:pt idx="143">
                  <c:v>81538000000</c:v>
                </c:pt>
                <c:pt idx="144">
                  <c:v>83196000000</c:v>
                </c:pt>
                <c:pt idx="145">
                  <c:v>86488000000</c:v>
                </c:pt>
                <c:pt idx="146">
                  <c:v>90991000000</c:v>
                </c:pt>
                <c:pt idx="147">
                  <c:v>75882000000</c:v>
                </c:pt>
                <c:pt idx="148">
                  <c:v>81901000000</c:v>
                </c:pt>
                <c:pt idx="149">
                  <c:v>71807000000</c:v>
                </c:pt>
                <c:pt idx="150">
                  <c:v>71952000000</c:v>
                </c:pt>
                <c:pt idx="151">
                  <c:v>74038000000</c:v>
                </c:pt>
                <c:pt idx="152">
                  <c:v>65114000000</c:v>
                </c:pt>
                <c:pt idx="153">
                  <c:v>82047000000</c:v>
                </c:pt>
                <c:pt idx="154">
                  <c:v>77207000000</c:v>
                </c:pt>
                <c:pt idx="155">
                  <c:v>74666000000</c:v>
                </c:pt>
                <c:pt idx="156">
                  <c:v>76693000000</c:v>
                </c:pt>
                <c:pt idx="157">
                  <c:v>74643000000</c:v>
                </c:pt>
                <c:pt idx="158">
                  <c:v>77107000000</c:v>
                </c:pt>
                <c:pt idx="159">
                  <c:v>70404000000</c:v>
                </c:pt>
                <c:pt idx="160">
                  <c:v>73201000000</c:v>
                </c:pt>
                <c:pt idx="161">
                  <c:v>74301000000</c:v>
                </c:pt>
                <c:pt idx="162">
                  <c:v>79687000000</c:v>
                </c:pt>
                <c:pt idx="163">
                  <c:v>73242000000</c:v>
                </c:pt>
                <c:pt idx="164">
                  <c:v>67502000000</c:v>
                </c:pt>
                <c:pt idx="165">
                  <c:v>80411000000</c:v>
                </c:pt>
                <c:pt idx="166">
                  <c:v>87227000000</c:v>
                </c:pt>
                <c:pt idx="167">
                  <c:v>82114000000</c:v>
                </c:pt>
                <c:pt idx="168">
                  <c:v>91187000000</c:v>
                </c:pt>
                <c:pt idx="169">
                  <c:v>78110000000</c:v>
                </c:pt>
                <c:pt idx="170">
                  <c:v>82088000000</c:v>
                </c:pt>
                <c:pt idx="171">
                  <c:v>75421000000</c:v>
                </c:pt>
                <c:pt idx="172">
                  <c:v>71842000000</c:v>
                </c:pt>
                <c:pt idx="173">
                  <c:v>65991000000</c:v>
                </c:pt>
                <c:pt idx="174">
                  <c:v>69932000000</c:v>
                </c:pt>
                <c:pt idx="175">
                  <c:v>67751000000</c:v>
                </c:pt>
                <c:pt idx="176">
                  <c:v>71657000000</c:v>
                </c:pt>
                <c:pt idx="177">
                  <c:v>85631000000</c:v>
                </c:pt>
                <c:pt idx="178">
                  <c:v>73269000000</c:v>
                </c:pt>
                <c:pt idx="179">
                  <c:v>76157000000</c:v>
                </c:pt>
                <c:pt idx="180">
                  <c:v>70017000000</c:v>
                </c:pt>
                <c:pt idx="181">
                  <c:v>68878000000</c:v>
                </c:pt>
                <c:pt idx="182">
                  <c:v>79138000000</c:v>
                </c:pt>
                <c:pt idx="183">
                  <c:v>65801000000</c:v>
                </c:pt>
                <c:pt idx="184">
                  <c:v>67375000000</c:v>
                </c:pt>
                <c:pt idx="185">
                  <c:v>70453000000</c:v>
                </c:pt>
                <c:pt idx="186">
                  <c:v>69719000000</c:v>
                </c:pt>
                <c:pt idx="187">
                  <c:v>67656000000</c:v>
                </c:pt>
                <c:pt idx="188">
                  <c:v>68336000000</c:v>
                </c:pt>
                <c:pt idx="189">
                  <c:v>73823000000</c:v>
                </c:pt>
                <c:pt idx="190">
                  <c:v>67229000000</c:v>
                </c:pt>
                <c:pt idx="191">
                  <c:v>66841000000</c:v>
                </c:pt>
                <c:pt idx="192">
                  <c:v>60686000000</c:v>
                </c:pt>
                <c:pt idx="193">
                  <c:v>60392000000</c:v>
                </c:pt>
                <c:pt idx="194">
                  <c:v>61908000000</c:v>
                </c:pt>
                <c:pt idx="195">
                  <c:v>61521000000</c:v>
                </c:pt>
                <c:pt idx="196">
                  <c:v>58402000000</c:v>
                </c:pt>
                <c:pt idx="197">
                  <c:v>60356000000</c:v>
                </c:pt>
                <c:pt idx="198">
                  <c:v>59394000000</c:v>
                </c:pt>
                <c:pt idx="199">
                  <c:v>59569000000</c:v>
                </c:pt>
                <c:pt idx="200">
                  <c:v>57479000000</c:v>
                </c:pt>
                <c:pt idx="201">
                  <c:v>68955000000</c:v>
                </c:pt>
                <c:pt idx="202">
                  <c:v>70550000000</c:v>
                </c:pt>
                <c:pt idx="203">
                  <c:v>72371000000</c:v>
                </c:pt>
                <c:pt idx="204">
                  <c:v>77510000000</c:v>
                </c:pt>
                <c:pt idx="205">
                  <c:v>70981000000</c:v>
                </c:pt>
                <c:pt idx="206">
                  <c:v>78230000000</c:v>
                </c:pt>
                <c:pt idx="207">
                  <c:v>68595000000</c:v>
                </c:pt>
                <c:pt idx="208">
                  <c:v>68881000000</c:v>
                </c:pt>
                <c:pt idx="209">
                  <c:v>68955000000</c:v>
                </c:pt>
                <c:pt idx="210">
                  <c:v>62930000000</c:v>
                </c:pt>
                <c:pt idx="211">
                  <c:v>68710000000</c:v>
                </c:pt>
                <c:pt idx="212">
                  <c:v>66519000000</c:v>
                </c:pt>
                <c:pt idx="213">
                  <c:v>75292000000</c:v>
                </c:pt>
                <c:pt idx="214">
                  <c:v>78886000000</c:v>
                </c:pt>
                <c:pt idx="215">
                  <c:v>78134000000</c:v>
                </c:pt>
                <c:pt idx="216">
                  <c:v>85602000000</c:v>
                </c:pt>
                <c:pt idx="217">
                  <c:v>75891000000</c:v>
                </c:pt>
                <c:pt idx="218">
                  <c:v>82132000000</c:v>
                </c:pt>
                <c:pt idx="219">
                  <c:v>80395000000</c:v>
                </c:pt>
                <c:pt idx="220">
                  <c:v>80627000000</c:v>
                </c:pt>
                <c:pt idx="221">
                  <c:v>79849000000</c:v>
                </c:pt>
                <c:pt idx="222">
                  <c:v>82053000000</c:v>
                </c:pt>
                <c:pt idx="223">
                  <c:v>87097000000</c:v>
                </c:pt>
                <c:pt idx="224">
                  <c:v>81689000000</c:v>
                </c:pt>
                <c:pt idx="225">
                  <c:v>98281000000</c:v>
                </c:pt>
                <c:pt idx="226">
                  <c:v>86960000000</c:v>
                </c:pt>
                <c:pt idx="227">
                  <c:v>79696000000</c:v>
                </c:pt>
                <c:pt idx="228">
                  <c:v>86774000000</c:v>
                </c:pt>
                <c:pt idx="229">
                  <c:v>76606000000</c:v>
                </c:pt>
                <c:pt idx="230">
                  <c:v>85077000000</c:v>
                </c:pt>
                <c:pt idx="231">
                  <c:v>77719000000</c:v>
                </c:pt>
                <c:pt idx="232">
                  <c:v>76345000000</c:v>
                </c:pt>
                <c:pt idx="233">
                  <c:v>66113000000</c:v>
                </c:pt>
                <c:pt idx="234">
                  <c:v>67059000000</c:v>
                </c:pt>
                <c:pt idx="235">
                  <c:v>65693000000</c:v>
                </c:pt>
                <c:pt idx="236">
                  <c:v>66204000000</c:v>
                </c:pt>
                <c:pt idx="237">
                  <c:v>76900000000</c:v>
                </c:pt>
                <c:pt idx="238">
                  <c:v>86115000000</c:v>
                </c:pt>
                <c:pt idx="239">
                  <c:v>84891000000</c:v>
                </c:pt>
                <c:pt idx="240">
                  <c:v>78453000000</c:v>
                </c:pt>
                <c:pt idx="241">
                  <c:v>74067000000</c:v>
                </c:pt>
                <c:pt idx="242">
                  <c:v>66463000000</c:v>
                </c:pt>
                <c:pt idx="243">
                  <c:v>52480000000</c:v>
                </c:pt>
                <c:pt idx="244">
                  <c:v>51278000000</c:v>
                </c:pt>
                <c:pt idx="245">
                  <c:v>56920000000</c:v>
                </c:pt>
                <c:pt idx="246">
                  <c:v>58975000000</c:v>
                </c:pt>
                <c:pt idx="247">
                  <c:v>58503000000</c:v>
                </c:pt>
                <c:pt idx="248">
                  <c:v>61831000000</c:v>
                </c:pt>
                <c:pt idx="249">
                  <c:v>71986000000</c:v>
                </c:pt>
                <c:pt idx="250">
                  <c:v>70126000000</c:v>
                </c:pt>
                <c:pt idx="251">
                  <c:v>78372000000</c:v>
                </c:pt>
                <c:pt idx="252">
                  <c:v>84092000000</c:v>
                </c:pt>
                <c:pt idx="253">
                  <c:v>79762000000</c:v>
                </c:pt>
                <c:pt idx="254">
                  <c:v>94603000000</c:v>
                </c:pt>
                <c:pt idx="255">
                  <c:v>85400000000</c:v>
                </c:pt>
                <c:pt idx="256">
                  <c:v>90824000000</c:v>
                </c:pt>
                <c:pt idx="257">
                  <c:v>100083000000</c:v>
                </c:pt>
                <c:pt idx="258">
                  <c:v>113955000000</c:v>
                </c:pt>
                <c:pt idx="259">
                  <c:v>124303000000</c:v>
                </c:pt>
                <c:pt idx="260">
                  <c:v>140098000000</c:v>
                </c:pt>
                <c:pt idx="261">
                  <c:v>178636000000</c:v>
                </c:pt>
                <c:pt idx="262">
                  <c:v>176646000000</c:v>
                </c:pt>
                <c:pt idx="263">
                  <c:v>224657000000</c:v>
                </c:pt>
                <c:pt idx="264">
                  <c:v>177721000000</c:v>
                </c:pt>
                <c:pt idx="265">
                  <c:v>173061000000</c:v>
                </c:pt>
                <c:pt idx="266">
                  <c:v>251761000000</c:v>
                </c:pt>
                <c:pt idx="267">
                  <c:v>188135000000</c:v>
                </c:pt>
                <c:pt idx="268">
                  <c:v>198241000000</c:v>
                </c:pt>
                <c:pt idx="269">
                  <c:v>202339000000</c:v>
                </c:pt>
                <c:pt idx="270">
                  <c:v>261120000000</c:v>
                </c:pt>
                <c:pt idx="271">
                  <c:v>320341000000</c:v>
                </c:pt>
                <c:pt idx="272">
                  <c:v>252529000000</c:v>
                </c:pt>
                <c:pt idx="273">
                  <c:v>191473000000</c:v>
                </c:pt>
                <c:pt idx="274">
                  <c:v>199112000000</c:v>
                </c:pt>
                <c:pt idx="275">
                  <c:v>246794000000</c:v>
                </c:pt>
                <c:pt idx="276">
                  <c:v>183886000000</c:v>
                </c:pt>
                <c:pt idx="277">
                  <c:v>164885000000</c:v>
                </c:pt>
                <c:pt idx="278">
                  <c:v>178621000000</c:v>
                </c:pt>
                <c:pt idx="279">
                  <c:v>159075000000</c:v>
                </c:pt>
                <c:pt idx="280">
                  <c:v>139552000000</c:v>
                </c:pt>
                <c:pt idx="281">
                  <c:v>139554000000</c:v>
                </c:pt>
                <c:pt idx="282">
                  <c:v>140893000000</c:v>
                </c:pt>
                <c:pt idx="283">
                  <c:v>144322000000</c:v>
                </c:pt>
                <c:pt idx="284">
                  <c:v>135722000000</c:v>
                </c:pt>
                <c:pt idx="285">
                  <c:v>173408000000</c:v>
                </c:pt>
                <c:pt idx="286">
                  <c:v>167383000000</c:v>
                </c:pt>
                <c:pt idx="287">
                  <c:v>156087000000</c:v>
                </c:pt>
                <c:pt idx="288">
                  <c:v>148697000000</c:v>
                </c:pt>
                <c:pt idx="289">
                  <c:v>131665000000</c:v>
                </c:pt>
                <c:pt idx="290">
                  <c:v>144257000000</c:v>
                </c:pt>
                <c:pt idx="291">
                  <c:v>157740000000</c:v>
                </c:pt>
                <c:pt idx="292">
                  <c:v>149218000000</c:v>
                </c:pt>
                <c:pt idx="293">
                  <c:v>154071000000</c:v>
                </c:pt>
                <c:pt idx="294">
                  <c:v>146680000000</c:v>
                </c:pt>
                <c:pt idx="295">
                  <c:v>151217000000</c:v>
                </c:pt>
                <c:pt idx="296">
                  <c:v>131033000000</c:v>
                </c:pt>
                <c:pt idx="297">
                  <c:v>160711000000</c:v>
                </c:pt>
                <c:pt idx="298">
                  <c:v>164102000000</c:v>
                </c:pt>
                <c:pt idx="299">
                  <c:v>168779000000</c:v>
                </c:pt>
                <c:pt idx="300">
                  <c:v>176834000000</c:v>
                </c:pt>
                <c:pt idx="301">
                  <c:v>168193000000</c:v>
                </c:pt>
                <c:pt idx="302">
                  <c:v>155655000000</c:v>
                </c:pt>
                <c:pt idx="303">
                  <c:v>145888000000</c:v>
                </c:pt>
                <c:pt idx="304">
                  <c:v>136942000000</c:v>
                </c:pt>
                <c:pt idx="305">
                  <c:v>140481000000</c:v>
                </c:pt>
                <c:pt idx="306">
                  <c:v>142998000000</c:v>
                </c:pt>
                <c:pt idx="307">
                  <c:v>143213000000</c:v>
                </c:pt>
                <c:pt idx="308">
                  <c:v>131746000000</c:v>
                </c:pt>
                <c:pt idx="309">
                  <c:v>154466000000</c:v>
                </c:pt>
              </c:numCache>
            </c:numRef>
          </c:yVal>
          <c:smooth val="0"/>
          <c:extLst>
            <c:ext xmlns:c16="http://schemas.microsoft.com/office/drawing/2014/chart" uri="{C3380CC4-5D6E-409C-BE32-E72D297353CC}">
              <c16:uniqueId val="{00000005-F95C-4EEB-B760-FFC68AF3C088}"/>
            </c:ext>
          </c:extLst>
        </c:ser>
        <c:dLbls>
          <c:showLegendKey val="0"/>
          <c:showVal val="0"/>
          <c:showCatName val="0"/>
          <c:showSerName val="0"/>
          <c:showPercent val="0"/>
          <c:showBubbleSize val="0"/>
        </c:dLbls>
        <c:axId val="932302912"/>
        <c:axId val="932305792"/>
      </c:scatterChart>
      <c:valAx>
        <c:axId val="9323029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u-HU"/>
                  <a:t>Fresh salmon export price (NOK/kg)</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NO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305792"/>
        <c:crosses val="autoZero"/>
        <c:crossBetween val="midCat"/>
      </c:valAx>
      <c:valAx>
        <c:axId val="932305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hu-HU"/>
                  <a:t>Total export value (NOK)</a:t>
                </a:r>
                <a:endParaRPr lang="en-GB"/>
              </a:p>
            </c:rich>
          </c:tx>
          <c:layout>
            <c:manualLayout>
              <c:xMode val="edge"/>
              <c:yMode val="edge"/>
              <c:x val="5.6239175619298863E-3"/>
              <c:y val="0.42208287650769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NO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3029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118698</xdr:colOff>
      <xdr:row>6</xdr:row>
      <xdr:rowOff>25851</xdr:rowOff>
    </xdr:from>
    <xdr:to>
      <xdr:col>9</xdr:col>
      <xdr:colOff>90123</xdr:colOff>
      <xdr:row>20</xdr:row>
      <xdr:rowOff>92320</xdr:rowOff>
    </xdr:to>
    <xdr:graphicFrame macro="">
      <xdr:nvGraphicFramePr>
        <xdr:cNvPr id="2" name="Chart 1">
          <a:extLst>
            <a:ext uri="{FF2B5EF4-FFF2-40B4-BE49-F238E27FC236}">
              <a16:creationId xmlns:a16="http://schemas.microsoft.com/office/drawing/2014/main" id="{500C2357-AF70-488F-B9C5-C188A96CA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114299</xdr:colOff>
      <xdr:row>20</xdr:row>
      <xdr:rowOff>134708</xdr:rowOff>
    </xdr:from>
    <xdr:to>
      <xdr:col>14</xdr:col>
      <xdr:colOff>594632</xdr:colOff>
      <xdr:row>35</xdr:row>
      <xdr:rowOff>68033</xdr:rowOff>
    </xdr:to>
    <xdr:graphicFrame macro="">
      <xdr:nvGraphicFramePr>
        <xdr:cNvPr id="3" name="Chart 2">
          <a:extLst>
            <a:ext uri="{FF2B5EF4-FFF2-40B4-BE49-F238E27FC236}">
              <a16:creationId xmlns:a16="http://schemas.microsoft.com/office/drawing/2014/main" id="{63534120-6638-4924-BCA5-2DC456DEE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126548</xdr:colOff>
      <xdr:row>6</xdr:row>
      <xdr:rowOff>25852</xdr:rowOff>
    </xdr:from>
    <xdr:to>
      <xdr:col>14</xdr:col>
      <xdr:colOff>594633</xdr:colOff>
      <xdr:row>20</xdr:row>
      <xdr:rowOff>85726</xdr:rowOff>
    </xdr:to>
    <xdr:graphicFrame macro="">
      <xdr:nvGraphicFramePr>
        <xdr:cNvPr id="4" name="Chart 3">
          <a:extLst>
            <a:ext uri="{FF2B5EF4-FFF2-40B4-BE49-F238E27FC236}">
              <a16:creationId xmlns:a16="http://schemas.microsoft.com/office/drawing/2014/main" id="{E788C831-F922-4AEC-9D1C-041D61BF2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6</xdr:row>
      <xdr:rowOff>38101</xdr:rowOff>
    </xdr:from>
    <xdr:to>
      <xdr:col>3</xdr:col>
      <xdr:colOff>38100</xdr:colOff>
      <xdr:row>10</xdr:row>
      <xdr:rowOff>152401</xdr:rowOff>
    </xdr:to>
    <mc:AlternateContent xmlns:mc="http://schemas.openxmlformats.org/markup-compatibility/2006" xmlns:a14="http://schemas.microsoft.com/office/drawing/2010/main">
      <mc:Choice Requires="a14">
        <xdr:graphicFrame macro="">
          <xdr:nvGraphicFramePr>
            <xdr:cNvPr id="5" name="Maritial Status">
              <a:extLst>
                <a:ext uri="{FF2B5EF4-FFF2-40B4-BE49-F238E27FC236}">
                  <a16:creationId xmlns:a16="http://schemas.microsoft.com/office/drawing/2014/main" id="{C3B56F3E-D117-1B6B-EC1D-F0604AB1A588}"/>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mlns="">
        <xdr:sp macro="" textlink="">
          <xdr:nvSpPr>
            <xdr:cNvPr id="0" name=""/>
            <xdr:cNvSpPr>
              <a:spLocks noTextEdit="1"/>
            </xdr:cNvSpPr>
          </xdr:nvSpPr>
          <xdr:spPr>
            <a:xfrm>
              <a:off x="38100" y="1181101"/>
              <a:ext cx="1815353"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24</xdr:row>
      <xdr:rowOff>123826</xdr:rowOff>
    </xdr:from>
    <xdr:to>
      <xdr:col>3</xdr:col>
      <xdr:colOff>38100</xdr:colOff>
      <xdr:row>35</xdr:row>
      <xdr:rowOff>66676</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9E5BE1B2-BEFD-A45D-FAC6-D71748A38C5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100" y="4695826"/>
              <a:ext cx="1815353" cy="2038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11</xdr:row>
      <xdr:rowOff>19050</xdr:rowOff>
    </xdr:from>
    <xdr:to>
      <xdr:col>3</xdr:col>
      <xdr:colOff>38100</xdr:colOff>
      <xdr:row>24</xdr:row>
      <xdr:rowOff>66675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5063BD9-2E91-2223-BC14-BFD3E4A7F80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0" y="2114550"/>
              <a:ext cx="1815353"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108857</xdr:colOff>
      <xdr:row>0</xdr:row>
      <xdr:rowOff>0</xdr:rowOff>
    </xdr:from>
    <xdr:to>
      <xdr:col>11</xdr:col>
      <xdr:colOff>413657</xdr:colOff>
      <xdr:row>14</xdr:row>
      <xdr:rowOff>76200</xdr:rowOff>
    </xdr:to>
    <xdr:graphicFrame macro="">
      <xdr:nvGraphicFramePr>
        <xdr:cNvPr id="2" name="Chart 1">
          <a:extLst>
            <a:ext uri="{FF2B5EF4-FFF2-40B4-BE49-F238E27FC236}">
              <a16:creationId xmlns:a16="http://schemas.microsoft.com/office/drawing/2014/main" id="{47002C6A-2DBE-9489-AA72-F6C0D043D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55790</xdr:colOff>
      <xdr:row>16</xdr:row>
      <xdr:rowOff>170769</xdr:rowOff>
    </xdr:from>
    <xdr:to>
      <xdr:col>11</xdr:col>
      <xdr:colOff>359229</xdr:colOff>
      <xdr:row>31</xdr:row>
      <xdr:rowOff>56469</xdr:rowOff>
    </xdr:to>
    <xdr:graphicFrame macro="">
      <xdr:nvGraphicFramePr>
        <xdr:cNvPr id="4" name="Chart 3">
          <a:extLst>
            <a:ext uri="{FF2B5EF4-FFF2-40B4-BE49-F238E27FC236}">
              <a16:creationId xmlns:a16="http://schemas.microsoft.com/office/drawing/2014/main" id="{1A235256-15B4-50B9-32F4-774C4F2C7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95250</xdr:colOff>
      <xdr:row>35</xdr:row>
      <xdr:rowOff>186417</xdr:rowOff>
    </xdr:from>
    <xdr:to>
      <xdr:col>11</xdr:col>
      <xdr:colOff>381000</xdr:colOff>
      <xdr:row>50</xdr:row>
      <xdr:rowOff>72117</xdr:rowOff>
    </xdr:to>
    <xdr:graphicFrame macro="">
      <xdr:nvGraphicFramePr>
        <xdr:cNvPr id="5" name="Chart 4">
          <a:extLst>
            <a:ext uri="{FF2B5EF4-FFF2-40B4-BE49-F238E27FC236}">
              <a16:creationId xmlns:a16="http://schemas.microsoft.com/office/drawing/2014/main" id="{49348A6C-ACF3-3300-5F75-A8BAEB394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483054</xdr:colOff>
      <xdr:row>50</xdr:row>
      <xdr:rowOff>145596</xdr:rowOff>
    </xdr:from>
    <xdr:to>
      <xdr:col>12</xdr:col>
      <xdr:colOff>156482</xdr:colOff>
      <xdr:row>65</xdr:row>
      <xdr:rowOff>31296</xdr:rowOff>
    </xdr:to>
    <xdr:graphicFrame macro="">
      <xdr:nvGraphicFramePr>
        <xdr:cNvPr id="6" name="Chart 5">
          <a:extLst>
            <a:ext uri="{FF2B5EF4-FFF2-40B4-BE49-F238E27FC236}">
              <a16:creationId xmlns:a16="http://schemas.microsoft.com/office/drawing/2014/main" id="{70F32523-E3CB-7F4F-052B-138105A90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353785</xdr:colOff>
      <xdr:row>0</xdr:row>
      <xdr:rowOff>135991</xdr:rowOff>
    </xdr:from>
    <xdr:to>
      <xdr:col>23</xdr:col>
      <xdr:colOff>108856</xdr:colOff>
      <xdr:row>45</xdr:row>
      <xdr:rowOff>95250</xdr:rowOff>
    </xdr:to>
    <xdr:graphicFrame macro="">
      <xdr:nvGraphicFramePr>
        <xdr:cNvPr id="3" name="Chart 2">
          <a:extLst>
            <a:ext uri="{FF2B5EF4-FFF2-40B4-BE49-F238E27FC236}">
              <a16:creationId xmlns:a16="http://schemas.microsoft.com/office/drawing/2014/main" id="{2B06FBB5-C01B-4537-B068-51A45CE34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éter" refreshedDate="45992.4875875" createdVersion="8" refreshedVersion="8" minRefreshableVersion="3" recordCount="1000" xr:uid="{94770AD2-561F-48CA-ADA1-4B11A221539B}">
  <cacheSource type="worksheet">
    <worksheetSource ref="A1:N1001" sheet="1.2 Working Sheet"/>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134728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éter" refreshedDate="45995.599881944443" createdVersion="8" refreshedVersion="8" minRefreshableVersion="3" recordCount="1350" xr:uid="{1206E241-CE0E-49C8-86CB-AF4D7843D5F6}">
  <cacheSource type="worksheet">
    <worksheetSource ref="F3:G1353" sheet="2.2 Working Sheet"/>
  </cacheSource>
  <cacheFields count="2">
    <cacheField name="Date (year, month)" numFmtId="0">
      <sharedItems count="312">
        <s v="2000-01"/>
        <s v="2000-02"/>
        <s v="2000-03"/>
        <s v="2000-04"/>
        <s v="2000-05"/>
        <s v="2000-06"/>
        <s v="2000-07"/>
        <s v="2000-08"/>
        <s v="2000-09"/>
        <s v="2000-10"/>
        <s v="2000-11"/>
        <s v="2000-12"/>
        <s v="2001-01"/>
        <s v="2001-02"/>
        <s v="2001-03"/>
        <s v="2001-04"/>
        <s v="2001-05"/>
        <s v="2001-06"/>
        <s v="2001-07"/>
        <s v="2001-08"/>
        <s v="2001-09"/>
        <s v="2001-10"/>
        <s v="2001-11"/>
        <s v="2001-12"/>
        <s v="2002-01"/>
        <s v="2002-02"/>
        <s v="2002-03"/>
        <s v="2002-04"/>
        <s v="2002-05"/>
        <s v="2002-06"/>
        <s v="2002-07"/>
        <s v="2002-08"/>
        <s v="2002-09"/>
        <s v="2002-10"/>
        <s v="2002-11"/>
        <s v="2002-12"/>
        <s v="2003-01"/>
        <s v="2003-02"/>
        <s v="2003-03"/>
        <s v="2003-04"/>
        <s v="2003-05"/>
        <s v="2003-06"/>
        <s v="2003-07"/>
        <s v="2003-08"/>
        <s v="2003-09"/>
        <s v="2003-10"/>
        <s v="2003-11"/>
        <s v="2003-12"/>
        <s v="2004-01"/>
        <s v="2004-02"/>
        <s v="2004-03"/>
        <s v="2004-04"/>
        <s v="2004-05"/>
        <s v="2004-06"/>
        <s v="2004-07"/>
        <s v="2004-08"/>
        <s v="2004-09"/>
        <s v="2004-10"/>
        <s v="2004-11"/>
        <s v="2004-12"/>
        <s v="2005-01"/>
        <s v="2005-02"/>
        <s v="2005-03"/>
        <s v="2005-04"/>
        <s v="2005-05"/>
        <s v="2005-06"/>
        <s v="2005-07"/>
        <s v="2005-08"/>
        <s v="2005-09"/>
        <s v="2005-10"/>
        <s v="2005-11"/>
        <s v="2005-12"/>
        <s v="2006-01"/>
        <s v="2006-02"/>
        <s v="2006-03"/>
        <s v="2006-04"/>
        <s v="2006-05"/>
        <s v="2006-06"/>
        <s v="2006-07"/>
        <s v="2006-08"/>
        <s v="2006-09"/>
        <s v="2006-10"/>
        <s v="2006-11"/>
        <s v="2006-12"/>
        <s v="2007-01"/>
        <s v="2007-02"/>
        <s v="2007-03"/>
        <s v="2007-04"/>
        <s v="2007-05"/>
        <s v="2007-06"/>
        <s v="2007-07"/>
        <s v="2007-08"/>
        <s v="2007-09"/>
        <s v="2007-10"/>
        <s v="2007-11"/>
        <s v="2007-12"/>
        <s v="2008-01"/>
        <s v="2008-02"/>
        <s v="2008-03"/>
        <s v="2008-04"/>
        <s v="2008-05"/>
        <s v="2008-06"/>
        <s v="2008-07"/>
        <s v="2008-08"/>
        <s v="2008-09"/>
        <s v="2008-10"/>
        <s v="2008-11"/>
        <s v="2008-12"/>
        <s v="2009-01"/>
        <s v="2009-02"/>
        <s v="2009-03"/>
        <s v="2009-04"/>
        <s v="2009-05"/>
        <s v="2009-06"/>
        <s v="2009-07"/>
        <s v="2009-08"/>
        <s v="2009-09"/>
        <s v="2009-10"/>
        <s v="2009-11"/>
        <s v="2009-12"/>
        <s v="2010-01"/>
        <s v="2010-02"/>
        <s v="2010-03"/>
        <s v="2010-04"/>
        <s v="2010-05"/>
        <s v="2010-06"/>
        <s v="2010-07"/>
        <s v="2010-08"/>
        <s v="2010-09"/>
        <s v="2010-10"/>
        <s v="2010-11"/>
        <s v="2010-12"/>
        <s v="2011-01"/>
        <s v="2011-02"/>
        <s v="2011-03"/>
        <s v="2011-04"/>
        <s v="2011-05"/>
        <s v="2011-06"/>
        <s v="2011-07"/>
        <s v="2011-08"/>
        <s v="2011-09"/>
        <s v="2011-10"/>
        <s v="2011-11"/>
        <s v="2011-12"/>
        <s v="2012-01"/>
        <s v="2012-02"/>
        <s v="2012-03"/>
        <s v="2012-04"/>
        <s v="2012-05"/>
        <s v="2012-06"/>
        <s v="2012-07"/>
        <s v="2012-08"/>
        <s v="2012-09"/>
        <s v="2012-10"/>
        <s v="2012-11"/>
        <s v="2012-12"/>
        <s v="2013-01"/>
        <s v="2013-02"/>
        <s v="2013-03"/>
        <s v="2013-04"/>
        <s v="2013-05"/>
        <s v="2013-06"/>
        <s v="2013-07"/>
        <s v="2013-08"/>
        <s v="2013-09"/>
        <s v="2013-10"/>
        <s v="2013-11"/>
        <s v="2013-12"/>
        <s v="2014-01"/>
        <s v="2014-02"/>
        <s v="2014-03"/>
        <s v="2014-04"/>
        <s v="2014-05"/>
        <s v="2014-06"/>
        <s v="2014-07"/>
        <s v="2014-08"/>
        <s v="2014-09"/>
        <s v="2014-10"/>
        <s v="2014-11"/>
        <s v="2014-12"/>
        <s v="2015-01"/>
        <s v="2015-02"/>
        <s v="2015-03"/>
        <s v="2015-04"/>
        <s v="2015-05"/>
        <s v="2015-06"/>
        <s v="2015-07"/>
        <s v="2015-08"/>
        <s v="2015-09"/>
        <s v="2015-10"/>
        <s v="2015-11"/>
        <s v="2015-12"/>
        <s v="2016-01"/>
        <s v="2016-02"/>
        <s v="2016-03"/>
        <s v="2016-04"/>
        <s v="2016-05"/>
        <s v="2016-06"/>
        <s v="2016-07"/>
        <s v="2016-08"/>
        <s v="2016-09"/>
        <s v="2016-10"/>
        <s v="2016-11"/>
        <s v="2016-12"/>
        <s v="2017-01"/>
        <s v="2017-02"/>
        <s v="2017-03"/>
        <s v="2017-04"/>
        <s v="2017-05"/>
        <s v="2017-06"/>
        <s v="2017-07"/>
        <s v="2017-08"/>
        <s v="2017-09"/>
        <s v="2017-10"/>
        <s v="2017-11"/>
        <s v="2017-12"/>
        <s v="2018-01"/>
        <s v="2018-02"/>
        <s v="2018-03"/>
        <s v="2018-04"/>
        <s v="2018-05"/>
        <s v="2018-06"/>
        <s v="2018-07"/>
        <s v="2018-08"/>
        <s v="2018-09"/>
        <s v="2018-10"/>
        <s v="2018-11"/>
        <s v="2018-12"/>
        <s v="2019-01"/>
        <s v="2019-02"/>
        <s v="2019-03"/>
        <s v="2019-04"/>
        <s v="2019-05"/>
        <s v="2019-06"/>
        <s v="2019-07"/>
        <s v="2019-08"/>
        <s v="2019-09"/>
        <s v="2019-10"/>
        <s v="2019-11"/>
        <s v="2019-12"/>
        <s v="2020-01"/>
        <s v="2020-02"/>
        <s v="2020-03"/>
        <s v="2020-04"/>
        <s v="2020-05"/>
        <s v="2020-06"/>
        <s v="2020-07"/>
        <s v="2020-08"/>
        <s v="2020-09"/>
        <s v="2020-10"/>
        <s v="2020-11"/>
        <s v="2020-12"/>
        <s v="2021-01"/>
        <s v="2021-02"/>
        <s v="2021-03"/>
        <s v="2021-04"/>
        <s v="2021-05"/>
        <s v="2021-06"/>
        <s v="2021-07"/>
        <s v="2021-08"/>
        <s v="2021-09"/>
        <s v="2021-10"/>
        <s v="2021-11"/>
        <s v="2021-12"/>
        <s v="2022-01"/>
        <s v="2022-02"/>
        <s v="2022-03"/>
        <s v="2022-04"/>
        <s v="2022-05"/>
        <s v="2022-06"/>
        <s v="2022-07"/>
        <s v="2022-08"/>
        <s v="2022-09"/>
        <s v="2022-10"/>
        <s v="2022-11"/>
        <s v="2022-12"/>
        <s v="2023-01"/>
        <s v="2023-02"/>
        <s v="2023-03"/>
        <s v="2023-04"/>
        <s v="2023-05"/>
        <s v="2023-06"/>
        <s v="2023-07"/>
        <s v="2023-08"/>
        <s v="2023-09"/>
        <s v="2023-10"/>
        <s v="2023-11"/>
        <s v="2023-12"/>
        <s v="2024-01"/>
        <s v="2024-02"/>
        <s v="2024-03"/>
        <s v="2024-04"/>
        <s v="2024-05"/>
        <s v="2024-06"/>
        <s v="2024-07"/>
        <s v="2024-08"/>
        <s v="2024-09"/>
        <s v="2024-10"/>
        <s v="2024-11"/>
        <s v="2024-12"/>
        <s v="2025-01"/>
        <s v="2025-02"/>
        <s v="2025-03"/>
        <s v="2025-04"/>
        <s v="2025-05"/>
        <s v="2025-06"/>
        <s v="2025-07"/>
        <s v="2025-08"/>
        <s v="2025-09"/>
        <s v="2025-10"/>
        <s v="2025-11"/>
        <s v="1999-12" u="1"/>
      </sharedItems>
    </cacheField>
    <cacheField name="Average salmon export price in each month (NOK/kg)" numFmtId="169">
      <sharedItems containsSemiMixedTypes="0" containsString="0" containsNumber="1" minValue="17.910000000000004" maxValue="119.47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0">
  <r>
    <x v="0"/>
    <n v="31.076000000000001"/>
  </r>
  <r>
    <x v="0"/>
    <n v="31.076000000000001"/>
  </r>
  <r>
    <x v="0"/>
    <n v="31.076000000000001"/>
  </r>
  <r>
    <x v="0"/>
    <n v="31.076000000000001"/>
  </r>
  <r>
    <x v="0"/>
    <n v="31.076000000000001"/>
  </r>
  <r>
    <x v="1"/>
    <n v="32.305"/>
  </r>
  <r>
    <x v="1"/>
    <n v="32.305"/>
  </r>
  <r>
    <x v="1"/>
    <n v="32.305"/>
  </r>
  <r>
    <x v="1"/>
    <n v="32.305"/>
  </r>
  <r>
    <x v="2"/>
    <n v="33.292500000000004"/>
  </r>
  <r>
    <x v="2"/>
    <n v="33.292500000000004"/>
  </r>
  <r>
    <x v="2"/>
    <n v="33.292500000000004"/>
  </r>
  <r>
    <x v="2"/>
    <n v="33.292500000000004"/>
  </r>
  <r>
    <x v="3"/>
    <n v="35.286000000000001"/>
  </r>
  <r>
    <x v="3"/>
    <n v="35.286000000000001"/>
  </r>
  <r>
    <x v="3"/>
    <n v="35.286000000000001"/>
  </r>
  <r>
    <x v="3"/>
    <n v="35.286000000000001"/>
  </r>
  <r>
    <x v="3"/>
    <n v="35.286000000000001"/>
  </r>
  <r>
    <x v="4"/>
    <n v="36.322499999999998"/>
  </r>
  <r>
    <x v="4"/>
    <n v="36.322499999999998"/>
  </r>
  <r>
    <x v="4"/>
    <n v="36.322499999999998"/>
  </r>
  <r>
    <x v="4"/>
    <n v="36.322499999999998"/>
  </r>
  <r>
    <x v="5"/>
    <n v="34.93"/>
  </r>
  <r>
    <x v="5"/>
    <n v="34.93"/>
  </r>
  <r>
    <x v="5"/>
    <n v="34.93"/>
  </r>
  <r>
    <x v="5"/>
    <n v="34.93"/>
  </r>
  <r>
    <x v="6"/>
    <n v="35.564000000000007"/>
  </r>
  <r>
    <x v="6"/>
    <n v="35.564000000000007"/>
  </r>
  <r>
    <x v="6"/>
    <n v="35.564000000000007"/>
  </r>
  <r>
    <x v="6"/>
    <n v="35.564000000000007"/>
  </r>
  <r>
    <x v="6"/>
    <n v="35.564000000000007"/>
  </r>
  <r>
    <x v="7"/>
    <n v="33.75"/>
  </r>
  <r>
    <x v="7"/>
    <n v="33.75"/>
  </r>
  <r>
    <x v="7"/>
    <n v="33.75"/>
  </r>
  <r>
    <x v="7"/>
    <n v="33.75"/>
  </r>
  <r>
    <x v="8"/>
    <n v="29.421999999999997"/>
  </r>
  <r>
    <x v="8"/>
    <n v="29.421999999999997"/>
  </r>
  <r>
    <x v="8"/>
    <n v="29.421999999999997"/>
  </r>
  <r>
    <x v="8"/>
    <n v="29.421999999999997"/>
  </r>
  <r>
    <x v="8"/>
    <n v="29.421999999999997"/>
  </r>
  <r>
    <x v="9"/>
    <n v="27.28"/>
  </r>
  <r>
    <x v="9"/>
    <n v="27.28"/>
  </r>
  <r>
    <x v="9"/>
    <n v="27.28"/>
  </r>
  <r>
    <x v="9"/>
    <n v="27.28"/>
  </r>
  <r>
    <x v="10"/>
    <n v="26.79"/>
  </r>
  <r>
    <x v="10"/>
    <n v="26.79"/>
  </r>
  <r>
    <x v="10"/>
    <n v="26.79"/>
  </r>
  <r>
    <x v="10"/>
    <n v="26.79"/>
  </r>
  <r>
    <x v="11"/>
    <n v="27.647500000000001"/>
  </r>
  <r>
    <x v="11"/>
    <n v="27.647500000000001"/>
  </r>
  <r>
    <x v="11"/>
    <n v="27.647500000000001"/>
  </r>
  <r>
    <x v="11"/>
    <n v="27.647500000000001"/>
  </r>
  <r>
    <x v="12"/>
    <n v="26.874000000000002"/>
  </r>
  <r>
    <x v="12"/>
    <n v="26.874000000000002"/>
  </r>
  <r>
    <x v="12"/>
    <n v="26.874000000000002"/>
  </r>
  <r>
    <x v="12"/>
    <n v="26.874000000000002"/>
  </r>
  <r>
    <x v="12"/>
    <n v="26.874000000000002"/>
  </r>
  <r>
    <x v="13"/>
    <n v="27.042499999999997"/>
  </r>
  <r>
    <x v="13"/>
    <n v="27.042499999999997"/>
  </r>
  <r>
    <x v="13"/>
    <n v="27.042499999999997"/>
  </r>
  <r>
    <x v="13"/>
    <n v="27.042499999999997"/>
  </r>
  <r>
    <x v="14"/>
    <n v="27.844999999999999"/>
  </r>
  <r>
    <x v="14"/>
    <n v="27.844999999999999"/>
  </r>
  <r>
    <x v="14"/>
    <n v="27.844999999999999"/>
  </r>
  <r>
    <x v="14"/>
    <n v="27.844999999999999"/>
  </r>
  <r>
    <x v="15"/>
    <n v="27.553999999999995"/>
  </r>
  <r>
    <x v="15"/>
    <n v="27.553999999999995"/>
  </r>
  <r>
    <x v="15"/>
    <n v="27.553999999999995"/>
  </r>
  <r>
    <x v="15"/>
    <n v="27.553999999999995"/>
  </r>
  <r>
    <x v="15"/>
    <n v="27.553999999999995"/>
  </r>
  <r>
    <x v="16"/>
    <n v="27.2225"/>
  </r>
  <r>
    <x v="16"/>
    <n v="27.2225"/>
  </r>
  <r>
    <x v="16"/>
    <n v="27.2225"/>
  </r>
  <r>
    <x v="16"/>
    <n v="27.2225"/>
  </r>
  <r>
    <x v="17"/>
    <n v="26.954999999999998"/>
  </r>
  <r>
    <x v="17"/>
    <n v="26.954999999999998"/>
  </r>
  <r>
    <x v="17"/>
    <n v="26.954999999999998"/>
  </r>
  <r>
    <x v="17"/>
    <n v="26.954999999999998"/>
  </r>
  <r>
    <x v="18"/>
    <n v="26.342000000000002"/>
  </r>
  <r>
    <x v="18"/>
    <n v="26.342000000000002"/>
  </r>
  <r>
    <x v="18"/>
    <n v="26.342000000000002"/>
  </r>
  <r>
    <x v="18"/>
    <n v="26.342000000000002"/>
  </r>
  <r>
    <x v="18"/>
    <n v="26.342000000000002"/>
  </r>
  <r>
    <x v="19"/>
    <n v="26.172499999999999"/>
  </r>
  <r>
    <x v="19"/>
    <n v="26.172499999999999"/>
  </r>
  <r>
    <x v="19"/>
    <n v="26.172499999999999"/>
  </r>
  <r>
    <x v="19"/>
    <n v="26.172499999999999"/>
  </r>
  <r>
    <x v="20"/>
    <n v="25.452499999999997"/>
  </r>
  <r>
    <x v="20"/>
    <n v="25.452499999999997"/>
  </r>
  <r>
    <x v="20"/>
    <n v="25.452499999999997"/>
  </r>
  <r>
    <x v="20"/>
    <n v="25.452499999999997"/>
  </r>
  <r>
    <x v="21"/>
    <n v="24.18"/>
  </r>
  <r>
    <x v="21"/>
    <n v="24.18"/>
  </r>
  <r>
    <x v="21"/>
    <n v="24.18"/>
  </r>
  <r>
    <x v="21"/>
    <n v="24.18"/>
  </r>
  <r>
    <x v="21"/>
    <n v="24.18"/>
  </r>
  <r>
    <x v="22"/>
    <n v="23.19"/>
  </r>
  <r>
    <x v="22"/>
    <n v="23.19"/>
  </r>
  <r>
    <x v="22"/>
    <n v="23.19"/>
  </r>
  <r>
    <x v="22"/>
    <n v="23.19"/>
  </r>
  <r>
    <x v="23"/>
    <n v="22.78"/>
  </r>
  <r>
    <x v="23"/>
    <n v="22.78"/>
  </r>
  <r>
    <x v="23"/>
    <n v="22.78"/>
  </r>
  <r>
    <x v="23"/>
    <n v="22.78"/>
  </r>
  <r>
    <x v="24"/>
    <n v="22.722000000000001"/>
  </r>
  <r>
    <x v="24"/>
    <n v="22.722000000000001"/>
  </r>
  <r>
    <x v="24"/>
    <n v="22.722000000000001"/>
  </r>
  <r>
    <x v="24"/>
    <n v="22.722000000000001"/>
  </r>
  <r>
    <x v="24"/>
    <n v="22.722000000000001"/>
  </r>
  <r>
    <x v="25"/>
    <n v="22.512499999999999"/>
  </r>
  <r>
    <x v="25"/>
    <n v="22.512499999999999"/>
  </r>
  <r>
    <x v="25"/>
    <n v="22.512499999999999"/>
  </r>
  <r>
    <x v="25"/>
    <n v="22.512499999999999"/>
  </r>
  <r>
    <x v="26"/>
    <n v="23.587499999999999"/>
  </r>
  <r>
    <x v="26"/>
    <n v="23.587499999999999"/>
  </r>
  <r>
    <x v="26"/>
    <n v="23.587499999999999"/>
  </r>
  <r>
    <x v="26"/>
    <n v="23.587499999999999"/>
  </r>
  <r>
    <x v="27"/>
    <n v="23.974"/>
  </r>
  <r>
    <x v="27"/>
    <n v="23.974"/>
  </r>
  <r>
    <x v="27"/>
    <n v="23.974"/>
  </r>
  <r>
    <x v="27"/>
    <n v="23.974"/>
  </r>
  <r>
    <x v="27"/>
    <n v="23.974"/>
  </r>
  <r>
    <x v="28"/>
    <n v="24.664999999999999"/>
  </r>
  <r>
    <x v="28"/>
    <n v="24.664999999999999"/>
  </r>
  <r>
    <x v="28"/>
    <n v="24.664999999999999"/>
  </r>
  <r>
    <x v="28"/>
    <n v="24.664999999999999"/>
  </r>
  <r>
    <x v="29"/>
    <n v="23.622500000000002"/>
  </r>
  <r>
    <x v="29"/>
    <n v="23.622500000000002"/>
  </r>
  <r>
    <x v="29"/>
    <n v="23.622500000000002"/>
  </r>
  <r>
    <x v="29"/>
    <n v="23.622500000000002"/>
  </r>
  <r>
    <x v="30"/>
    <n v="22.9"/>
  </r>
  <r>
    <x v="30"/>
    <n v="22.9"/>
  </r>
  <r>
    <x v="30"/>
    <n v="22.9"/>
  </r>
  <r>
    <x v="30"/>
    <n v="22.9"/>
  </r>
  <r>
    <x v="30"/>
    <n v="22.9"/>
  </r>
  <r>
    <x v="31"/>
    <n v="23.962500000000002"/>
  </r>
  <r>
    <x v="31"/>
    <n v="23.962500000000002"/>
  </r>
  <r>
    <x v="31"/>
    <n v="23.962500000000002"/>
  </r>
  <r>
    <x v="31"/>
    <n v="23.962500000000002"/>
  </r>
  <r>
    <x v="32"/>
    <n v="23.619999999999997"/>
  </r>
  <r>
    <x v="32"/>
    <n v="23.619999999999997"/>
  </r>
  <r>
    <x v="32"/>
    <n v="23.619999999999997"/>
  </r>
  <r>
    <x v="32"/>
    <n v="23.619999999999997"/>
  </r>
  <r>
    <x v="33"/>
    <n v="23.332000000000001"/>
  </r>
  <r>
    <x v="33"/>
    <n v="23.332000000000001"/>
  </r>
  <r>
    <x v="33"/>
    <n v="23.332000000000001"/>
  </r>
  <r>
    <x v="33"/>
    <n v="23.332000000000001"/>
  </r>
  <r>
    <x v="33"/>
    <n v="23.332000000000001"/>
  </r>
  <r>
    <x v="34"/>
    <n v="22.452500000000001"/>
  </r>
  <r>
    <x v="34"/>
    <n v="22.452500000000001"/>
  </r>
  <r>
    <x v="34"/>
    <n v="22.452500000000001"/>
  </r>
  <r>
    <x v="34"/>
    <n v="22.452500000000001"/>
  </r>
  <r>
    <x v="35"/>
    <n v="23.085000000000001"/>
  </r>
  <r>
    <x v="35"/>
    <n v="23.085000000000001"/>
  </r>
  <r>
    <x v="35"/>
    <n v="23.085000000000001"/>
  </r>
  <r>
    <x v="35"/>
    <n v="23.085000000000001"/>
  </r>
  <r>
    <x v="36"/>
    <n v="22.818000000000001"/>
  </r>
  <r>
    <x v="36"/>
    <n v="22.818000000000001"/>
  </r>
  <r>
    <x v="36"/>
    <n v="22.818000000000001"/>
  </r>
  <r>
    <x v="36"/>
    <n v="22.818000000000001"/>
  </r>
  <r>
    <x v="36"/>
    <n v="22.818000000000001"/>
  </r>
  <r>
    <x v="37"/>
    <n v="22.774999999999999"/>
  </r>
  <r>
    <x v="37"/>
    <n v="22.774999999999999"/>
  </r>
  <r>
    <x v="37"/>
    <n v="22.774999999999999"/>
  </r>
  <r>
    <x v="37"/>
    <n v="22.774999999999999"/>
  </r>
  <r>
    <x v="38"/>
    <n v="23.134999999999998"/>
  </r>
  <r>
    <x v="38"/>
    <n v="23.134999999999998"/>
  </r>
  <r>
    <x v="38"/>
    <n v="23.134999999999998"/>
  </r>
  <r>
    <x v="38"/>
    <n v="23.134999999999998"/>
  </r>
  <r>
    <x v="39"/>
    <n v="22.93"/>
  </r>
  <r>
    <x v="39"/>
    <n v="22.93"/>
  </r>
  <r>
    <x v="39"/>
    <n v="22.93"/>
  </r>
  <r>
    <x v="39"/>
    <n v="22.93"/>
  </r>
  <r>
    <x v="39"/>
    <n v="22.93"/>
  </r>
  <r>
    <x v="40"/>
    <n v="22.094999999999999"/>
  </r>
  <r>
    <x v="40"/>
    <n v="22.094999999999999"/>
  </r>
  <r>
    <x v="40"/>
    <n v="22.094999999999999"/>
  </r>
  <r>
    <x v="40"/>
    <n v="22.094999999999999"/>
  </r>
  <r>
    <x v="41"/>
    <n v="19.015000000000001"/>
  </r>
  <r>
    <x v="41"/>
    <n v="19.015000000000001"/>
  </r>
  <r>
    <x v="41"/>
    <n v="19.015000000000001"/>
  </r>
  <r>
    <x v="41"/>
    <n v="19.015000000000001"/>
  </r>
  <r>
    <x v="42"/>
    <n v="17.910000000000004"/>
  </r>
  <r>
    <x v="42"/>
    <n v="17.910000000000004"/>
  </r>
  <r>
    <x v="42"/>
    <n v="17.910000000000004"/>
  </r>
  <r>
    <x v="42"/>
    <n v="17.910000000000004"/>
  </r>
  <r>
    <x v="42"/>
    <n v="17.910000000000004"/>
  </r>
  <r>
    <x v="43"/>
    <n v="18.747500000000002"/>
  </r>
  <r>
    <x v="43"/>
    <n v="18.747500000000002"/>
  </r>
  <r>
    <x v="43"/>
    <n v="18.747500000000002"/>
  </r>
  <r>
    <x v="43"/>
    <n v="18.747500000000002"/>
  </r>
  <r>
    <x v="44"/>
    <n v="21.055"/>
  </r>
  <r>
    <x v="44"/>
    <n v="21.055"/>
  </r>
  <r>
    <x v="44"/>
    <n v="21.055"/>
  </r>
  <r>
    <x v="44"/>
    <n v="21.055"/>
  </r>
  <r>
    <x v="45"/>
    <n v="22.356000000000002"/>
  </r>
  <r>
    <x v="45"/>
    <n v="22.356000000000002"/>
  </r>
  <r>
    <x v="45"/>
    <n v="22.356000000000002"/>
  </r>
  <r>
    <x v="45"/>
    <n v="22.356000000000002"/>
  </r>
  <r>
    <x v="45"/>
    <n v="22.356000000000002"/>
  </r>
  <r>
    <x v="46"/>
    <n v="20.844999999999999"/>
  </r>
  <r>
    <x v="46"/>
    <n v="20.844999999999999"/>
  </r>
  <r>
    <x v="46"/>
    <n v="20.844999999999999"/>
  </r>
  <r>
    <x v="46"/>
    <n v="20.844999999999999"/>
  </r>
  <r>
    <x v="47"/>
    <n v="20.997499999999999"/>
  </r>
  <r>
    <x v="47"/>
    <n v="20.997499999999999"/>
  </r>
  <r>
    <x v="47"/>
    <n v="20.997499999999999"/>
  </r>
  <r>
    <x v="47"/>
    <n v="20.997499999999999"/>
  </r>
  <r>
    <x v="48"/>
    <n v="22.038000000000004"/>
  </r>
  <r>
    <x v="48"/>
    <n v="22.038000000000004"/>
  </r>
  <r>
    <x v="48"/>
    <n v="22.038000000000004"/>
  </r>
  <r>
    <x v="48"/>
    <n v="22.038000000000004"/>
  </r>
  <r>
    <x v="48"/>
    <n v="22.038000000000004"/>
  </r>
  <r>
    <x v="49"/>
    <n v="23.080000000000002"/>
  </r>
  <r>
    <x v="49"/>
    <n v="23.080000000000002"/>
  </r>
  <r>
    <x v="49"/>
    <n v="23.080000000000002"/>
  </r>
  <r>
    <x v="49"/>
    <n v="23.080000000000002"/>
  </r>
  <r>
    <x v="50"/>
    <n v="24.012499999999999"/>
  </r>
  <r>
    <x v="50"/>
    <n v="24.012499999999999"/>
  </r>
  <r>
    <x v="50"/>
    <n v="24.012499999999999"/>
  </r>
  <r>
    <x v="50"/>
    <n v="24.012499999999999"/>
  </r>
  <r>
    <x v="51"/>
    <n v="24.974"/>
  </r>
  <r>
    <x v="51"/>
    <n v="24.974"/>
  </r>
  <r>
    <x v="51"/>
    <n v="24.974"/>
  </r>
  <r>
    <x v="51"/>
    <n v="24.974"/>
  </r>
  <r>
    <x v="51"/>
    <n v="24.974"/>
  </r>
  <r>
    <x v="52"/>
    <n v="23.7775"/>
  </r>
  <r>
    <x v="52"/>
    <n v="23.7775"/>
  </r>
  <r>
    <x v="52"/>
    <n v="23.7775"/>
  </r>
  <r>
    <x v="52"/>
    <n v="23.7775"/>
  </r>
  <r>
    <x v="53"/>
    <n v="22.047499999999999"/>
  </r>
  <r>
    <x v="53"/>
    <n v="22.047499999999999"/>
  </r>
  <r>
    <x v="53"/>
    <n v="22.047499999999999"/>
  </r>
  <r>
    <x v="53"/>
    <n v="22.047499999999999"/>
  </r>
  <r>
    <x v="54"/>
    <n v="21.55"/>
  </r>
  <r>
    <x v="54"/>
    <n v="21.55"/>
  </r>
  <r>
    <x v="54"/>
    <n v="21.55"/>
  </r>
  <r>
    <x v="54"/>
    <n v="21.55"/>
  </r>
  <r>
    <x v="54"/>
    <n v="21.55"/>
  </r>
  <r>
    <x v="55"/>
    <n v="23.024999999999999"/>
  </r>
  <r>
    <x v="55"/>
    <n v="23.024999999999999"/>
  </r>
  <r>
    <x v="55"/>
    <n v="23.024999999999999"/>
  </r>
  <r>
    <x v="55"/>
    <n v="23.024999999999999"/>
  </r>
  <r>
    <x v="56"/>
    <n v="22.277999999999999"/>
  </r>
  <r>
    <x v="56"/>
    <n v="22.277999999999999"/>
  </r>
  <r>
    <x v="56"/>
    <n v="22.277999999999999"/>
  </r>
  <r>
    <x v="56"/>
    <n v="22.277999999999999"/>
  </r>
  <r>
    <x v="56"/>
    <n v="22.277999999999999"/>
  </r>
  <r>
    <x v="57"/>
    <n v="21.037500000000001"/>
  </r>
  <r>
    <x v="57"/>
    <n v="21.037500000000001"/>
  </r>
  <r>
    <x v="57"/>
    <n v="21.037500000000001"/>
  </r>
  <r>
    <x v="57"/>
    <n v="21.037500000000001"/>
  </r>
  <r>
    <x v="58"/>
    <n v="20.239999999999998"/>
  </r>
  <r>
    <x v="58"/>
    <n v="20.239999999999998"/>
  </r>
  <r>
    <x v="58"/>
    <n v="20.239999999999998"/>
  </r>
  <r>
    <x v="58"/>
    <n v="20.239999999999998"/>
  </r>
  <r>
    <x v="59"/>
    <n v="22.594000000000001"/>
  </r>
  <r>
    <x v="59"/>
    <n v="22.594000000000001"/>
  </r>
  <r>
    <x v="59"/>
    <n v="22.594000000000001"/>
  </r>
  <r>
    <x v="59"/>
    <n v="22.594000000000001"/>
  </r>
  <r>
    <x v="59"/>
    <n v="22.594000000000001"/>
  </r>
  <r>
    <x v="60"/>
    <n v="23.416"/>
  </r>
  <r>
    <x v="60"/>
    <n v="23.416"/>
  </r>
  <r>
    <x v="60"/>
    <n v="23.416"/>
  </r>
  <r>
    <x v="60"/>
    <n v="23.416"/>
  </r>
  <r>
    <x v="60"/>
    <n v="23.416"/>
  </r>
  <r>
    <x v="61"/>
    <n v="24.97"/>
  </r>
  <r>
    <x v="61"/>
    <n v="24.97"/>
  </r>
  <r>
    <x v="61"/>
    <n v="24.97"/>
  </r>
  <r>
    <x v="61"/>
    <n v="24.97"/>
  </r>
  <r>
    <x v="62"/>
    <n v="24.779999999999998"/>
  </r>
  <r>
    <x v="62"/>
    <n v="24.779999999999998"/>
  </r>
  <r>
    <x v="62"/>
    <n v="24.779999999999998"/>
  </r>
  <r>
    <x v="62"/>
    <n v="24.779999999999998"/>
  </r>
  <r>
    <x v="63"/>
    <n v="25.044"/>
  </r>
  <r>
    <x v="63"/>
    <n v="25.044"/>
  </r>
  <r>
    <x v="63"/>
    <n v="25.044"/>
  </r>
  <r>
    <x v="63"/>
    <n v="25.044"/>
  </r>
  <r>
    <x v="63"/>
    <n v="25.044"/>
  </r>
  <r>
    <x v="64"/>
    <n v="25.752500000000001"/>
  </r>
  <r>
    <x v="64"/>
    <n v="25.752500000000001"/>
  </r>
  <r>
    <x v="64"/>
    <n v="25.752500000000001"/>
  </r>
  <r>
    <x v="64"/>
    <n v="25.752500000000001"/>
  </r>
  <r>
    <x v="65"/>
    <n v="27.557499999999997"/>
  </r>
  <r>
    <x v="65"/>
    <n v="27.557499999999997"/>
  </r>
  <r>
    <x v="65"/>
    <n v="27.557499999999997"/>
  </r>
  <r>
    <x v="65"/>
    <n v="27.557499999999997"/>
  </r>
  <r>
    <x v="66"/>
    <n v="28.919999999999998"/>
  </r>
  <r>
    <x v="66"/>
    <n v="28.919999999999998"/>
  </r>
  <r>
    <x v="66"/>
    <n v="28.919999999999998"/>
  </r>
  <r>
    <x v="66"/>
    <n v="28.919999999999998"/>
  </r>
  <r>
    <x v="66"/>
    <n v="28.919999999999998"/>
  </r>
  <r>
    <x v="67"/>
    <n v="28.032499999999999"/>
  </r>
  <r>
    <x v="67"/>
    <n v="28.032499999999999"/>
  </r>
  <r>
    <x v="67"/>
    <n v="28.032499999999999"/>
  </r>
  <r>
    <x v="67"/>
    <n v="28.032499999999999"/>
  </r>
  <r>
    <x v="68"/>
    <n v="26.3675"/>
  </r>
  <r>
    <x v="68"/>
    <n v="26.3675"/>
  </r>
  <r>
    <x v="68"/>
    <n v="26.3675"/>
  </r>
  <r>
    <x v="68"/>
    <n v="26.3675"/>
  </r>
  <r>
    <x v="69"/>
    <n v="26.283999999999999"/>
  </r>
  <r>
    <x v="69"/>
    <n v="26.283999999999999"/>
  </r>
  <r>
    <x v="69"/>
    <n v="26.283999999999999"/>
  </r>
  <r>
    <x v="69"/>
    <n v="26.283999999999999"/>
  </r>
  <r>
    <x v="69"/>
    <n v="26.283999999999999"/>
  </r>
  <r>
    <x v="70"/>
    <n v="26.142499999999998"/>
  </r>
  <r>
    <x v="70"/>
    <n v="26.142499999999998"/>
  </r>
  <r>
    <x v="70"/>
    <n v="26.142499999999998"/>
  </r>
  <r>
    <x v="70"/>
    <n v="26.142499999999998"/>
  </r>
  <r>
    <x v="71"/>
    <n v="27.717500000000001"/>
  </r>
  <r>
    <x v="71"/>
    <n v="27.717500000000001"/>
  </r>
  <r>
    <x v="71"/>
    <n v="27.717500000000001"/>
  </r>
  <r>
    <x v="71"/>
    <n v="27.717500000000001"/>
  </r>
  <r>
    <x v="72"/>
    <n v="26.79"/>
  </r>
  <r>
    <x v="72"/>
    <n v="26.79"/>
  </r>
  <r>
    <x v="72"/>
    <n v="26.79"/>
  </r>
  <r>
    <x v="72"/>
    <n v="26.79"/>
  </r>
  <r>
    <x v="72"/>
    <n v="26.79"/>
  </r>
  <r>
    <x v="73"/>
    <n v="27.355"/>
  </r>
  <r>
    <x v="73"/>
    <n v="27.355"/>
  </r>
  <r>
    <x v="73"/>
    <n v="27.355"/>
  </r>
  <r>
    <x v="73"/>
    <n v="27.355"/>
  </r>
  <r>
    <x v="74"/>
    <n v="31.0625"/>
  </r>
  <r>
    <x v="74"/>
    <n v="31.0625"/>
  </r>
  <r>
    <x v="74"/>
    <n v="31.0625"/>
  </r>
  <r>
    <x v="74"/>
    <n v="31.0625"/>
  </r>
  <r>
    <x v="75"/>
    <n v="35.106000000000002"/>
  </r>
  <r>
    <x v="75"/>
    <n v="35.106000000000002"/>
  </r>
  <r>
    <x v="75"/>
    <n v="35.106000000000002"/>
  </r>
  <r>
    <x v="75"/>
    <n v="35.106000000000002"/>
  </r>
  <r>
    <x v="75"/>
    <n v="35.106000000000002"/>
  </r>
  <r>
    <x v="76"/>
    <n v="38.517499999999998"/>
  </r>
  <r>
    <x v="76"/>
    <n v="38.517499999999998"/>
  </r>
  <r>
    <x v="76"/>
    <n v="38.517499999999998"/>
  </r>
  <r>
    <x v="76"/>
    <n v="38.517499999999998"/>
  </r>
  <r>
    <x v="77"/>
    <n v="41.782499999999999"/>
  </r>
  <r>
    <x v="77"/>
    <n v="41.782499999999999"/>
  </r>
  <r>
    <x v="77"/>
    <n v="41.782499999999999"/>
  </r>
  <r>
    <x v="77"/>
    <n v="41.782499999999999"/>
  </r>
  <r>
    <x v="78"/>
    <n v="38.291999999999994"/>
  </r>
  <r>
    <x v="78"/>
    <n v="38.291999999999994"/>
  </r>
  <r>
    <x v="78"/>
    <n v="38.291999999999994"/>
  </r>
  <r>
    <x v="78"/>
    <n v="38.291999999999994"/>
  </r>
  <r>
    <x v="78"/>
    <n v="38.291999999999994"/>
  </r>
  <r>
    <x v="79"/>
    <n v="35.862499999999997"/>
  </r>
  <r>
    <x v="79"/>
    <n v="35.862499999999997"/>
  </r>
  <r>
    <x v="79"/>
    <n v="35.862499999999997"/>
  </r>
  <r>
    <x v="79"/>
    <n v="35.862499999999997"/>
  </r>
  <r>
    <x v="80"/>
    <n v="30.557500000000001"/>
  </r>
  <r>
    <x v="80"/>
    <n v="30.557500000000001"/>
  </r>
  <r>
    <x v="80"/>
    <n v="30.557500000000001"/>
  </r>
  <r>
    <x v="80"/>
    <n v="30.557500000000001"/>
  </r>
  <r>
    <x v="81"/>
    <n v="28.421999999999997"/>
  </r>
  <r>
    <x v="81"/>
    <n v="28.421999999999997"/>
  </r>
  <r>
    <x v="81"/>
    <n v="28.421999999999997"/>
  </r>
  <r>
    <x v="81"/>
    <n v="28.421999999999997"/>
  </r>
  <r>
    <x v="81"/>
    <n v="28.421999999999997"/>
  </r>
  <r>
    <x v="82"/>
    <n v="27.697500000000002"/>
  </r>
  <r>
    <x v="82"/>
    <n v="27.697500000000002"/>
  </r>
  <r>
    <x v="82"/>
    <n v="27.697500000000002"/>
  </r>
  <r>
    <x v="82"/>
    <n v="27.697500000000002"/>
  </r>
  <r>
    <x v="83"/>
    <n v="27.740000000000002"/>
  </r>
  <r>
    <x v="83"/>
    <n v="27.740000000000002"/>
  </r>
  <r>
    <x v="83"/>
    <n v="27.740000000000002"/>
  </r>
  <r>
    <x v="83"/>
    <n v="27.740000000000002"/>
  </r>
  <r>
    <x v="84"/>
    <n v="28.341999999999995"/>
  </r>
  <r>
    <x v="84"/>
    <n v="28.341999999999995"/>
  </r>
  <r>
    <x v="84"/>
    <n v="28.341999999999995"/>
  </r>
  <r>
    <x v="84"/>
    <n v="28.341999999999995"/>
  </r>
  <r>
    <x v="84"/>
    <n v="28.341999999999995"/>
  </r>
  <r>
    <x v="85"/>
    <n v="28.754999999999999"/>
  </r>
  <r>
    <x v="85"/>
    <n v="28.754999999999999"/>
  </r>
  <r>
    <x v="85"/>
    <n v="28.754999999999999"/>
  </r>
  <r>
    <x v="85"/>
    <n v="28.754999999999999"/>
  </r>
  <r>
    <x v="86"/>
    <n v="28.932500000000001"/>
  </r>
  <r>
    <x v="86"/>
    <n v="28.932500000000001"/>
  </r>
  <r>
    <x v="86"/>
    <n v="28.932500000000001"/>
  </r>
  <r>
    <x v="86"/>
    <n v="28.932500000000001"/>
  </r>
  <r>
    <x v="87"/>
    <n v="28.49"/>
  </r>
  <r>
    <x v="87"/>
    <n v="28.49"/>
  </r>
  <r>
    <x v="87"/>
    <n v="28.49"/>
  </r>
  <r>
    <x v="87"/>
    <n v="28.49"/>
  </r>
  <r>
    <x v="87"/>
    <n v="28.49"/>
  </r>
  <r>
    <x v="88"/>
    <n v="26.467500000000001"/>
  </r>
  <r>
    <x v="88"/>
    <n v="26.467500000000001"/>
  </r>
  <r>
    <x v="88"/>
    <n v="26.467500000000001"/>
  </r>
  <r>
    <x v="88"/>
    <n v="26.467500000000001"/>
  </r>
  <r>
    <x v="89"/>
    <n v="25.285"/>
  </r>
  <r>
    <x v="89"/>
    <n v="25.285"/>
  </r>
  <r>
    <x v="89"/>
    <n v="25.285"/>
  </r>
  <r>
    <x v="89"/>
    <n v="25.285"/>
  </r>
  <r>
    <x v="90"/>
    <n v="25.404000000000003"/>
  </r>
  <r>
    <x v="90"/>
    <n v="25.404000000000003"/>
  </r>
  <r>
    <x v="90"/>
    <n v="25.404000000000003"/>
  </r>
  <r>
    <x v="90"/>
    <n v="25.404000000000003"/>
  </r>
  <r>
    <x v="90"/>
    <n v="25.404000000000003"/>
  </r>
  <r>
    <x v="91"/>
    <n v="27.884999999999998"/>
  </r>
  <r>
    <x v="91"/>
    <n v="27.884999999999998"/>
  </r>
  <r>
    <x v="91"/>
    <n v="27.884999999999998"/>
  </r>
  <r>
    <x v="91"/>
    <n v="27.884999999999998"/>
  </r>
  <r>
    <x v="92"/>
    <n v="25.807499999999997"/>
  </r>
  <r>
    <x v="92"/>
    <n v="25.807499999999997"/>
  </r>
  <r>
    <x v="92"/>
    <n v="25.807499999999997"/>
  </r>
  <r>
    <x v="92"/>
    <n v="25.807499999999997"/>
  </r>
  <r>
    <x v="93"/>
    <n v="24.147999999999996"/>
  </r>
  <r>
    <x v="93"/>
    <n v="24.147999999999996"/>
  </r>
  <r>
    <x v="93"/>
    <n v="24.147999999999996"/>
  </r>
  <r>
    <x v="93"/>
    <n v="24.147999999999996"/>
  </r>
  <r>
    <x v="93"/>
    <n v="24.147999999999996"/>
  </r>
  <r>
    <x v="94"/>
    <n v="24.487500000000001"/>
  </r>
  <r>
    <x v="94"/>
    <n v="24.487500000000001"/>
  </r>
  <r>
    <x v="94"/>
    <n v="24.487500000000001"/>
  </r>
  <r>
    <x v="94"/>
    <n v="24.487500000000001"/>
  </r>
  <r>
    <x v="95"/>
    <n v="26.287500000000001"/>
  </r>
  <r>
    <x v="95"/>
    <n v="26.287500000000001"/>
  </r>
  <r>
    <x v="95"/>
    <n v="26.287500000000001"/>
  </r>
  <r>
    <x v="95"/>
    <n v="26.287500000000001"/>
  </r>
  <r>
    <x v="96"/>
    <n v="26.142000000000003"/>
  </r>
  <r>
    <x v="96"/>
    <n v="26.142000000000003"/>
  </r>
  <r>
    <x v="96"/>
    <n v="26.142000000000003"/>
  </r>
  <r>
    <x v="96"/>
    <n v="26.142000000000003"/>
  </r>
  <r>
    <x v="96"/>
    <n v="26.142000000000003"/>
  </r>
  <r>
    <x v="97"/>
    <n v="25.587499999999999"/>
  </r>
  <r>
    <x v="97"/>
    <n v="25.587499999999999"/>
  </r>
  <r>
    <x v="97"/>
    <n v="25.587499999999999"/>
  </r>
  <r>
    <x v="97"/>
    <n v="25.587499999999999"/>
  </r>
  <r>
    <x v="98"/>
    <n v="26.977499999999999"/>
  </r>
  <r>
    <x v="98"/>
    <n v="26.977499999999999"/>
  </r>
  <r>
    <x v="98"/>
    <n v="26.977499999999999"/>
  </r>
  <r>
    <x v="98"/>
    <n v="26.977499999999999"/>
  </r>
  <r>
    <x v="99"/>
    <n v="26.095999999999997"/>
  </r>
  <r>
    <x v="99"/>
    <n v="26.095999999999997"/>
  </r>
  <r>
    <x v="99"/>
    <n v="26.095999999999997"/>
  </r>
  <r>
    <x v="99"/>
    <n v="26.095999999999997"/>
  </r>
  <r>
    <x v="99"/>
    <n v="26.095999999999997"/>
  </r>
  <r>
    <x v="100"/>
    <n v="26.787500000000001"/>
  </r>
  <r>
    <x v="100"/>
    <n v="26.787500000000001"/>
  </r>
  <r>
    <x v="100"/>
    <n v="26.787500000000001"/>
  </r>
  <r>
    <x v="100"/>
    <n v="26.787500000000001"/>
  </r>
  <r>
    <x v="101"/>
    <n v="26.442499999999999"/>
  </r>
  <r>
    <x v="101"/>
    <n v="26.442499999999999"/>
  </r>
  <r>
    <x v="101"/>
    <n v="26.442499999999999"/>
  </r>
  <r>
    <x v="101"/>
    <n v="26.442499999999999"/>
  </r>
  <r>
    <x v="102"/>
    <n v="28.669999999999998"/>
  </r>
  <r>
    <x v="102"/>
    <n v="28.669999999999998"/>
  </r>
  <r>
    <x v="102"/>
    <n v="28.669999999999998"/>
  </r>
  <r>
    <x v="102"/>
    <n v="28.669999999999998"/>
  </r>
  <r>
    <x v="102"/>
    <n v="28.669999999999998"/>
  </r>
  <r>
    <x v="103"/>
    <n v="28.6525"/>
  </r>
  <r>
    <x v="103"/>
    <n v="28.6525"/>
  </r>
  <r>
    <x v="103"/>
    <n v="28.6525"/>
  </r>
  <r>
    <x v="103"/>
    <n v="28.6525"/>
  </r>
  <r>
    <x v="104"/>
    <n v="27.866000000000003"/>
  </r>
  <r>
    <x v="104"/>
    <n v="27.866000000000003"/>
  </r>
  <r>
    <x v="104"/>
    <n v="27.866000000000003"/>
  </r>
  <r>
    <x v="104"/>
    <n v="27.866000000000003"/>
  </r>
  <r>
    <x v="104"/>
    <n v="27.866000000000003"/>
  </r>
  <r>
    <x v="105"/>
    <n v="27.002499999999998"/>
  </r>
  <r>
    <x v="105"/>
    <n v="27.002499999999998"/>
  </r>
  <r>
    <x v="105"/>
    <n v="27.002499999999998"/>
  </r>
  <r>
    <x v="105"/>
    <n v="27.002499999999998"/>
  </r>
  <r>
    <x v="106"/>
    <n v="26.34"/>
  </r>
  <r>
    <x v="106"/>
    <n v="26.34"/>
  </r>
  <r>
    <x v="106"/>
    <n v="26.34"/>
  </r>
  <r>
    <x v="106"/>
    <n v="26.34"/>
  </r>
  <r>
    <x v="107"/>
    <n v="27.557500000000001"/>
  </r>
  <r>
    <x v="107"/>
    <n v="27.557500000000001"/>
  </r>
  <r>
    <x v="107"/>
    <n v="27.557500000000001"/>
  </r>
  <r>
    <x v="107"/>
    <n v="27.557500000000001"/>
  </r>
  <r>
    <x v="108"/>
    <n v="29.004000000000001"/>
  </r>
  <r>
    <x v="108"/>
    <n v="29.004000000000001"/>
  </r>
  <r>
    <x v="108"/>
    <n v="29.004000000000001"/>
  </r>
  <r>
    <x v="108"/>
    <n v="29.004000000000001"/>
  </r>
  <r>
    <x v="108"/>
    <n v="29.004000000000001"/>
  </r>
  <r>
    <x v="109"/>
    <n v="28.272500000000001"/>
  </r>
  <r>
    <x v="109"/>
    <n v="28.272500000000001"/>
  </r>
  <r>
    <x v="109"/>
    <n v="28.272500000000001"/>
  </r>
  <r>
    <x v="109"/>
    <n v="28.272500000000001"/>
  </r>
  <r>
    <x v="110"/>
    <n v="30.35"/>
  </r>
  <r>
    <x v="110"/>
    <n v="30.35"/>
  </r>
  <r>
    <x v="110"/>
    <n v="30.35"/>
  </r>
  <r>
    <x v="110"/>
    <n v="30.35"/>
  </r>
  <r>
    <x v="111"/>
    <n v="32.066000000000003"/>
  </r>
  <r>
    <x v="111"/>
    <n v="32.066000000000003"/>
  </r>
  <r>
    <x v="111"/>
    <n v="32.066000000000003"/>
  </r>
  <r>
    <x v="111"/>
    <n v="32.066000000000003"/>
  </r>
  <r>
    <x v="111"/>
    <n v="32.066000000000003"/>
  </r>
  <r>
    <x v="112"/>
    <n v="35.1875"/>
  </r>
  <r>
    <x v="112"/>
    <n v="35.1875"/>
  </r>
  <r>
    <x v="112"/>
    <n v="35.1875"/>
  </r>
  <r>
    <x v="112"/>
    <n v="35.1875"/>
  </r>
  <r>
    <x v="113"/>
    <n v="35.167499999999997"/>
  </r>
  <r>
    <x v="113"/>
    <n v="35.167499999999997"/>
  </r>
  <r>
    <x v="113"/>
    <n v="35.167499999999997"/>
  </r>
  <r>
    <x v="113"/>
    <n v="35.167499999999997"/>
  </r>
  <r>
    <x v="114"/>
    <n v="36.658000000000001"/>
  </r>
  <r>
    <x v="114"/>
    <n v="36.658000000000001"/>
  </r>
  <r>
    <x v="114"/>
    <n v="36.658000000000001"/>
  </r>
  <r>
    <x v="114"/>
    <n v="36.658000000000001"/>
  </r>
  <r>
    <x v="114"/>
    <n v="36.658000000000001"/>
  </r>
  <r>
    <x v="115"/>
    <n v="30.295000000000002"/>
  </r>
  <r>
    <x v="115"/>
    <n v="30.295000000000002"/>
  </r>
  <r>
    <x v="115"/>
    <n v="30.295000000000002"/>
  </r>
  <r>
    <x v="115"/>
    <n v="30.295000000000002"/>
  </r>
  <r>
    <x v="116"/>
    <n v="29.702500000000001"/>
  </r>
  <r>
    <x v="116"/>
    <n v="29.702500000000001"/>
  </r>
  <r>
    <x v="116"/>
    <n v="29.702500000000001"/>
  </r>
  <r>
    <x v="116"/>
    <n v="29.702500000000001"/>
  </r>
  <r>
    <x v="117"/>
    <n v="27.351999999999997"/>
  </r>
  <r>
    <x v="117"/>
    <n v="27.351999999999997"/>
  </r>
  <r>
    <x v="117"/>
    <n v="27.351999999999997"/>
  </r>
  <r>
    <x v="117"/>
    <n v="27.351999999999997"/>
  </r>
  <r>
    <x v="117"/>
    <n v="27.351999999999997"/>
  </r>
  <r>
    <x v="118"/>
    <n v="28.247499999999999"/>
  </r>
  <r>
    <x v="118"/>
    <n v="28.247499999999999"/>
  </r>
  <r>
    <x v="118"/>
    <n v="28.247499999999999"/>
  </r>
  <r>
    <x v="118"/>
    <n v="28.247499999999999"/>
  </r>
  <r>
    <x v="119"/>
    <n v="29.336000000000002"/>
  </r>
  <r>
    <x v="119"/>
    <n v="29.336000000000002"/>
  </r>
  <r>
    <x v="119"/>
    <n v="29.336000000000002"/>
  </r>
  <r>
    <x v="119"/>
    <n v="29.336000000000002"/>
  </r>
  <r>
    <x v="119"/>
    <n v="29.336000000000002"/>
  </r>
  <r>
    <x v="120"/>
    <n v="29.687999999999999"/>
  </r>
  <r>
    <x v="120"/>
    <n v="29.687999999999999"/>
  </r>
  <r>
    <x v="120"/>
    <n v="29.687999999999999"/>
  </r>
  <r>
    <x v="120"/>
    <n v="29.687999999999999"/>
  </r>
  <r>
    <x v="120"/>
    <n v="29.687999999999999"/>
  </r>
  <r>
    <x v="121"/>
    <n v="34.56"/>
  </r>
  <r>
    <x v="121"/>
    <n v="34.56"/>
  </r>
  <r>
    <x v="121"/>
    <n v="34.56"/>
  </r>
  <r>
    <x v="121"/>
    <n v="34.56"/>
  </r>
  <r>
    <x v="122"/>
    <n v="36.524999999999999"/>
  </r>
  <r>
    <x v="122"/>
    <n v="36.524999999999999"/>
  </r>
  <r>
    <x v="122"/>
    <n v="36.524999999999999"/>
  </r>
  <r>
    <x v="122"/>
    <n v="36.524999999999999"/>
  </r>
  <r>
    <x v="123"/>
    <n v="38.853999999999999"/>
  </r>
  <r>
    <x v="123"/>
    <n v="38.853999999999999"/>
  </r>
  <r>
    <x v="123"/>
    <n v="38.853999999999999"/>
  </r>
  <r>
    <x v="123"/>
    <n v="38.853999999999999"/>
  </r>
  <r>
    <x v="123"/>
    <n v="38.853999999999999"/>
  </r>
  <r>
    <x v="124"/>
    <n v="39.7425"/>
  </r>
  <r>
    <x v="124"/>
    <n v="39.7425"/>
  </r>
  <r>
    <x v="124"/>
    <n v="39.7425"/>
  </r>
  <r>
    <x v="124"/>
    <n v="39.7425"/>
  </r>
  <r>
    <x v="125"/>
    <n v="38.760000000000005"/>
  </r>
  <r>
    <x v="125"/>
    <n v="38.760000000000005"/>
  </r>
  <r>
    <x v="125"/>
    <n v="38.760000000000005"/>
  </r>
  <r>
    <x v="125"/>
    <n v="38.760000000000005"/>
  </r>
  <r>
    <x v="126"/>
    <n v="39.327999999999996"/>
  </r>
  <r>
    <x v="126"/>
    <n v="39.327999999999996"/>
  </r>
  <r>
    <x v="126"/>
    <n v="39.327999999999996"/>
  </r>
  <r>
    <x v="126"/>
    <n v="39.327999999999996"/>
  </r>
  <r>
    <x v="126"/>
    <n v="39.327999999999996"/>
  </r>
  <r>
    <x v="127"/>
    <n v="39.589999999999996"/>
  </r>
  <r>
    <x v="127"/>
    <n v="39.589999999999996"/>
  </r>
  <r>
    <x v="127"/>
    <n v="39.589999999999996"/>
  </r>
  <r>
    <x v="127"/>
    <n v="39.589999999999996"/>
  </r>
  <r>
    <x v="128"/>
    <n v="37.222499999999997"/>
  </r>
  <r>
    <x v="128"/>
    <n v="37.222499999999997"/>
  </r>
  <r>
    <x v="128"/>
    <n v="37.222499999999997"/>
  </r>
  <r>
    <x v="128"/>
    <n v="37.222499999999997"/>
  </r>
  <r>
    <x v="129"/>
    <n v="36.694000000000003"/>
  </r>
  <r>
    <x v="129"/>
    <n v="36.694000000000003"/>
  </r>
  <r>
    <x v="129"/>
    <n v="36.694000000000003"/>
  </r>
  <r>
    <x v="129"/>
    <n v="36.694000000000003"/>
  </r>
  <r>
    <x v="129"/>
    <n v="36.694000000000003"/>
  </r>
  <r>
    <x v="130"/>
    <n v="36.6325"/>
  </r>
  <r>
    <x v="130"/>
    <n v="36.6325"/>
  </r>
  <r>
    <x v="130"/>
    <n v="36.6325"/>
  </r>
  <r>
    <x v="130"/>
    <n v="36.6325"/>
  </r>
  <r>
    <x v="131"/>
    <n v="42.550000000000004"/>
  </r>
  <r>
    <x v="131"/>
    <n v="42.550000000000004"/>
  </r>
  <r>
    <x v="131"/>
    <n v="42.550000000000004"/>
  </r>
  <r>
    <x v="131"/>
    <n v="42.550000000000004"/>
  </r>
  <r>
    <x v="132"/>
    <n v="39.525999999999996"/>
  </r>
  <r>
    <x v="132"/>
    <n v="39.525999999999996"/>
  </r>
  <r>
    <x v="132"/>
    <n v="39.525999999999996"/>
  </r>
  <r>
    <x v="132"/>
    <n v="39.525999999999996"/>
  </r>
  <r>
    <x v="132"/>
    <n v="39.525999999999996"/>
  </r>
  <r>
    <x v="133"/>
    <n v="40.755000000000003"/>
  </r>
  <r>
    <x v="133"/>
    <n v="40.755000000000003"/>
  </r>
  <r>
    <x v="133"/>
    <n v="40.755000000000003"/>
  </r>
  <r>
    <x v="133"/>
    <n v="40.755000000000003"/>
  </r>
  <r>
    <x v="134"/>
    <n v="40.682499999999997"/>
  </r>
  <r>
    <x v="134"/>
    <n v="40.682499999999997"/>
  </r>
  <r>
    <x v="134"/>
    <n v="40.682499999999997"/>
  </r>
  <r>
    <x v="134"/>
    <n v="40.682499999999997"/>
  </r>
  <r>
    <x v="135"/>
    <n v="42.762"/>
  </r>
  <r>
    <x v="135"/>
    <n v="42.762"/>
  </r>
  <r>
    <x v="135"/>
    <n v="42.762"/>
  </r>
  <r>
    <x v="135"/>
    <n v="42.762"/>
  </r>
  <r>
    <x v="135"/>
    <n v="42.762"/>
  </r>
  <r>
    <x v="136"/>
    <n v="37.887500000000003"/>
  </r>
  <r>
    <x v="136"/>
    <n v="37.887500000000003"/>
  </r>
  <r>
    <x v="136"/>
    <n v="37.887500000000003"/>
  </r>
  <r>
    <x v="136"/>
    <n v="37.887500000000003"/>
  </r>
  <r>
    <x v="137"/>
    <n v="31.907499999999999"/>
  </r>
  <r>
    <x v="137"/>
    <n v="31.907499999999999"/>
  </r>
  <r>
    <x v="137"/>
    <n v="31.907499999999999"/>
  </r>
  <r>
    <x v="137"/>
    <n v="31.907499999999999"/>
  </r>
  <r>
    <x v="138"/>
    <n v="30.898000000000003"/>
  </r>
  <r>
    <x v="138"/>
    <n v="30.898000000000003"/>
  </r>
  <r>
    <x v="138"/>
    <n v="30.898000000000003"/>
  </r>
  <r>
    <x v="138"/>
    <n v="30.898000000000003"/>
  </r>
  <r>
    <x v="138"/>
    <n v="30.898000000000003"/>
  </r>
  <r>
    <x v="139"/>
    <n v="28.08"/>
  </r>
  <r>
    <x v="139"/>
    <n v="28.08"/>
  </r>
  <r>
    <x v="139"/>
    <n v="28.08"/>
  </r>
  <r>
    <x v="139"/>
    <n v="28.08"/>
  </r>
  <r>
    <x v="140"/>
    <n v="26.315000000000001"/>
  </r>
  <r>
    <x v="140"/>
    <n v="26.315000000000001"/>
  </r>
  <r>
    <x v="140"/>
    <n v="26.315000000000001"/>
  </r>
  <r>
    <x v="140"/>
    <n v="26.315000000000001"/>
  </r>
  <r>
    <x v="141"/>
    <n v="23.513999999999999"/>
  </r>
  <r>
    <x v="141"/>
    <n v="23.513999999999999"/>
  </r>
  <r>
    <x v="141"/>
    <n v="23.513999999999999"/>
  </r>
  <r>
    <x v="141"/>
    <n v="23.513999999999999"/>
  </r>
  <r>
    <x v="141"/>
    <n v="23.513999999999999"/>
  </r>
  <r>
    <x v="142"/>
    <n v="25.4"/>
  </r>
  <r>
    <x v="142"/>
    <n v="25.4"/>
  </r>
  <r>
    <x v="142"/>
    <n v="25.4"/>
  </r>
  <r>
    <x v="142"/>
    <n v="25.4"/>
  </r>
  <r>
    <x v="143"/>
    <n v="26.922499999999999"/>
  </r>
  <r>
    <x v="143"/>
    <n v="26.922499999999999"/>
  </r>
  <r>
    <x v="143"/>
    <n v="26.922499999999999"/>
  </r>
  <r>
    <x v="143"/>
    <n v="26.922499999999999"/>
  </r>
  <r>
    <x v="144"/>
    <n v="25.576000000000001"/>
  </r>
  <r>
    <x v="144"/>
    <n v="25.576000000000001"/>
  </r>
  <r>
    <x v="144"/>
    <n v="25.576000000000001"/>
  </r>
  <r>
    <x v="144"/>
    <n v="25.576000000000001"/>
  </r>
  <r>
    <x v="144"/>
    <n v="25.576000000000001"/>
  </r>
  <r>
    <x v="145"/>
    <n v="28.6525"/>
  </r>
  <r>
    <x v="145"/>
    <n v="28.6525"/>
  </r>
  <r>
    <x v="145"/>
    <n v="28.6525"/>
  </r>
  <r>
    <x v="145"/>
    <n v="28.6525"/>
  </r>
  <r>
    <x v="146"/>
    <n v="28.155000000000001"/>
  </r>
  <r>
    <x v="146"/>
    <n v="28.155000000000001"/>
  </r>
  <r>
    <x v="146"/>
    <n v="28.155000000000001"/>
  </r>
  <r>
    <x v="146"/>
    <n v="28.155000000000001"/>
  </r>
  <r>
    <x v="147"/>
    <n v="29.173999999999999"/>
  </r>
  <r>
    <x v="147"/>
    <n v="29.173999999999999"/>
  </r>
  <r>
    <x v="147"/>
    <n v="29.173999999999999"/>
  </r>
  <r>
    <x v="147"/>
    <n v="29.173999999999999"/>
  </r>
  <r>
    <x v="147"/>
    <n v="29.173999999999999"/>
  </r>
  <r>
    <x v="148"/>
    <n v="29.535"/>
  </r>
  <r>
    <x v="148"/>
    <n v="29.535"/>
  </r>
  <r>
    <x v="148"/>
    <n v="29.535"/>
  </r>
  <r>
    <x v="148"/>
    <n v="29.535"/>
  </r>
  <r>
    <x v="149"/>
    <n v="26.707500000000003"/>
  </r>
  <r>
    <x v="149"/>
    <n v="26.707500000000003"/>
  </r>
  <r>
    <x v="149"/>
    <n v="26.707500000000003"/>
  </r>
  <r>
    <x v="149"/>
    <n v="26.707500000000003"/>
  </r>
  <r>
    <x v="150"/>
    <n v="26.946000000000005"/>
  </r>
  <r>
    <x v="150"/>
    <n v="26.946000000000005"/>
  </r>
  <r>
    <x v="150"/>
    <n v="26.946000000000005"/>
  </r>
  <r>
    <x v="150"/>
    <n v="26.946000000000005"/>
  </r>
  <r>
    <x v="150"/>
    <n v="26.946000000000005"/>
  </r>
  <r>
    <x v="151"/>
    <n v="28.11"/>
  </r>
  <r>
    <x v="151"/>
    <n v="28.11"/>
  </r>
  <r>
    <x v="151"/>
    <n v="28.11"/>
  </r>
  <r>
    <x v="151"/>
    <n v="28.11"/>
  </r>
  <r>
    <x v="152"/>
    <n v="25.962"/>
  </r>
  <r>
    <x v="152"/>
    <n v="25.962"/>
  </r>
  <r>
    <x v="152"/>
    <n v="25.962"/>
  </r>
  <r>
    <x v="152"/>
    <n v="25.962"/>
  </r>
  <r>
    <x v="152"/>
    <n v="25.962"/>
  </r>
  <r>
    <x v="153"/>
    <n v="26.254999999999999"/>
  </r>
  <r>
    <x v="153"/>
    <n v="26.254999999999999"/>
  </r>
  <r>
    <x v="153"/>
    <n v="26.254999999999999"/>
  </r>
  <r>
    <x v="153"/>
    <n v="26.254999999999999"/>
  </r>
  <r>
    <x v="154"/>
    <n v="27.024999999999999"/>
  </r>
  <r>
    <x v="154"/>
    <n v="27.024999999999999"/>
  </r>
  <r>
    <x v="154"/>
    <n v="27.024999999999999"/>
  </r>
  <r>
    <x v="154"/>
    <n v="27.024999999999999"/>
  </r>
  <r>
    <x v="155"/>
    <n v="30.6525"/>
  </r>
  <r>
    <x v="155"/>
    <n v="30.6525"/>
  </r>
  <r>
    <x v="155"/>
    <n v="30.6525"/>
  </r>
  <r>
    <x v="155"/>
    <n v="30.6525"/>
  </r>
  <r>
    <x v="156"/>
    <n v="34.692"/>
  </r>
  <r>
    <x v="156"/>
    <n v="34.692"/>
  </r>
  <r>
    <x v="156"/>
    <n v="34.692"/>
  </r>
  <r>
    <x v="156"/>
    <n v="34.692"/>
  </r>
  <r>
    <x v="156"/>
    <n v="34.692"/>
  </r>
  <r>
    <x v="157"/>
    <n v="36.7425"/>
  </r>
  <r>
    <x v="157"/>
    <n v="36.7425"/>
  </r>
  <r>
    <x v="157"/>
    <n v="36.7425"/>
  </r>
  <r>
    <x v="157"/>
    <n v="36.7425"/>
  </r>
  <r>
    <x v="158"/>
    <n v="37.637500000000003"/>
  </r>
  <r>
    <x v="158"/>
    <n v="37.637500000000003"/>
  </r>
  <r>
    <x v="158"/>
    <n v="37.637500000000003"/>
  </r>
  <r>
    <x v="158"/>
    <n v="37.637500000000003"/>
  </r>
  <r>
    <x v="159"/>
    <n v="41.951999999999998"/>
  </r>
  <r>
    <x v="159"/>
    <n v="41.951999999999998"/>
  </r>
  <r>
    <x v="159"/>
    <n v="41.951999999999998"/>
  </r>
  <r>
    <x v="159"/>
    <n v="41.951999999999998"/>
  </r>
  <r>
    <x v="159"/>
    <n v="41.951999999999998"/>
  </r>
  <r>
    <x v="160"/>
    <n v="42.6"/>
  </r>
  <r>
    <x v="160"/>
    <n v="42.6"/>
  </r>
  <r>
    <x v="160"/>
    <n v="42.6"/>
  </r>
  <r>
    <x v="160"/>
    <n v="42.6"/>
  </r>
  <r>
    <x v="161"/>
    <n v="41.0075"/>
  </r>
  <r>
    <x v="161"/>
    <n v="41.0075"/>
  </r>
  <r>
    <x v="161"/>
    <n v="41.0075"/>
  </r>
  <r>
    <x v="161"/>
    <n v="41.0075"/>
  </r>
  <r>
    <x v="162"/>
    <n v="43.536000000000001"/>
  </r>
  <r>
    <x v="162"/>
    <n v="43.536000000000001"/>
  </r>
  <r>
    <x v="162"/>
    <n v="43.536000000000001"/>
  </r>
  <r>
    <x v="162"/>
    <n v="43.536000000000001"/>
  </r>
  <r>
    <x v="162"/>
    <n v="43.536000000000001"/>
  </r>
  <r>
    <x v="163"/>
    <n v="40.884999999999998"/>
  </r>
  <r>
    <x v="163"/>
    <n v="40.884999999999998"/>
  </r>
  <r>
    <x v="163"/>
    <n v="40.884999999999998"/>
  </r>
  <r>
    <x v="163"/>
    <n v="40.884999999999998"/>
  </r>
  <r>
    <x v="164"/>
    <n v="33.474999999999994"/>
  </r>
  <r>
    <x v="164"/>
    <n v="33.474999999999994"/>
  </r>
  <r>
    <x v="164"/>
    <n v="33.474999999999994"/>
  </r>
  <r>
    <x v="164"/>
    <n v="33.474999999999994"/>
  </r>
  <r>
    <x v="165"/>
    <n v="37.661999999999999"/>
  </r>
  <r>
    <x v="165"/>
    <n v="37.661999999999999"/>
  </r>
  <r>
    <x v="165"/>
    <n v="37.661999999999999"/>
  </r>
  <r>
    <x v="165"/>
    <n v="37.661999999999999"/>
  </r>
  <r>
    <x v="165"/>
    <n v="37.661999999999999"/>
  </r>
  <r>
    <x v="166"/>
    <n v="38.897499999999994"/>
  </r>
  <r>
    <x v="166"/>
    <n v="38.897499999999994"/>
  </r>
  <r>
    <x v="166"/>
    <n v="38.897499999999994"/>
  </r>
  <r>
    <x v="166"/>
    <n v="38.897499999999994"/>
  </r>
  <r>
    <x v="167"/>
    <n v="48.34"/>
  </r>
  <r>
    <x v="167"/>
    <n v="48.34"/>
  </r>
  <r>
    <x v="167"/>
    <n v="48.34"/>
  </r>
  <r>
    <x v="167"/>
    <n v="48.34"/>
  </r>
  <r>
    <x v="168"/>
    <n v="48.975999999999999"/>
  </r>
  <r>
    <x v="168"/>
    <n v="48.975999999999999"/>
  </r>
  <r>
    <x v="168"/>
    <n v="48.975999999999999"/>
  </r>
  <r>
    <x v="168"/>
    <n v="48.975999999999999"/>
  </r>
  <r>
    <x v="168"/>
    <n v="48.975999999999999"/>
  </r>
  <r>
    <x v="169"/>
    <n v="47.6175"/>
  </r>
  <r>
    <x v="169"/>
    <n v="47.6175"/>
  </r>
  <r>
    <x v="169"/>
    <n v="47.6175"/>
  </r>
  <r>
    <x v="169"/>
    <n v="47.6175"/>
  </r>
  <r>
    <x v="170"/>
    <n v="43.915000000000006"/>
  </r>
  <r>
    <x v="170"/>
    <n v="43.915000000000006"/>
  </r>
  <r>
    <x v="170"/>
    <n v="43.915000000000006"/>
  </r>
  <r>
    <x v="170"/>
    <n v="43.915000000000006"/>
  </r>
  <r>
    <x v="171"/>
    <n v="45.333999999999996"/>
  </r>
  <r>
    <x v="171"/>
    <n v="45.333999999999996"/>
  </r>
  <r>
    <x v="171"/>
    <n v="45.333999999999996"/>
  </r>
  <r>
    <x v="171"/>
    <n v="45.333999999999996"/>
  </r>
  <r>
    <x v="171"/>
    <n v="45.333999999999996"/>
  </r>
  <r>
    <x v="172"/>
    <n v="40.127499999999998"/>
  </r>
  <r>
    <x v="172"/>
    <n v="40.127499999999998"/>
  </r>
  <r>
    <x v="172"/>
    <n v="40.127499999999998"/>
  </r>
  <r>
    <x v="172"/>
    <n v="40.127499999999998"/>
  </r>
  <r>
    <x v="173"/>
    <n v="36.307499999999997"/>
  </r>
  <r>
    <x v="173"/>
    <n v="36.307499999999997"/>
  </r>
  <r>
    <x v="173"/>
    <n v="36.307499999999997"/>
  </r>
  <r>
    <x v="173"/>
    <n v="36.307499999999997"/>
  </r>
  <r>
    <x v="174"/>
    <n v="40.29"/>
  </r>
  <r>
    <x v="174"/>
    <n v="40.29"/>
  </r>
  <r>
    <x v="174"/>
    <n v="40.29"/>
  </r>
  <r>
    <x v="174"/>
    <n v="40.29"/>
  </r>
  <r>
    <x v="174"/>
    <n v="40.29"/>
  </r>
  <r>
    <x v="175"/>
    <n v="35.78"/>
  </r>
  <r>
    <x v="175"/>
    <n v="35.78"/>
  </r>
  <r>
    <x v="175"/>
    <n v="35.78"/>
  </r>
  <r>
    <x v="175"/>
    <n v="35.78"/>
  </r>
  <r>
    <x v="176"/>
    <n v="34.905000000000001"/>
  </r>
  <r>
    <x v="176"/>
    <n v="34.905000000000001"/>
  </r>
  <r>
    <x v="176"/>
    <n v="34.905000000000001"/>
  </r>
  <r>
    <x v="176"/>
    <n v="34.905000000000001"/>
  </r>
  <r>
    <x v="177"/>
    <n v="35.6"/>
  </r>
  <r>
    <x v="177"/>
    <n v="35.6"/>
  </r>
  <r>
    <x v="177"/>
    <n v="35.6"/>
  </r>
  <r>
    <x v="177"/>
    <n v="35.6"/>
  </r>
  <r>
    <x v="177"/>
    <n v="35.6"/>
  </r>
  <r>
    <x v="178"/>
    <n v="40.674999999999997"/>
  </r>
  <r>
    <x v="178"/>
    <n v="40.674999999999997"/>
  </r>
  <r>
    <x v="178"/>
    <n v="40.674999999999997"/>
  </r>
  <r>
    <x v="178"/>
    <n v="40.674999999999997"/>
  </r>
  <r>
    <x v="179"/>
    <n v="45.422499999999999"/>
  </r>
  <r>
    <x v="179"/>
    <n v="45.422499999999999"/>
  </r>
  <r>
    <x v="179"/>
    <n v="45.422499999999999"/>
  </r>
  <r>
    <x v="179"/>
    <n v="45.422499999999999"/>
  </r>
  <r>
    <x v="180"/>
    <n v="44.341999999999999"/>
  </r>
  <r>
    <x v="180"/>
    <n v="44.341999999999999"/>
  </r>
  <r>
    <x v="180"/>
    <n v="44.341999999999999"/>
  </r>
  <r>
    <x v="180"/>
    <n v="44.341999999999999"/>
  </r>
  <r>
    <x v="180"/>
    <n v="44.341999999999999"/>
  </r>
  <r>
    <x v="181"/>
    <n v="42.267499999999998"/>
  </r>
  <r>
    <x v="181"/>
    <n v="42.267499999999998"/>
  </r>
  <r>
    <x v="181"/>
    <n v="42.267499999999998"/>
  </r>
  <r>
    <x v="181"/>
    <n v="42.267499999999998"/>
  </r>
  <r>
    <x v="182"/>
    <n v="41.43"/>
  </r>
  <r>
    <x v="182"/>
    <n v="41.43"/>
  </r>
  <r>
    <x v="182"/>
    <n v="41.43"/>
  </r>
  <r>
    <x v="182"/>
    <n v="41.43"/>
  </r>
  <r>
    <x v="183"/>
    <n v="40.152000000000001"/>
  </r>
  <r>
    <x v="183"/>
    <n v="40.152000000000001"/>
  </r>
  <r>
    <x v="183"/>
    <n v="40.152000000000001"/>
  </r>
  <r>
    <x v="183"/>
    <n v="40.152000000000001"/>
  </r>
  <r>
    <x v="183"/>
    <n v="40.152000000000001"/>
  </r>
  <r>
    <x v="184"/>
    <n v="38.379999999999995"/>
  </r>
  <r>
    <x v="184"/>
    <n v="38.379999999999995"/>
  </r>
  <r>
    <x v="184"/>
    <n v="38.379999999999995"/>
  </r>
  <r>
    <x v="184"/>
    <n v="38.379999999999995"/>
  </r>
  <r>
    <x v="185"/>
    <n v="40.977499999999999"/>
  </r>
  <r>
    <x v="185"/>
    <n v="40.977499999999999"/>
  </r>
  <r>
    <x v="185"/>
    <n v="40.977499999999999"/>
  </r>
  <r>
    <x v="185"/>
    <n v="40.977499999999999"/>
  </r>
  <r>
    <x v="186"/>
    <n v="43.738"/>
  </r>
  <r>
    <x v="186"/>
    <n v="43.738"/>
  </r>
  <r>
    <x v="186"/>
    <n v="43.738"/>
  </r>
  <r>
    <x v="186"/>
    <n v="43.738"/>
  </r>
  <r>
    <x v="186"/>
    <n v="43.738"/>
  </r>
  <r>
    <x v="187"/>
    <n v="43.527500000000003"/>
  </r>
  <r>
    <x v="187"/>
    <n v="43.527500000000003"/>
  </r>
  <r>
    <x v="187"/>
    <n v="43.527500000000003"/>
  </r>
  <r>
    <x v="187"/>
    <n v="43.527500000000003"/>
  </r>
  <r>
    <x v="188"/>
    <n v="42.034999999999997"/>
  </r>
  <r>
    <x v="188"/>
    <n v="42.034999999999997"/>
  </r>
  <r>
    <x v="188"/>
    <n v="42.034999999999997"/>
  </r>
  <r>
    <x v="188"/>
    <n v="42.034999999999997"/>
  </r>
  <r>
    <x v="189"/>
    <n v="41.701999999999998"/>
  </r>
  <r>
    <x v="189"/>
    <n v="41.701999999999998"/>
  </r>
  <r>
    <x v="189"/>
    <n v="41.701999999999998"/>
  </r>
  <r>
    <x v="189"/>
    <n v="41.701999999999998"/>
  </r>
  <r>
    <x v="189"/>
    <n v="41.701999999999998"/>
  </r>
  <r>
    <x v="190"/>
    <n v="44.699999999999996"/>
  </r>
  <r>
    <x v="190"/>
    <n v="44.699999999999996"/>
  </r>
  <r>
    <x v="190"/>
    <n v="44.699999999999996"/>
  </r>
  <r>
    <x v="190"/>
    <n v="44.699999999999996"/>
  </r>
  <r>
    <x v="191"/>
    <n v="51.746000000000002"/>
  </r>
  <r>
    <x v="191"/>
    <n v="51.746000000000002"/>
  </r>
  <r>
    <x v="191"/>
    <n v="51.746000000000002"/>
  </r>
  <r>
    <x v="191"/>
    <n v="51.746000000000002"/>
  </r>
  <r>
    <x v="191"/>
    <n v="51.746000000000002"/>
  </r>
  <r>
    <x v="192"/>
    <n v="54.796000000000006"/>
  </r>
  <r>
    <x v="192"/>
    <n v="54.796000000000006"/>
  </r>
  <r>
    <x v="192"/>
    <n v="54.796000000000006"/>
  </r>
  <r>
    <x v="192"/>
    <n v="54.796000000000006"/>
  </r>
  <r>
    <x v="192"/>
    <n v="54.796000000000006"/>
  </r>
  <r>
    <x v="193"/>
    <n v="56.794999999999995"/>
  </r>
  <r>
    <x v="193"/>
    <n v="56.794999999999995"/>
  </r>
  <r>
    <x v="193"/>
    <n v="56.794999999999995"/>
  </r>
  <r>
    <x v="193"/>
    <n v="56.794999999999995"/>
  </r>
  <r>
    <x v="194"/>
    <n v="59.61"/>
  </r>
  <r>
    <x v="194"/>
    <n v="59.61"/>
  </r>
  <r>
    <x v="194"/>
    <n v="59.61"/>
  </r>
  <r>
    <x v="194"/>
    <n v="59.61"/>
  </r>
  <r>
    <x v="195"/>
    <n v="56.718000000000004"/>
  </r>
  <r>
    <x v="195"/>
    <n v="56.718000000000004"/>
  </r>
  <r>
    <x v="195"/>
    <n v="56.718000000000004"/>
  </r>
  <r>
    <x v="195"/>
    <n v="56.718000000000004"/>
  </r>
  <r>
    <x v="195"/>
    <n v="56.718000000000004"/>
  </r>
  <r>
    <x v="196"/>
    <n v="60.805"/>
  </r>
  <r>
    <x v="196"/>
    <n v="60.805"/>
  </r>
  <r>
    <x v="196"/>
    <n v="60.805"/>
  </r>
  <r>
    <x v="196"/>
    <n v="60.805"/>
  </r>
  <r>
    <x v="197"/>
    <n v="66.64"/>
  </r>
  <r>
    <x v="197"/>
    <n v="66.64"/>
  </r>
  <r>
    <x v="197"/>
    <n v="66.64"/>
  </r>
  <r>
    <x v="197"/>
    <n v="66.64"/>
  </r>
  <r>
    <x v="198"/>
    <n v="64.677999999999997"/>
  </r>
  <r>
    <x v="198"/>
    <n v="64.677999999999997"/>
  </r>
  <r>
    <x v="198"/>
    <n v="64.677999999999997"/>
  </r>
  <r>
    <x v="198"/>
    <n v="64.677999999999997"/>
  </r>
  <r>
    <x v="198"/>
    <n v="64.677999999999997"/>
  </r>
  <r>
    <x v="199"/>
    <n v="57.917499999999997"/>
  </r>
  <r>
    <x v="199"/>
    <n v="57.917499999999997"/>
  </r>
  <r>
    <x v="199"/>
    <n v="57.917499999999997"/>
  </r>
  <r>
    <x v="199"/>
    <n v="57.917499999999997"/>
  </r>
  <r>
    <x v="200"/>
    <n v="55.089999999999996"/>
  </r>
  <r>
    <x v="200"/>
    <n v="55.089999999999996"/>
  </r>
  <r>
    <x v="200"/>
    <n v="55.089999999999996"/>
  </r>
  <r>
    <x v="200"/>
    <n v="55.089999999999996"/>
  </r>
  <r>
    <x v="200"/>
    <n v="55.089999999999996"/>
  </r>
  <r>
    <x v="201"/>
    <n v="60.795000000000002"/>
  </r>
  <r>
    <x v="201"/>
    <n v="60.795000000000002"/>
  </r>
  <r>
    <x v="201"/>
    <n v="60.795000000000002"/>
  </r>
  <r>
    <x v="201"/>
    <n v="60.795000000000002"/>
  </r>
  <r>
    <x v="202"/>
    <n v="62.15"/>
  </r>
  <r>
    <x v="202"/>
    <n v="62.15"/>
  </r>
  <r>
    <x v="202"/>
    <n v="62.15"/>
  </r>
  <r>
    <x v="202"/>
    <n v="62.15"/>
  </r>
  <r>
    <x v="203"/>
    <n v="70.585000000000008"/>
  </r>
  <r>
    <x v="203"/>
    <n v="70.585000000000008"/>
  </r>
  <r>
    <x v="203"/>
    <n v="70.585000000000008"/>
  </r>
  <r>
    <x v="203"/>
    <n v="70.585000000000008"/>
  </r>
  <r>
    <x v="204"/>
    <n v="71.305999999999997"/>
  </r>
  <r>
    <x v="204"/>
    <n v="71.305999999999997"/>
  </r>
  <r>
    <x v="204"/>
    <n v="71.305999999999997"/>
  </r>
  <r>
    <x v="204"/>
    <n v="71.305999999999997"/>
  </r>
  <r>
    <x v="204"/>
    <n v="71.305999999999997"/>
  </r>
  <r>
    <x v="205"/>
    <n v="62.947500000000005"/>
  </r>
  <r>
    <x v="205"/>
    <n v="62.947500000000005"/>
  </r>
  <r>
    <x v="205"/>
    <n v="62.947500000000005"/>
  </r>
  <r>
    <x v="205"/>
    <n v="62.947500000000005"/>
  </r>
  <r>
    <x v="206"/>
    <n v="61.7"/>
  </r>
  <r>
    <x v="206"/>
    <n v="61.7"/>
  </r>
  <r>
    <x v="206"/>
    <n v="61.7"/>
  </r>
  <r>
    <x v="206"/>
    <n v="61.7"/>
  </r>
  <r>
    <x v="207"/>
    <n v="64.152000000000001"/>
  </r>
  <r>
    <x v="207"/>
    <n v="64.152000000000001"/>
  </r>
  <r>
    <x v="207"/>
    <n v="64.152000000000001"/>
  </r>
  <r>
    <x v="207"/>
    <n v="64.152000000000001"/>
  </r>
  <r>
    <x v="207"/>
    <n v="64.152000000000001"/>
  </r>
  <r>
    <x v="208"/>
    <n v="70.209999999999994"/>
  </r>
  <r>
    <x v="208"/>
    <n v="70.209999999999994"/>
  </r>
  <r>
    <x v="208"/>
    <n v="70.209999999999994"/>
  </r>
  <r>
    <x v="208"/>
    <n v="70.209999999999994"/>
  </r>
  <r>
    <x v="209"/>
    <n v="69.025000000000006"/>
  </r>
  <r>
    <x v="209"/>
    <n v="69.025000000000006"/>
  </r>
  <r>
    <x v="209"/>
    <n v="69.025000000000006"/>
  </r>
  <r>
    <x v="209"/>
    <n v="69.025000000000006"/>
  </r>
  <r>
    <x v="210"/>
    <n v="63.342000000000006"/>
  </r>
  <r>
    <x v="210"/>
    <n v="63.342000000000006"/>
  </r>
  <r>
    <x v="210"/>
    <n v="63.342000000000006"/>
  </r>
  <r>
    <x v="210"/>
    <n v="63.342000000000006"/>
  </r>
  <r>
    <x v="210"/>
    <n v="63.342000000000006"/>
  </r>
  <r>
    <x v="211"/>
    <n v="56.712499999999991"/>
  </r>
  <r>
    <x v="211"/>
    <n v="56.712499999999991"/>
  </r>
  <r>
    <x v="211"/>
    <n v="56.712499999999991"/>
  </r>
  <r>
    <x v="211"/>
    <n v="56.712499999999991"/>
  </r>
  <r>
    <x v="212"/>
    <n v="55.48"/>
  </r>
  <r>
    <x v="212"/>
    <n v="55.48"/>
  </r>
  <r>
    <x v="212"/>
    <n v="55.48"/>
  </r>
  <r>
    <x v="212"/>
    <n v="55.48"/>
  </r>
  <r>
    <x v="213"/>
    <n v="53.734000000000002"/>
  </r>
  <r>
    <x v="213"/>
    <n v="53.734000000000002"/>
  </r>
  <r>
    <x v="213"/>
    <n v="53.734000000000002"/>
  </r>
  <r>
    <x v="213"/>
    <n v="53.734000000000002"/>
  </r>
  <r>
    <x v="213"/>
    <n v="53.734000000000002"/>
  </r>
  <r>
    <x v="214"/>
    <n v="50.702500000000001"/>
  </r>
  <r>
    <x v="214"/>
    <n v="50.702500000000001"/>
  </r>
  <r>
    <x v="214"/>
    <n v="50.702500000000001"/>
  </r>
  <r>
    <x v="214"/>
    <n v="50.702500000000001"/>
  </r>
  <r>
    <x v="215"/>
    <n v="54.519999999999996"/>
  </r>
  <r>
    <x v="215"/>
    <n v="54.519999999999996"/>
  </r>
  <r>
    <x v="215"/>
    <n v="54.519999999999996"/>
  </r>
  <r>
    <x v="215"/>
    <n v="54.519999999999996"/>
  </r>
  <r>
    <x v="216"/>
    <n v="57.016000000000005"/>
  </r>
  <r>
    <x v="216"/>
    <n v="57.016000000000005"/>
  </r>
  <r>
    <x v="216"/>
    <n v="57.016000000000005"/>
  </r>
  <r>
    <x v="216"/>
    <n v="57.016000000000005"/>
  </r>
  <r>
    <x v="216"/>
    <n v="57.016000000000005"/>
  </r>
  <r>
    <x v="217"/>
    <n v="59.642500000000005"/>
  </r>
  <r>
    <x v="217"/>
    <n v="59.642500000000005"/>
  </r>
  <r>
    <x v="217"/>
    <n v="59.642500000000005"/>
  </r>
  <r>
    <x v="217"/>
    <n v="59.642500000000005"/>
  </r>
  <r>
    <x v="218"/>
    <n v="68.094999999999999"/>
  </r>
  <r>
    <x v="218"/>
    <n v="68.094999999999999"/>
  </r>
  <r>
    <x v="218"/>
    <n v="68.094999999999999"/>
  </r>
  <r>
    <x v="218"/>
    <n v="68.094999999999999"/>
  </r>
  <r>
    <x v="219"/>
    <n v="68.996000000000009"/>
  </r>
  <r>
    <x v="219"/>
    <n v="68.996000000000009"/>
  </r>
  <r>
    <x v="219"/>
    <n v="68.996000000000009"/>
  </r>
  <r>
    <x v="219"/>
    <n v="68.996000000000009"/>
  </r>
  <r>
    <x v="219"/>
    <n v="68.996000000000009"/>
  </r>
  <r>
    <x v="220"/>
    <n v="72.842500000000001"/>
  </r>
  <r>
    <x v="220"/>
    <n v="72.842500000000001"/>
  </r>
  <r>
    <x v="220"/>
    <n v="72.842500000000001"/>
  </r>
  <r>
    <x v="220"/>
    <n v="72.842500000000001"/>
  </r>
  <r>
    <x v="221"/>
    <n v="61.572500000000005"/>
  </r>
  <r>
    <x v="221"/>
    <n v="61.572500000000005"/>
  </r>
  <r>
    <x v="221"/>
    <n v="61.572500000000005"/>
  </r>
  <r>
    <x v="221"/>
    <n v="61.572500000000005"/>
  </r>
  <r>
    <x v="222"/>
    <n v="56.519999999999996"/>
  </r>
  <r>
    <x v="222"/>
    <n v="56.519999999999996"/>
  </r>
  <r>
    <x v="222"/>
    <n v="56.519999999999996"/>
  </r>
  <r>
    <x v="222"/>
    <n v="56.519999999999996"/>
  </r>
  <r>
    <x v="222"/>
    <n v="56.519999999999996"/>
  </r>
  <r>
    <x v="223"/>
    <n v="55.342500000000001"/>
  </r>
  <r>
    <x v="223"/>
    <n v="55.342500000000001"/>
  </r>
  <r>
    <x v="223"/>
    <n v="55.342500000000001"/>
  </r>
  <r>
    <x v="223"/>
    <n v="55.342500000000001"/>
  </r>
  <r>
    <x v="224"/>
    <n v="61.032500000000006"/>
  </r>
  <r>
    <x v="224"/>
    <n v="61.032500000000006"/>
  </r>
  <r>
    <x v="224"/>
    <n v="61.032500000000006"/>
  </r>
  <r>
    <x v="224"/>
    <n v="61.032500000000006"/>
  </r>
  <r>
    <x v="225"/>
    <n v="58.442000000000007"/>
  </r>
  <r>
    <x v="225"/>
    <n v="58.442000000000007"/>
  </r>
  <r>
    <x v="225"/>
    <n v="58.442000000000007"/>
  </r>
  <r>
    <x v="225"/>
    <n v="58.442000000000007"/>
  </r>
  <r>
    <x v="225"/>
    <n v="58.442000000000007"/>
  </r>
  <r>
    <x v="226"/>
    <n v="55.717500000000001"/>
  </r>
  <r>
    <x v="226"/>
    <n v="55.717500000000001"/>
  </r>
  <r>
    <x v="226"/>
    <n v="55.717500000000001"/>
  </r>
  <r>
    <x v="226"/>
    <n v="55.717500000000001"/>
  </r>
  <r>
    <x v="227"/>
    <n v="60.43"/>
  </r>
  <r>
    <x v="227"/>
    <n v="60.43"/>
  </r>
  <r>
    <x v="227"/>
    <n v="60.43"/>
  </r>
  <r>
    <x v="227"/>
    <n v="60.43"/>
  </r>
  <r>
    <x v="228"/>
    <n v="62.335999999999991"/>
  </r>
  <r>
    <x v="228"/>
    <n v="62.335999999999991"/>
  </r>
  <r>
    <x v="228"/>
    <n v="62.335999999999991"/>
  </r>
  <r>
    <x v="228"/>
    <n v="62.335999999999991"/>
  </r>
  <r>
    <x v="228"/>
    <n v="62.335999999999991"/>
  </r>
  <r>
    <x v="229"/>
    <n v="59.800000000000004"/>
  </r>
  <r>
    <x v="229"/>
    <n v="59.800000000000004"/>
  </r>
  <r>
    <x v="229"/>
    <n v="59.800000000000004"/>
  </r>
  <r>
    <x v="229"/>
    <n v="59.800000000000004"/>
  </r>
  <r>
    <x v="230"/>
    <n v="69.227499999999992"/>
  </r>
  <r>
    <x v="230"/>
    <n v="69.227499999999992"/>
  </r>
  <r>
    <x v="230"/>
    <n v="69.227499999999992"/>
  </r>
  <r>
    <x v="230"/>
    <n v="69.227499999999992"/>
  </r>
  <r>
    <x v="231"/>
    <n v="67.873999999999995"/>
  </r>
  <r>
    <x v="231"/>
    <n v="67.873999999999995"/>
  </r>
  <r>
    <x v="231"/>
    <n v="67.873999999999995"/>
  </r>
  <r>
    <x v="231"/>
    <n v="67.873999999999995"/>
  </r>
  <r>
    <x v="231"/>
    <n v="67.873999999999995"/>
  </r>
  <r>
    <x v="232"/>
    <n v="61.817500000000003"/>
  </r>
  <r>
    <x v="232"/>
    <n v="61.817500000000003"/>
  </r>
  <r>
    <x v="232"/>
    <n v="61.817500000000003"/>
  </r>
  <r>
    <x v="232"/>
    <n v="61.817500000000003"/>
  </r>
  <r>
    <x v="233"/>
    <n v="63.99"/>
  </r>
  <r>
    <x v="233"/>
    <n v="63.99"/>
  </r>
  <r>
    <x v="233"/>
    <n v="63.99"/>
  </r>
  <r>
    <x v="233"/>
    <n v="63.99"/>
  </r>
  <r>
    <x v="234"/>
    <n v="59.234000000000002"/>
  </r>
  <r>
    <x v="234"/>
    <n v="59.234000000000002"/>
  </r>
  <r>
    <x v="234"/>
    <n v="59.234000000000002"/>
  </r>
  <r>
    <x v="234"/>
    <n v="59.234000000000002"/>
  </r>
  <r>
    <x v="234"/>
    <n v="59.234000000000002"/>
  </r>
  <r>
    <x v="235"/>
    <n v="54.104999999999997"/>
  </r>
  <r>
    <x v="235"/>
    <n v="54.104999999999997"/>
  </r>
  <r>
    <x v="235"/>
    <n v="54.104999999999997"/>
  </r>
  <r>
    <x v="235"/>
    <n v="54.104999999999997"/>
  </r>
  <r>
    <x v="236"/>
    <n v="50.055"/>
  </r>
  <r>
    <x v="236"/>
    <n v="50.055"/>
  </r>
  <r>
    <x v="236"/>
    <n v="50.055"/>
  </r>
  <r>
    <x v="236"/>
    <n v="50.055"/>
  </r>
  <r>
    <x v="237"/>
    <n v="51.81"/>
  </r>
  <r>
    <x v="237"/>
    <n v="51.81"/>
  </r>
  <r>
    <x v="237"/>
    <n v="51.81"/>
  </r>
  <r>
    <x v="237"/>
    <n v="51.81"/>
  </r>
  <r>
    <x v="237"/>
    <n v="51.81"/>
  </r>
  <r>
    <x v="238"/>
    <n v="59.480000000000004"/>
  </r>
  <r>
    <x v="238"/>
    <n v="59.480000000000004"/>
  </r>
  <r>
    <x v="238"/>
    <n v="59.480000000000004"/>
  </r>
  <r>
    <x v="238"/>
    <n v="59.480000000000004"/>
  </r>
  <r>
    <x v="239"/>
    <n v="71.142500000000013"/>
  </r>
  <r>
    <x v="239"/>
    <n v="71.142500000000013"/>
  </r>
  <r>
    <x v="239"/>
    <n v="71.142500000000013"/>
  </r>
  <r>
    <x v="239"/>
    <n v="71.142500000000013"/>
  </r>
  <r>
    <x v="240"/>
    <n v="75.597999999999999"/>
  </r>
  <r>
    <x v="240"/>
    <n v="75.597999999999999"/>
  </r>
  <r>
    <x v="240"/>
    <n v="75.597999999999999"/>
  </r>
  <r>
    <x v="240"/>
    <n v="75.597999999999999"/>
  </r>
  <r>
    <x v="240"/>
    <n v="75.597999999999999"/>
  </r>
  <r>
    <x v="241"/>
    <n v="67.81750000000001"/>
  </r>
  <r>
    <x v="241"/>
    <n v="67.81750000000001"/>
  </r>
  <r>
    <x v="241"/>
    <n v="67.81750000000001"/>
  </r>
  <r>
    <x v="241"/>
    <n v="67.81750000000001"/>
  </r>
  <r>
    <x v="242"/>
    <n v="63.537499999999994"/>
  </r>
  <r>
    <x v="242"/>
    <n v="63.537499999999994"/>
  </r>
  <r>
    <x v="242"/>
    <n v="63.537499999999994"/>
  </r>
  <r>
    <x v="242"/>
    <n v="63.537499999999994"/>
  </r>
  <r>
    <x v="243"/>
    <n v="57.56"/>
  </r>
  <r>
    <x v="243"/>
    <n v="57.56"/>
  </r>
  <r>
    <x v="243"/>
    <n v="57.56"/>
  </r>
  <r>
    <x v="243"/>
    <n v="57.56"/>
  </r>
  <r>
    <x v="243"/>
    <n v="57.56"/>
  </r>
  <r>
    <x v="244"/>
    <n v="60.892499999999998"/>
  </r>
  <r>
    <x v="244"/>
    <n v="60.892499999999998"/>
  </r>
  <r>
    <x v="244"/>
    <n v="60.892499999999998"/>
  </r>
  <r>
    <x v="244"/>
    <n v="60.892499999999998"/>
  </r>
  <r>
    <x v="245"/>
    <n v="65.025000000000006"/>
  </r>
  <r>
    <x v="245"/>
    <n v="65.025000000000006"/>
  </r>
  <r>
    <x v="245"/>
    <n v="65.025000000000006"/>
  </r>
  <r>
    <x v="245"/>
    <n v="65.025000000000006"/>
  </r>
  <r>
    <x v="246"/>
    <n v="54.625999999999998"/>
  </r>
  <r>
    <x v="246"/>
    <n v="54.625999999999998"/>
  </r>
  <r>
    <x v="246"/>
    <n v="54.625999999999998"/>
  </r>
  <r>
    <x v="246"/>
    <n v="54.625999999999998"/>
  </r>
  <r>
    <x v="246"/>
    <n v="54.625999999999998"/>
  </r>
  <r>
    <x v="247"/>
    <n v="50.795000000000002"/>
  </r>
  <r>
    <x v="247"/>
    <n v="50.795000000000002"/>
  </r>
  <r>
    <x v="247"/>
    <n v="50.795000000000002"/>
  </r>
  <r>
    <x v="247"/>
    <n v="50.795000000000002"/>
  </r>
  <r>
    <x v="248"/>
    <n v="49.492000000000004"/>
  </r>
  <r>
    <x v="248"/>
    <n v="49.492000000000004"/>
  </r>
  <r>
    <x v="248"/>
    <n v="49.492000000000004"/>
  </r>
  <r>
    <x v="248"/>
    <n v="49.492000000000004"/>
  </r>
  <r>
    <x v="248"/>
    <n v="49.492000000000004"/>
  </r>
  <r>
    <x v="249"/>
    <n v="48.427500000000002"/>
  </r>
  <r>
    <x v="249"/>
    <n v="48.427500000000002"/>
  </r>
  <r>
    <x v="249"/>
    <n v="48.427500000000002"/>
  </r>
  <r>
    <x v="249"/>
    <n v="48.427500000000002"/>
  </r>
  <r>
    <x v="250"/>
    <n v="47.782499999999999"/>
  </r>
  <r>
    <x v="250"/>
    <n v="47.782499999999999"/>
  </r>
  <r>
    <x v="250"/>
    <n v="47.782499999999999"/>
  </r>
  <r>
    <x v="250"/>
    <n v="47.782499999999999"/>
  </r>
  <r>
    <x v="251"/>
    <n v="48.582000000000001"/>
  </r>
  <r>
    <x v="251"/>
    <n v="48.582000000000001"/>
  </r>
  <r>
    <x v="251"/>
    <n v="48.582000000000001"/>
  </r>
  <r>
    <x v="251"/>
    <n v="48.582000000000001"/>
  </r>
  <r>
    <x v="251"/>
    <n v="48.582000000000001"/>
  </r>
  <r>
    <x v="252"/>
    <n v="48.398000000000003"/>
  </r>
  <r>
    <x v="252"/>
    <n v="48.398000000000003"/>
  </r>
  <r>
    <x v="252"/>
    <n v="48.398000000000003"/>
  </r>
  <r>
    <x v="252"/>
    <n v="48.398000000000003"/>
  </r>
  <r>
    <x v="252"/>
    <n v="48.398000000000003"/>
  </r>
  <r>
    <x v="253"/>
    <n v="55.274999999999999"/>
  </r>
  <r>
    <x v="253"/>
    <n v="55.274999999999999"/>
  </r>
  <r>
    <x v="253"/>
    <n v="55.274999999999999"/>
  </r>
  <r>
    <x v="253"/>
    <n v="55.274999999999999"/>
  </r>
  <r>
    <x v="254"/>
    <n v="62.517499999999998"/>
  </r>
  <r>
    <x v="254"/>
    <n v="62.517499999999998"/>
  </r>
  <r>
    <x v="254"/>
    <n v="62.517499999999998"/>
  </r>
  <r>
    <x v="254"/>
    <n v="62.517499999999998"/>
  </r>
  <r>
    <x v="255"/>
    <n v="63.617999999999995"/>
  </r>
  <r>
    <x v="255"/>
    <n v="63.617999999999995"/>
  </r>
  <r>
    <x v="255"/>
    <n v="63.617999999999995"/>
  </r>
  <r>
    <x v="255"/>
    <n v="63.617999999999995"/>
  </r>
  <r>
    <x v="255"/>
    <n v="63.617999999999995"/>
  </r>
  <r>
    <x v="256"/>
    <n v="65.67"/>
  </r>
  <r>
    <x v="256"/>
    <n v="65.67"/>
  </r>
  <r>
    <x v="256"/>
    <n v="65.67"/>
  </r>
  <r>
    <x v="256"/>
    <n v="65.67"/>
  </r>
  <r>
    <x v="257"/>
    <n v="59.594999999999999"/>
  </r>
  <r>
    <x v="257"/>
    <n v="59.594999999999999"/>
  </r>
  <r>
    <x v="257"/>
    <n v="59.594999999999999"/>
  </r>
  <r>
    <x v="257"/>
    <n v="59.594999999999999"/>
  </r>
  <r>
    <x v="258"/>
    <n v="62.227999999999994"/>
  </r>
  <r>
    <x v="258"/>
    <n v="62.227999999999994"/>
  </r>
  <r>
    <x v="258"/>
    <n v="62.227999999999994"/>
  </r>
  <r>
    <x v="258"/>
    <n v="62.227999999999994"/>
  </r>
  <r>
    <x v="258"/>
    <n v="62.227999999999994"/>
  </r>
  <r>
    <x v="259"/>
    <n v="56.12"/>
  </r>
  <r>
    <x v="259"/>
    <n v="56.12"/>
  </r>
  <r>
    <x v="259"/>
    <n v="56.12"/>
  </r>
  <r>
    <x v="259"/>
    <n v="56.12"/>
  </r>
  <r>
    <x v="260"/>
    <n v="53.037499999999994"/>
  </r>
  <r>
    <x v="260"/>
    <n v="53.037499999999994"/>
  </r>
  <r>
    <x v="260"/>
    <n v="53.037499999999994"/>
  </r>
  <r>
    <x v="260"/>
    <n v="53.037499999999994"/>
  </r>
  <r>
    <x v="261"/>
    <n v="57.483999999999995"/>
  </r>
  <r>
    <x v="261"/>
    <n v="57.483999999999995"/>
  </r>
  <r>
    <x v="261"/>
    <n v="57.483999999999995"/>
  </r>
  <r>
    <x v="261"/>
    <n v="57.483999999999995"/>
  </r>
  <r>
    <x v="261"/>
    <n v="57.483999999999995"/>
  </r>
  <r>
    <x v="262"/>
    <n v="58.984999999999999"/>
  </r>
  <r>
    <x v="262"/>
    <n v="58.984999999999999"/>
  </r>
  <r>
    <x v="262"/>
    <n v="58.984999999999999"/>
  </r>
  <r>
    <x v="262"/>
    <n v="58.984999999999999"/>
  </r>
  <r>
    <x v="263"/>
    <n v="69.132499999999993"/>
  </r>
  <r>
    <x v="263"/>
    <n v="69.132499999999993"/>
  </r>
  <r>
    <x v="263"/>
    <n v="69.132499999999993"/>
  </r>
  <r>
    <x v="263"/>
    <n v="69.132499999999993"/>
  </r>
  <r>
    <x v="264"/>
    <n v="71.463999999999999"/>
  </r>
  <r>
    <x v="264"/>
    <n v="71.463999999999999"/>
  </r>
  <r>
    <x v="264"/>
    <n v="71.463999999999999"/>
  </r>
  <r>
    <x v="264"/>
    <n v="71.463999999999999"/>
  </r>
  <r>
    <x v="264"/>
    <n v="71.463999999999999"/>
  </r>
  <r>
    <x v="265"/>
    <n v="84.204999999999998"/>
  </r>
  <r>
    <x v="265"/>
    <n v="84.204999999999998"/>
  </r>
  <r>
    <x v="265"/>
    <n v="84.204999999999998"/>
  </r>
  <r>
    <x v="265"/>
    <n v="84.204999999999998"/>
  </r>
  <r>
    <x v="266"/>
    <n v="82.3"/>
  </r>
  <r>
    <x v="266"/>
    <n v="82.3"/>
  </r>
  <r>
    <x v="266"/>
    <n v="82.3"/>
  </r>
  <r>
    <x v="266"/>
    <n v="82.3"/>
  </r>
  <r>
    <x v="267"/>
    <n v="100.54599999999999"/>
  </r>
  <r>
    <x v="267"/>
    <n v="100.54599999999999"/>
  </r>
  <r>
    <x v="267"/>
    <n v="100.54599999999999"/>
  </r>
  <r>
    <x v="267"/>
    <n v="100.54599999999999"/>
  </r>
  <r>
    <x v="267"/>
    <n v="100.54599999999999"/>
  </r>
  <r>
    <x v="268"/>
    <n v="95.342500000000001"/>
  </r>
  <r>
    <x v="268"/>
    <n v="95.342500000000001"/>
  </r>
  <r>
    <x v="268"/>
    <n v="95.342500000000001"/>
  </r>
  <r>
    <x v="268"/>
    <n v="95.342500000000001"/>
  </r>
  <r>
    <x v="269"/>
    <n v="96.412499999999994"/>
  </r>
  <r>
    <x v="269"/>
    <n v="96.412499999999994"/>
  </r>
  <r>
    <x v="269"/>
    <n v="96.412499999999994"/>
  </r>
  <r>
    <x v="269"/>
    <n v="96.412499999999994"/>
  </r>
  <r>
    <x v="270"/>
    <n v="81.802000000000007"/>
  </r>
  <r>
    <x v="270"/>
    <n v="81.802000000000007"/>
  </r>
  <r>
    <x v="270"/>
    <n v="81.802000000000007"/>
  </r>
  <r>
    <x v="270"/>
    <n v="81.802000000000007"/>
  </r>
  <r>
    <x v="270"/>
    <n v="81.802000000000007"/>
  </r>
  <r>
    <x v="271"/>
    <n v="67.5625"/>
  </r>
  <r>
    <x v="271"/>
    <n v="67.5625"/>
  </r>
  <r>
    <x v="271"/>
    <n v="67.5625"/>
  </r>
  <r>
    <x v="271"/>
    <n v="67.5625"/>
  </r>
  <r>
    <x v="272"/>
    <n v="64.127499999999998"/>
  </r>
  <r>
    <x v="272"/>
    <n v="64.127499999999998"/>
  </r>
  <r>
    <x v="272"/>
    <n v="64.127499999999998"/>
  </r>
  <r>
    <x v="272"/>
    <n v="64.127499999999998"/>
  </r>
  <r>
    <x v="273"/>
    <n v="71.150000000000006"/>
  </r>
  <r>
    <x v="273"/>
    <n v="71.150000000000006"/>
  </r>
  <r>
    <x v="273"/>
    <n v="71.150000000000006"/>
  </r>
  <r>
    <x v="273"/>
    <n v="71.150000000000006"/>
  </r>
  <r>
    <x v="273"/>
    <n v="71.150000000000006"/>
  </r>
  <r>
    <x v="274"/>
    <n v="74.67"/>
  </r>
  <r>
    <x v="274"/>
    <n v="74.67"/>
  </r>
  <r>
    <x v="274"/>
    <n v="74.67"/>
  </r>
  <r>
    <x v="274"/>
    <n v="74.67"/>
  </r>
  <r>
    <x v="275"/>
    <n v="79.039999999999992"/>
  </r>
  <r>
    <x v="275"/>
    <n v="79.039999999999992"/>
  </r>
  <r>
    <x v="275"/>
    <n v="79.039999999999992"/>
  </r>
  <r>
    <x v="275"/>
    <n v="79.039999999999992"/>
  </r>
  <r>
    <x v="276"/>
    <n v="93"/>
  </r>
  <r>
    <x v="276"/>
    <n v="93"/>
  </r>
  <r>
    <x v="276"/>
    <n v="93"/>
  </r>
  <r>
    <x v="276"/>
    <n v="93"/>
  </r>
  <r>
    <x v="276"/>
    <n v="93"/>
  </r>
  <r>
    <x v="277"/>
    <n v="107.11499999999999"/>
  </r>
  <r>
    <x v="277"/>
    <n v="107.11499999999999"/>
  </r>
  <r>
    <x v="277"/>
    <n v="107.11499999999999"/>
  </r>
  <r>
    <x v="277"/>
    <n v="107.11499999999999"/>
  </r>
  <r>
    <x v="278"/>
    <n v="117.36750000000001"/>
  </r>
  <r>
    <x v="278"/>
    <n v="117.36750000000001"/>
  </r>
  <r>
    <x v="278"/>
    <n v="117.36750000000001"/>
  </r>
  <r>
    <x v="278"/>
    <n v="117.36750000000001"/>
  </r>
  <r>
    <x v="279"/>
    <n v="113.434"/>
  </r>
  <r>
    <x v="279"/>
    <n v="113.434"/>
  </r>
  <r>
    <x v="279"/>
    <n v="113.434"/>
  </r>
  <r>
    <x v="279"/>
    <n v="113.434"/>
  </r>
  <r>
    <x v="279"/>
    <n v="113.434"/>
  </r>
  <r>
    <x v="280"/>
    <n v="110.2825"/>
  </r>
  <r>
    <x v="280"/>
    <n v="110.2825"/>
  </r>
  <r>
    <x v="280"/>
    <n v="110.2825"/>
  </r>
  <r>
    <x v="280"/>
    <n v="110.2825"/>
  </r>
  <r>
    <x v="281"/>
    <n v="98.082499999999996"/>
  </r>
  <r>
    <x v="281"/>
    <n v="98.082499999999996"/>
  </r>
  <r>
    <x v="281"/>
    <n v="98.082499999999996"/>
  </r>
  <r>
    <x v="281"/>
    <n v="98.082499999999996"/>
  </r>
  <r>
    <x v="282"/>
    <n v="90.801999999999992"/>
  </r>
  <r>
    <x v="282"/>
    <n v="90.801999999999992"/>
  </r>
  <r>
    <x v="282"/>
    <n v="90.801999999999992"/>
  </r>
  <r>
    <x v="282"/>
    <n v="90.801999999999992"/>
  </r>
  <r>
    <x v="282"/>
    <n v="90.801999999999992"/>
  </r>
  <r>
    <x v="283"/>
    <n v="77.605000000000004"/>
  </r>
  <r>
    <x v="283"/>
    <n v="77.605000000000004"/>
  </r>
  <r>
    <x v="283"/>
    <n v="77.605000000000004"/>
  </r>
  <r>
    <x v="283"/>
    <n v="77.605000000000004"/>
  </r>
  <r>
    <x v="284"/>
    <n v="77.83250000000001"/>
  </r>
  <r>
    <x v="284"/>
    <n v="77.83250000000001"/>
  </r>
  <r>
    <x v="284"/>
    <n v="77.83250000000001"/>
  </r>
  <r>
    <x v="284"/>
    <n v="77.83250000000001"/>
  </r>
  <r>
    <x v="285"/>
    <n v="82.806000000000012"/>
  </r>
  <r>
    <x v="285"/>
    <n v="82.806000000000012"/>
  </r>
  <r>
    <x v="285"/>
    <n v="82.806000000000012"/>
  </r>
  <r>
    <x v="285"/>
    <n v="82.806000000000012"/>
  </r>
  <r>
    <x v="285"/>
    <n v="82.806000000000012"/>
  </r>
  <r>
    <x v="286"/>
    <n v="83.134999999999991"/>
  </r>
  <r>
    <x v="286"/>
    <n v="83.134999999999991"/>
  </r>
  <r>
    <x v="286"/>
    <n v="83.134999999999991"/>
  </r>
  <r>
    <x v="286"/>
    <n v="83.134999999999991"/>
  </r>
  <r>
    <x v="287"/>
    <n v="91.570000000000007"/>
  </r>
  <r>
    <x v="287"/>
    <n v="91.570000000000007"/>
  </r>
  <r>
    <x v="287"/>
    <n v="91.570000000000007"/>
  </r>
  <r>
    <x v="287"/>
    <n v="91.570000000000007"/>
  </r>
  <r>
    <x v="288"/>
    <n v="107.056"/>
  </r>
  <r>
    <x v="288"/>
    <n v="107.056"/>
  </r>
  <r>
    <x v="288"/>
    <n v="107.056"/>
  </r>
  <r>
    <x v="288"/>
    <n v="107.056"/>
  </r>
  <r>
    <x v="288"/>
    <n v="107.056"/>
  </r>
  <r>
    <x v="289"/>
    <n v="108.88"/>
  </r>
  <r>
    <x v="289"/>
    <n v="108.88"/>
  </r>
  <r>
    <x v="289"/>
    <n v="108.88"/>
  </r>
  <r>
    <x v="289"/>
    <n v="108.88"/>
  </r>
  <r>
    <x v="290"/>
    <n v="108.8625"/>
  </r>
  <r>
    <x v="290"/>
    <n v="108.8625"/>
  </r>
  <r>
    <x v="290"/>
    <n v="108.8625"/>
  </r>
  <r>
    <x v="290"/>
    <n v="108.8625"/>
  </r>
  <r>
    <x v="291"/>
    <n v="119.474"/>
  </r>
  <r>
    <x v="291"/>
    <n v="119.474"/>
  </r>
  <r>
    <x v="291"/>
    <n v="119.474"/>
  </r>
  <r>
    <x v="291"/>
    <n v="119.474"/>
  </r>
  <r>
    <x v="291"/>
    <n v="119.474"/>
  </r>
  <r>
    <x v="292"/>
    <n v="116.46250000000001"/>
  </r>
  <r>
    <x v="292"/>
    <n v="116.46250000000001"/>
  </r>
  <r>
    <x v="292"/>
    <n v="116.46250000000001"/>
  </r>
  <r>
    <x v="292"/>
    <n v="116.46250000000001"/>
  </r>
  <r>
    <x v="293"/>
    <n v="85.484999999999999"/>
  </r>
  <r>
    <x v="293"/>
    <n v="85.484999999999999"/>
  </r>
  <r>
    <x v="293"/>
    <n v="85.484999999999999"/>
  </r>
  <r>
    <x v="293"/>
    <n v="85.484999999999999"/>
  </r>
  <r>
    <x v="294"/>
    <n v="80.443999999999988"/>
  </r>
  <r>
    <x v="294"/>
    <n v="80.443999999999988"/>
  </r>
  <r>
    <x v="294"/>
    <n v="80.443999999999988"/>
  </r>
  <r>
    <x v="294"/>
    <n v="80.443999999999988"/>
  </r>
  <r>
    <x v="294"/>
    <n v="80.443999999999988"/>
  </r>
  <r>
    <x v="295"/>
    <n v="78.012500000000003"/>
  </r>
  <r>
    <x v="295"/>
    <n v="78.012500000000003"/>
  </r>
  <r>
    <x v="295"/>
    <n v="78.012500000000003"/>
  </r>
  <r>
    <x v="295"/>
    <n v="78.012500000000003"/>
  </r>
  <r>
    <x v="296"/>
    <n v="72.94"/>
  </r>
  <r>
    <x v="296"/>
    <n v="72.94"/>
  </r>
  <r>
    <x v="296"/>
    <n v="72.94"/>
  </r>
  <r>
    <x v="296"/>
    <n v="72.94"/>
  </r>
  <r>
    <x v="296"/>
    <n v="72.94"/>
  </r>
  <r>
    <x v="297"/>
    <n v="75.715000000000003"/>
  </r>
  <r>
    <x v="297"/>
    <n v="75.715000000000003"/>
  </r>
  <r>
    <x v="297"/>
    <n v="75.715000000000003"/>
  </r>
  <r>
    <x v="297"/>
    <n v="75.715000000000003"/>
  </r>
  <r>
    <x v="298"/>
    <n v="83.847499999999997"/>
  </r>
  <r>
    <x v="298"/>
    <n v="83.847499999999997"/>
  </r>
  <r>
    <x v="298"/>
    <n v="83.847499999999997"/>
  </r>
  <r>
    <x v="298"/>
    <n v="83.847499999999997"/>
  </r>
  <r>
    <x v="299"/>
    <n v="95.542500000000004"/>
  </r>
  <r>
    <x v="299"/>
    <n v="95.542500000000004"/>
  </r>
  <r>
    <x v="299"/>
    <n v="95.542500000000004"/>
  </r>
  <r>
    <x v="299"/>
    <n v="95.542500000000004"/>
  </r>
  <r>
    <x v="300"/>
    <n v="108.226"/>
  </r>
  <r>
    <x v="300"/>
    <n v="108.226"/>
  </r>
  <r>
    <x v="300"/>
    <n v="108.226"/>
  </r>
  <r>
    <x v="300"/>
    <n v="108.226"/>
  </r>
  <r>
    <x v="300"/>
    <n v="108.226"/>
  </r>
  <r>
    <x v="301"/>
    <n v="92.762500000000003"/>
  </r>
  <r>
    <x v="301"/>
    <n v="92.762500000000003"/>
  </r>
  <r>
    <x v="301"/>
    <n v="92.762500000000003"/>
  </r>
  <r>
    <x v="301"/>
    <n v="92.762500000000003"/>
  </r>
  <r>
    <x v="302"/>
    <n v="87.295000000000002"/>
  </r>
  <r>
    <x v="302"/>
    <n v="87.295000000000002"/>
  </r>
  <r>
    <x v="302"/>
    <n v="87.295000000000002"/>
  </r>
  <r>
    <x v="302"/>
    <n v="87.295000000000002"/>
  </r>
  <r>
    <x v="303"/>
    <n v="82.966000000000008"/>
  </r>
  <r>
    <x v="303"/>
    <n v="82.966000000000008"/>
  </r>
  <r>
    <x v="303"/>
    <n v="82.966000000000008"/>
  </r>
  <r>
    <x v="303"/>
    <n v="82.966000000000008"/>
  </r>
  <r>
    <x v="303"/>
    <n v="82.966000000000008"/>
  </r>
  <r>
    <x v="304"/>
    <n v="74.42"/>
  </r>
  <r>
    <x v="304"/>
    <n v="74.42"/>
  </r>
  <r>
    <x v="304"/>
    <n v="74.42"/>
  </r>
  <r>
    <x v="304"/>
    <n v="74.42"/>
  </r>
  <r>
    <x v="305"/>
    <n v="75.055000000000007"/>
  </r>
  <r>
    <x v="305"/>
    <n v="75.055000000000007"/>
  </r>
  <r>
    <x v="305"/>
    <n v="75.055000000000007"/>
  </r>
  <r>
    <x v="305"/>
    <n v="75.055000000000007"/>
  </r>
  <r>
    <x v="306"/>
    <n v="66.275999999999982"/>
  </r>
  <r>
    <x v="306"/>
    <n v="66.275999999999982"/>
  </r>
  <r>
    <x v="306"/>
    <n v="66.275999999999982"/>
  </r>
  <r>
    <x v="306"/>
    <n v="66.275999999999982"/>
  </r>
  <r>
    <x v="306"/>
    <n v="66.275999999999982"/>
  </r>
  <r>
    <x v="307"/>
    <n v="64.355000000000004"/>
  </r>
  <r>
    <x v="307"/>
    <n v="64.355000000000004"/>
  </r>
  <r>
    <x v="307"/>
    <n v="64.355000000000004"/>
  </r>
  <r>
    <x v="307"/>
    <n v="64.355000000000004"/>
  </r>
  <r>
    <x v="308"/>
    <n v="75.625"/>
  </r>
  <r>
    <x v="308"/>
    <n v="75.625"/>
  </r>
  <r>
    <x v="308"/>
    <n v="75.625"/>
  </r>
  <r>
    <x v="308"/>
    <n v="75.625"/>
  </r>
  <r>
    <x v="309"/>
    <n v="77.12"/>
  </r>
  <r>
    <x v="309"/>
    <n v="77.12"/>
  </r>
  <r>
    <x v="309"/>
    <n v="77.12"/>
  </r>
  <r>
    <x v="309"/>
    <n v="77.12"/>
  </r>
  <r>
    <x v="309"/>
    <n v="77.12"/>
  </r>
  <r>
    <x v="310"/>
    <n v="79.09"/>
  </r>
  <r>
    <x v="310"/>
    <n v="79.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115ED3-015C-43A7-A467-47004D1D59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2">
    <format dxfId="35">
      <pivotArea outline="0" collapsedLevelsAreSubtotals="1" fieldPosition="0"/>
    </format>
    <format dxfId="34">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4326B4-6B44-4CDD-B853-DB5422DFE52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D109"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4A2B0F-C563-45B5-A68F-8FBEF450FC3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D4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22B061-07A1-4A67-AA0A-8A4A8B0097F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D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C69385-B635-44F1-863F-D0823FA1627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H3:I315" firstHeaderRow="1" firstDataRow="1" firstDataCol="1"/>
  <pivotFields count="2">
    <pivotField axis="axisRow" showAll="0">
      <items count="313">
        <item m="1" x="3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pivotField>
    <pivotField name="Average salmon export price in each month (NOK/kg)2" dataField="1" numFmtId="169" showAll="0"/>
  </pivotFields>
  <rowFields count="1">
    <field x="0"/>
  </rowFields>
  <rowItems count="31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t="grand">
      <x/>
    </i>
  </rowItems>
  <colItems count="1">
    <i/>
  </colItems>
  <dataFields count="1">
    <dataField name="Average salmon export price in each month (NOK/kg)" fld="1" subtotal="average" baseField="0" baseItem="2" numFmtId="169"/>
  </dataFields>
  <formats count="34">
    <format dxfId="33">
      <pivotArea collapsedLevelsAreSubtotals="1" fieldPosition="0">
        <references count="1">
          <reference field="0" count="0"/>
        </references>
      </pivotArea>
    </format>
    <format dxfId="32">
      <pivotArea type="all" dataOnly="0" outline="0" fieldPosition="0"/>
    </format>
    <format dxfId="31">
      <pivotArea outline="0" collapsedLevelsAreSubtotals="1" fieldPosition="0"/>
    </format>
    <format dxfId="30">
      <pivotArea dataOnly="0" labelOnly="1" fieldPosition="0">
        <references count="1">
          <reference field="0" count="5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format>
    <format dxfId="29">
      <pivotArea dataOnly="0" labelOnly="1" fieldPosition="0">
        <references count="1">
          <reference field="0" count="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reference>
        </references>
      </pivotArea>
    </format>
    <format dxfId="28">
      <pivotArea dataOnly="0" labelOnly="1" fieldPosition="0">
        <references count="1">
          <reference field="0" count="5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reference>
        </references>
      </pivotArea>
    </format>
    <format dxfId="27">
      <pivotArea dataOnly="0" labelOnly="1" fieldPosition="0">
        <references count="1">
          <reference field="0" count="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reference>
        </references>
      </pivotArea>
    </format>
    <format dxfId="26">
      <pivotArea dataOnly="0" labelOnly="1" fieldPosition="0">
        <references count="1">
          <reference field="0" count="5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reference>
        </references>
      </pivotArea>
    </format>
    <format dxfId="25">
      <pivotArea dataOnly="0" labelOnly="1" fieldPosition="0">
        <references count="1">
          <reference field="0" count="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reference>
        </references>
      </pivotArea>
    </format>
    <format dxfId="24">
      <pivotArea dataOnly="0" labelOnly="1" fieldPosition="0">
        <references count="1">
          <reference field="0" count="11">
            <x v="301"/>
            <x v="302"/>
            <x v="303"/>
            <x v="304"/>
            <x v="305"/>
            <x v="306"/>
            <x v="307"/>
            <x v="308"/>
            <x v="309"/>
            <x v="310"/>
            <x v="311"/>
          </reference>
        </references>
      </pivotArea>
    </format>
    <format dxfId="23">
      <pivotArea dataOnly="0" labelOnly="1" grandRow="1" outline="0" fieldPosition="0"/>
    </format>
    <format dxfId="22">
      <pivotArea field="0" type="button" dataOnly="0" labelOnly="1" outline="0" axis="axisRow" fieldPosition="0"/>
    </format>
    <format dxfId="21">
      <pivotArea dataOnly="0" labelOnly="1" outline="0" axis="axisValues" fieldPosition="0"/>
    </format>
    <format dxfId="20">
      <pivotArea field="0" type="button" dataOnly="0" labelOnly="1" outline="0" axis="axisRow" fieldPosition="0"/>
    </format>
    <format dxfId="19">
      <pivotArea dataOnly="0" labelOnly="1" outline="0" axis="axisValues" fieldPosition="0"/>
    </format>
    <format dxfId="18">
      <pivotArea field="0" type="button" dataOnly="0" labelOnly="1" outline="0" axis="axisRow" fieldPosition="0"/>
    </format>
    <format dxfId="17">
      <pivotArea dataOnly="0" labelOnly="1" outline="0" axis="axisValues" fieldPosition="0"/>
    </format>
    <format dxfId="16">
      <pivotArea field="0" type="button" dataOnly="0" labelOnly="1" outline="0" axis="axisRow" fieldPosition="0"/>
    </format>
    <format dxfId="15">
      <pivotArea dataOnly="0" labelOnly="1" outline="0" axis="axisValues" fieldPosition="0"/>
    </format>
    <format dxfId="14">
      <pivotArea field="0" type="button" dataOnly="0" labelOnly="1" outline="0" axis="axisRow" fieldPosition="0"/>
    </format>
    <format dxfId="13">
      <pivotArea dataOnly="0" labelOnly="1" outline="0" axis="axisValues" fieldPosition="0"/>
    </format>
    <format dxfId="12">
      <pivotArea outline="0" collapsedLevelsAreSubtotals="1" fieldPosition="0"/>
    </format>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5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reference>
        </references>
      </pivotArea>
    </format>
    <format dxfId="7">
      <pivotArea dataOnly="0" labelOnly="1" fieldPosition="0">
        <references count="1">
          <reference field="0" count="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reference>
        </references>
      </pivotArea>
    </format>
    <format dxfId="6">
      <pivotArea dataOnly="0" labelOnly="1" fieldPosition="0">
        <references count="1">
          <reference field="0" count="5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reference>
        </references>
      </pivotArea>
    </format>
    <format dxfId="5">
      <pivotArea dataOnly="0" labelOnly="1" fieldPosition="0">
        <references count="1">
          <reference field="0" count="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reference>
        </references>
      </pivotArea>
    </format>
    <format dxfId="4">
      <pivotArea dataOnly="0" labelOnly="1" fieldPosition="0">
        <references count="1">
          <reference field="0" count="5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reference>
        </references>
      </pivotArea>
    </format>
    <format dxfId="3">
      <pivotArea dataOnly="0" labelOnly="1" fieldPosition="0">
        <references count="1">
          <reference field="0" count="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reference>
        </references>
      </pivotArea>
    </format>
    <format dxfId="2">
      <pivotArea dataOnly="0" labelOnly="1" fieldPosition="0">
        <references count="1">
          <reference field="0" count="11">
            <x v="301"/>
            <x v="302"/>
            <x v="303"/>
            <x v="304"/>
            <x v="305"/>
            <x v="306"/>
            <x v="307"/>
            <x v="308"/>
            <x v="309"/>
            <x v="310"/>
            <x v="311"/>
          </reference>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40761214-AAE7-42BB-8292-AA7EE491F86F}" sourceName="Maritial Status">
  <pivotTables>
    <pivotTable tabId="4" name="PivotTable1"/>
    <pivotTable tabId="4" name="PivotTable2"/>
    <pivotTable tabId="4" name="PivotTable3"/>
  </pivotTables>
  <data>
    <tabular pivotCacheId="4134728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DFA2F30-CF74-46F7-83F7-10E747FF9096}" sourceName="Education">
  <pivotTables>
    <pivotTable tabId="4" name="PivotTable1"/>
    <pivotTable tabId="4" name="PivotTable2"/>
    <pivotTable tabId="4" name="PivotTable3"/>
  </pivotTables>
  <data>
    <tabular pivotCacheId="41347283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B316D2-626E-4170-92AE-92682C245C58}" sourceName="Region">
  <pivotTables>
    <pivotTable tabId="4" name="PivotTable1"/>
    <pivotTable tabId="4" name="PivotTable2"/>
    <pivotTable tabId="4" name="PivotTable3"/>
  </pivotTables>
  <data>
    <tabular pivotCacheId="41347283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05B70702-A221-463E-8F5A-E9442AEE4624}" cache="Slicer_Maritial_Status" caption="Maritial Status" startItem="1" rowHeight="241300"/>
  <slicer name="Education" xr10:uid="{0A0E743F-A9E8-4161-9C5D-20CD452734DC}" cache="Slicer_Education" caption="Education" rowHeight="241300"/>
  <slicer name="Region" xr10:uid="{5D663603-3E25-46FD-981F-5793267B2C4F}"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B68B4-5254-40A8-A3C0-4E2F16A39137}">
  <sheetPr>
    <tabColor theme="9"/>
  </sheetPr>
  <dimension ref="A2:O7"/>
  <sheetViews>
    <sheetView showGridLines="0" zoomScaleNormal="100" workbookViewId="0">
      <selection activeCell="AA14" sqref="AA14"/>
    </sheetView>
  </sheetViews>
  <sheetFormatPr defaultRowHeight="15" x14ac:dyDescent="0.25"/>
  <sheetData>
    <row r="2" spans="1:15" x14ac:dyDescent="0.25">
      <c r="A2" s="33" t="s">
        <v>51</v>
      </c>
      <c r="B2" s="34"/>
      <c r="C2" s="34"/>
      <c r="D2" s="34"/>
      <c r="E2" s="34"/>
      <c r="F2" s="34"/>
      <c r="G2" s="34"/>
      <c r="H2" s="34"/>
      <c r="I2" s="34"/>
      <c r="J2" s="34"/>
      <c r="K2" s="34"/>
      <c r="L2" s="34"/>
      <c r="M2" s="34"/>
      <c r="N2" s="34"/>
      <c r="O2" s="34"/>
    </row>
    <row r="3" spans="1:15" x14ac:dyDescent="0.25">
      <c r="A3" s="34"/>
      <c r="B3" s="34"/>
      <c r="C3" s="34"/>
      <c r="D3" s="34"/>
      <c r="E3" s="34"/>
      <c r="F3" s="34"/>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x14ac:dyDescent="0.25">
      <c r="A7" s="7"/>
    </row>
  </sheetData>
  <mergeCells count="1">
    <mergeCell ref="A2: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C9BE0-B3EA-4776-9B0A-D816A885939C}">
  <dimension ref="A1:N1001"/>
  <sheetViews>
    <sheetView workbookViewId="0">
      <selection activeCell="A2" sqref="A2"/>
    </sheetView>
  </sheetViews>
  <sheetFormatPr defaultRowHeight="15" x14ac:dyDescent="0.25"/>
  <cols>
    <col min="1" max="3" width="18.7109375" customWidth="1"/>
    <col min="4" max="4" width="18.7109375" style="2" customWidth="1"/>
    <col min="5" max="14" width="18.7109375" customWidth="1"/>
  </cols>
  <sheetData>
    <row r="1" spans="1:14" x14ac:dyDescent="0.25">
      <c r="A1" t="s">
        <v>0</v>
      </c>
      <c r="B1" t="s">
        <v>41</v>
      </c>
      <c r="C1" t="s">
        <v>2</v>
      </c>
      <c r="D1" s="2" t="s">
        <v>3</v>
      </c>
      <c r="E1" t="s">
        <v>4</v>
      </c>
      <c r="F1" t="s">
        <v>5</v>
      </c>
      <c r="G1" t="s">
        <v>6</v>
      </c>
      <c r="H1" t="s">
        <v>7</v>
      </c>
      <c r="I1" t="s">
        <v>8</v>
      </c>
      <c r="J1" t="s">
        <v>9</v>
      </c>
      <c r="K1" t="s">
        <v>10</v>
      </c>
      <c r="L1" t="s">
        <v>11</v>
      </c>
      <c r="M1" t="s">
        <v>40</v>
      </c>
      <c r="N1" t="s">
        <v>12</v>
      </c>
    </row>
    <row r="2" spans="1:14" x14ac:dyDescent="0.25">
      <c r="A2">
        <v>12496</v>
      </c>
      <c r="B2" t="s">
        <v>36</v>
      </c>
      <c r="C2" t="s">
        <v>38</v>
      </c>
      <c r="D2" s="32">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32">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32">
        <v>80000</v>
      </c>
      <c r="E4">
        <v>5</v>
      </c>
      <c r="F4" t="s">
        <v>19</v>
      </c>
      <c r="G4" t="s">
        <v>21</v>
      </c>
      <c r="H4" t="s">
        <v>18</v>
      </c>
      <c r="I4">
        <v>2</v>
      </c>
      <c r="J4" t="s">
        <v>22</v>
      </c>
      <c r="K4" t="s">
        <v>17</v>
      </c>
      <c r="L4">
        <v>60</v>
      </c>
      <c r="M4" t="str">
        <f t="shared" si="0"/>
        <v>Old</v>
      </c>
      <c r="N4" t="s">
        <v>18</v>
      </c>
    </row>
    <row r="5" spans="1:14" x14ac:dyDescent="0.25">
      <c r="A5">
        <v>24381</v>
      </c>
      <c r="B5" t="s">
        <v>37</v>
      </c>
      <c r="C5" t="s">
        <v>39</v>
      </c>
      <c r="D5" s="32">
        <v>70000</v>
      </c>
      <c r="E5">
        <v>0</v>
      </c>
      <c r="F5" t="s">
        <v>13</v>
      </c>
      <c r="G5" t="s">
        <v>21</v>
      </c>
      <c r="H5" t="s">
        <v>15</v>
      </c>
      <c r="I5">
        <v>1</v>
      </c>
      <c r="J5" t="s">
        <v>23</v>
      </c>
      <c r="K5" t="s">
        <v>24</v>
      </c>
      <c r="L5">
        <v>41</v>
      </c>
      <c r="M5" t="str">
        <f t="shared" si="0"/>
        <v>Middle Age</v>
      </c>
      <c r="N5" t="s">
        <v>15</v>
      </c>
    </row>
    <row r="6" spans="1:14" x14ac:dyDescent="0.25">
      <c r="A6">
        <v>25597</v>
      </c>
      <c r="B6" t="s">
        <v>37</v>
      </c>
      <c r="C6" t="s">
        <v>39</v>
      </c>
      <c r="D6" s="32">
        <v>30000</v>
      </c>
      <c r="E6">
        <v>0</v>
      </c>
      <c r="F6" t="s">
        <v>13</v>
      </c>
      <c r="G6" t="s">
        <v>20</v>
      </c>
      <c r="H6" t="s">
        <v>18</v>
      </c>
      <c r="I6">
        <v>0</v>
      </c>
      <c r="J6" t="s">
        <v>16</v>
      </c>
      <c r="K6" t="s">
        <v>17</v>
      </c>
      <c r="L6">
        <v>36</v>
      </c>
      <c r="M6" t="str">
        <f t="shared" si="0"/>
        <v>Middle Age</v>
      </c>
      <c r="N6" t="s">
        <v>15</v>
      </c>
    </row>
    <row r="7" spans="1:14" x14ac:dyDescent="0.25">
      <c r="A7">
        <v>13507</v>
      </c>
      <c r="B7" t="s">
        <v>36</v>
      </c>
      <c r="C7" t="s">
        <v>38</v>
      </c>
      <c r="D7" s="32">
        <v>10000</v>
      </c>
      <c r="E7">
        <v>2</v>
      </c>
      <c r="F7" t="s">
        <v>19</v>
      </c>
      <c r="G7" t="s">
        <v>25</v>
      </c>
      <c r="H7" t="s">
        <v>15</v>
      </c>
      <c r="I7">
        <v>0</v>
      </c>
      <c r="J7" t="s">
        <v>26</v>
      </c>
      <c r="K7" t="s">
        <v>17</v>
      </c>
      <c r="L7">
        <v>50</v>
      </c>
      <c r="M7" t="str">
        <f t="shared" si="0"/>
        <v>Middle Age</v>
      </c>
      <c r="N7" t="s">
        <v>18</v>
      </c>
    </row>
    <row r="8" spans="1:14" x14ac:dyDescent="0.25">
      <c r="A8">
        <v>27974</v>
      </c>
      <c r="B8" t="s">
        <v>37</v>
      </c>
      <c r="C8" t="s">
        <v>39</v>
      </c>
      <c r="D8" s="32">
        <v>160000</v>
      </c>
      <c r="E8">
        <v>2</v>
      </c>
      <c r="F8" t="s">
        <v>27</v>
      </c>
      <c r="G8" t="s">
        <v>28</v>
      </c>
      <c r="H8" t="s">
        <v>15</v>
      </c>
      <c r="I8">
        <v>4</v>
      </c>
      <c r="J8" t="s">
        <v>16</v>
      </c>
      <c r="K8" t="s">
        <v>24</v>
      </c>
      <c r="L8">
        <v>33</v>
      </c>
      <c r="M8" t="str">
        <f t="shared" si="0"/>
        <v>Middle Age</v>
      </c>
      <c r="N8" t="s">
        <v>15</v>
      </c>
    </row>
    <row r="9" spans="1:14" x14ac:dyDescent="0.25">
      <c r="A9">
        <v>19364</v>
      </c>
      <c r="B9" t="s">
        <v>36</v>
      </c>
      <c r="C9" t="s">
        <v>39</v>
      </c>
      <c r="D9" s="32">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2">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2">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2">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2">
        <v>90000</v>
      </c>
      <c r="E13">
        <v>0</v>
      </c>
      <c r="F13" t="s">
        <v>13</v>
      </c>
      <c r="G13" t="s">
        <v>21</v>
      </c>
      <c r="H13" t="s">
        <v>18</v>
      </c>
      <c r="I13">
        <v>4</v>
      </c>
      <c r="J13" t="s">
        <v>50</v>
      </c>
      <c r="K13" t="s">
        <v>24</v>
      </c>
      <c r="L13">
        <v>36</v>
      </c>
      <c r="M13" t="str">
        <f t="shared" si="0"/>
        <v>Middle Age</v>
      </c>
      <c r="N13" t="s">
        <v>18</v>
      </c>
    </row>
    <row r="14" spans="1:14" x14ac:dyDescent="0.25">
      <c r="A14">
        <v>11434</v>
      </c>
      <c r="B14" t="s">
        <v>36</v>
      </c>
      <c r="C14" t="s">
        <v>39</v>
      </c>
      <c r="D14" s="32">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2">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2">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2">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2">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2">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2">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2">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2">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2">
        <v>80000</v>
      </c>
      <c r="E23">
        <v>0</v>
      </c>
      <c r="F23" t="s">
        <v>13</v>
      </c>
      <c r="G23" t="s">
        <v>21</v>
      </c>
      <c r="H23" t="s">
        <v>15</v>
      </c>
      <c r="I23">
        <v>4</v>
      </c>
      <c r="J23" t="s">
        <v>50</v>
      </c>
      <c r="K23" t="s">
        <v>24</v>
      </c>
      <c r="L23">
        <v>35</v>
      </c>
      <c r="M23" t="str">
        <f t="shared" si="0"/>
        <v>Middle Age</v>
      </c>
      <c r="N23" t="s">
        <v>18</v>
      </c>
    </row>
    <row r="24" spans="1:14" x14ac:dyDescent="0.25">
      <c r="A24">
        <v>19193</v>
      </c>
      <c r="B24" t="s">
        <v>37</v>
      </c>
      <c r="C24" t="s">
        <v>39</v>
      </c>
      <c r="D24" s="32">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2">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2">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2">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2">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2">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2">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2">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2">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2">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2">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2">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2">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2">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2">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2">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2">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2">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2">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2">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2">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2">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2">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2">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2">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2">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2">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2">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2">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2">
        <v>80000</v>
      </c>
      <c r="E53">
        <v>0</v>
      </c>
      <c r="F53" t="s">
        <v>13</v>
      </c>
      <c r="G53" t="s">
        <v>21</v>
      </c>
      <c r="H53" t="s">
        <v>18</v>
      </c>
      <c r="I53">
        <v>4</v>
      </c>
      <c r="J53" t="s">
        <v>50</v>
      </c>
      <c r="K53" t="s">
        <v>24</v>
      </c>
      <c r="L53">
        <v>35</v>
      </c>
      <c r="M53" t="str">
        <f t="shared" si="0"/>
        <v>Middle Age</v>
      </c>
      <c r="N53" t="s">
        <v>18</v>
      </c>
    </row>
    <row r="54" spans="1:14" x14ac:dyDescent="0.25">
      <c r="A54">
        <v>12558</v>
      </c>
      <c r="B54" t="s">
        <v>36</v>
      </c>
      <c r="C54" t="s">
        <v>38</v>
      </c>
      <c r="D54" s="32">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2">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2">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2">
        <v>80000</v>
      </c>
      <c r="E57">
        <v>4</v>
      </c>
      <c r="F57" t="s">
        <v>27</v>
      </c>
      <c r="G57" t="s">
        <v>21</v>
      </c>
      <c r="H57" t="s">
        <v>15</v>
      </c>
      <c r="I57">
        <v>2</v>
      </c>
      <c r="J57" t="s">
        <v>50</v>
      </c>
      <c r="K57" t="s">
        <v>17</v>
      </c>
      <c r="L57">
        <v>54</v>
      </c>
      <c r="M57" t="str">
        <f t="shared" si="0"/>
        <v>Middle Age</v>
      </c>
      <c r="N57" t="s">
        <v>18</v>
      </c>
    </row>
    <row r="58" spans="1:14" x14ac:dyDescent="0.25">
      <c r="A58">
        <v>12808</v>
      </c>
      <c r="B58" t="s">
        <v>36</v>
      </c>
      <c r="C58" t="s">
        <v>39</v>
      </c>
      <c r="D58" s="32">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2">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2">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2">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2">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2">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2">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2">
        <v>60000</v>
      </c>
      <c r="E65">
        <v>4</v>
      </c>
      <c r="F65" t="s">
        <v>13</v>
      </c>
      <c r="G65" t="s">
        <v>21</v>
      </c>
      <c r="H65" t="s">
        <v>15</v>
      </c>
      <c r="I65">
        <v>3</v>
      </c>
      <c r="J65" t="s">
        <v>50</v>
      </c>
      <c r="K65" t="s">
        <v>24</v>
      </c>
      <c r="L65">
        <v>41</v>
      </c>
      <c r="M65" t="str">
        <f t="shared" si="0"/>
        <v>Middle Age</v>
      </c>
      <c r="N65" t="s">
        <v>18</v>
      </c>
    </row>
    <row r="66" spans="1:14" x14ac:dyDescent="0.25">
      <c r="A66">
        <v>14927</v>
      </c>
      <c r="B66" t="s">
        <v>36</v>
      </c>
      <c r="C66" t="s">
        <v>38</v>
      </c>
      <c r="D66" s="32">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2">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32">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2">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2">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2">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2">
        <v>120000</v>
      </c>
      <c r="E72">
        <v>0</v>
      </c>
      <c r="F72" t="s">
        <v>29</v>
      </c>
      <c r="G72" t="s">
        <v>21</v>
      </c>
      <c r="H72" t="s">
        <v>15</v>
      </c>
      <c r="I72">
        <v>4</v>
      </c>
      <c r="J72" t="s">
        <v>50</v>
      </c>
      <c r="K72" t="s">
        <v>24</v>
      </c>
      <c r="L72">
        <v>36</v>
      </c>
      <c r="M72" t="str">
        <f t="shared" si="1"/>
        <v>Middle Age</v>
      </c>
      <c r="N72" t="s">
        <v>15</v>
      </c>
    </row>
    <row r="73" spans="1:14" x14ac:dyDescent="0.25">
      <c r="A73">
        <v>16200</v>
      </c>
      <c r="B73" t="s">
        <v>37</v>
      </c>
      <c r="C73" t="s">
        <v>38</v>
      </c>
      <c r="D73" s="32">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2">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2">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2">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2">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2">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2">
        <v>80000</v>
      </c>
      <c r="E79">
        <v>0</v>
      </c>
      <c r="F79" t="s">
        <v>13</v>
      </c>
      <c r="G79" t="s">
        <v>21</v>
      </c>
      <c r="H79" t="s">
        <v>15</v>
      </c>
      <c r="I79">
        <v>2</v>
      </c>
      <c r="J79" t="s">
        <v>50</v>
      </c>
      <c r="K79" t="s">
        <v>24</v>
      </c>
      <c r="L79">
        <v>29</v>
      </c>
      <c r="M79" t="str">
        <f t="shared" si="1"/>
        <v>Adolescent</v>
      </c>
      <c r="N79" t="s">
        <v>15</v>
      </c>
    </row>
    <row r="80" spans="1:14" x14ac:dyDescent="0.25">
      <c r="A80">
        <v>15752</v>
      </c>
      <c r="B80" t="s">
        <v>36</v>
      </c>
      <c r="C80" t="s">
        <v>39</v>
      </c>
      <c r="D80" s="32">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2">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2">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2">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2">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2">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2">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2">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2">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2">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2">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2">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2">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2">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2">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2">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2">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2">
        <v>90000</v>
      </c>
      <c r="E97">
        <v>5</v>
      </c>
      <c r="F97" t="s">
        <v>19</v>
      </c>
      <c r="G97" t="s">
        <v>21</v>
      </c>
      <c r="H97" t="s">
        <v>15</v>
      </c>
      <c r="I97">
        <v>2</v>
      </c>
      <c r="J97" t="s">
        <v>50</v>
      </c>
      <c r="K97" t="s">
        <v>17</v>
      </c>
      <c r="L97">
        <v>62</v>
      </c>
      <c r="M97" t="str">
        <f t="shared" si="1"/>
        <v>Old</v>
      </c>
      <c r="N97" t="s">
        <v>18</v>
      </c>
    </row>
    <row r="98" spans="1:14" x14ac:dyDescent="0.25">
      <c r="A98">
        <v>12507</v>
      </c>
      <c r="B98" t="s">
        <v>36</v>
      </c>
      <c r="C98" t="s">
        <v>39</v>
      </c>
      <c r="D98" s="32">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2">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2">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2">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2">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2">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2">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2">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2">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2">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2">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2">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2">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2">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2">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2">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2">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2">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2">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2">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2">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2">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2">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2">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2">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2">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2">
        <v>80000</v>
      </c>
      <c r="E124">
        <v>0</v>
      </c>
      <c r="F124" t="s">
        <v>13</v>
      </c>
      <c r="G124" t="s">
        <v>21</v>
      </c>
      <c r="H124" t="s">
        <v>18</v>
      </c>
      <c r="I124">
        <v>3</v>
      </c>
      <c r="J124" t="s">
        <v>50</v>
      </c>
      <c r="K124" t="s">
        <v>24</v>
      </c>
      <c r="L124">
        <v>31</v>
      </c>
      <c r="M124" t="str">
        <f t="shared" si="1"/>
        <v>Middle Age</v>
      </c>
      <c r="N124" t="s">
        <v>18</v>
      </c>
    </row>
    <row r="125" spans="1:14" x14ac:dyDescent="0.25">
      <c r="A125">
        <v>23627</v>
      </c>
      <c r="B125" t="s">
        <v>37</v>
      </c>
      <c r="C125" t="s">
        <v>38</v>
      </c>
      <c r="D125" s="32">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2">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2">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2">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2">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2">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2">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32">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2">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2">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2">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2">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2">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2">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2">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2">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2">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2">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2">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2">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2">
        <v>80000</v>
      </c>
      <c r="E145">
        <v>0</v>
      </c>
      <c r="F145" t="s">
        <v>13</v>
      </c>
      <c r="G145" t="s">
        <v>21</v>
      </c>
      <c r="H145" t="s">
        <v>15</v>
      </c>
      <c r="I145">
        <v>3</v>
      </c>
      <c r="J145" t="s">
        <v>50</v>
      </c>
      <c r="K145" t="s">
        <v>24</v>
      </c>
      <c r="L145">
        <v>32</v>
      </c>
      <c r="M145" t="str">
        <f t="shared" si="2"/>
        <v>Middle Age</v>
      </c>
      <c r="N145" t="s">
        <v>18</v>
      </c>
    </row>
    <row r="146" spans="1:14" x14ac:dyDescent="0.25">
      <c r="A146">
        <v>20877</v>
      </c>
      <c r="B146" t="s">
        <v>37</v>
      </c>
      <c r="C146" t="s">
        <v>39</v>
      </c>
      <c r="D146" s="32">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2">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2">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2">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2">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2">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2">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2">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2">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2">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2">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2">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2">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2">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2">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2">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2">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2">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2">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2">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2">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2">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2">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2">
        <v>100000</v>
      </c>
      <c r="E169">
        <v>0</v>
      </c>
      <c r="F169" t="s">
        <v>27</v>
      </c>
      <c r="G169" t="s">
        <v>28</v>
      </c>
      <c r="H169" t="s">
        <v>15</v>
      </c>
      <c r="I169">
        <v>3</v>
      </c>
      <c r="J169" t="s">
        <v>50</v>
      </c>
      <c r="K169" t="s">
        <v>24</v>
      </c>
      <c r="L169">
        <v>35</v>
      </c>
      <c r="M169" t="str">
        <f t="shared" si="2"/>
        <v>Middle Age</v>
      </c>
      <c r="N169" t="s">
        <v>18</v>
      </c>
    </row>
    <row r="170" spans="1:14" x14ac:dyDescent="0.25">
      <c r="A170">
        <v>14058</v>
      </c>
      <c r="B170" t="s">
        <v>37</v>
      </c>
      <c r="C170" t="s">
        <v>39</v>
      </c>
      <c r="D170" s="32">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2">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2">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2">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2">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2">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2">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2">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2">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2">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2">
        <v>160000</v>
      </c>
      <c r="E180">
        <v>4</v>
      </c>
      <c r="F180" t="s">
        <v>19</v>
      </c>
      <c r="G180" t="s">
        <v>21</v>
      </c>
      <c r="H180" t="s">
        <v>18</v>
      </c>
      <c r="I180">
        <v>2</v>
      </c>
      <c r="J180" t="s">
        <v>50</v>
      </c>
      <c r="K180" t="s">
        <v>17</v>
      </c>
      <c r="L180">
        <v>55</v>
      </c>
      <c r="M180" t="str">
        <f t="shared" si="2"/>
        <v>Old</v>
      </c>
      <c r="N180" t="s">
        <v>15</v>
      </c>
    </row>
    <row r="181" spans="1:14" x14ac:dyDescent="0.25">
      <c r="A181">
        <v>12212</v>
      </c>
      <c r="B181" t="s">
        <v>36</v>
      </c>
      <c r="C181" t="s">
        <v>38</v>
      </c>
      <c r="D181" s="32">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2">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2">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2">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2">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2">
        <v>130000</v>
      </c>
      <c r="E186">
        <v>4</v>
      </c>
      <c r="F186" t="s">
        <v>27</v>
      </c>
      <c r="G186" t="s">
        <v>28</v>
      </c>
      <c r="H186" t="s">
        <v>18</v>
      </c>
      <c r="I186">
        <v>4</v>
      </c>
      <c r="J186" t="s">
        <v>50</v>
      </c>
      <c r="K186" t="s">
        <v>17</v>
      </c>
      <c r="L186">
        <v>58</v>
      </c>
      <c r="M186" t="str">
        <f t="shared" si="2"/>
        <v>Old</v>
      </c>
      <c r="N186" t="s">
        <v>18</v>
      </c>
    </row>
    <row r="187" spans="1:14" x14ac:dyDescent="0.25">
      <c r="A187">
        <v>15799</v>
      </c>
      <c r="B187" t="s">
        <v>36</v>
      </c>
      <c r="C187" t="s">
        <v>38</v>
      </c>
      <c r="D187" s="32">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2">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2">
        <v>80000</v>
      </c>
      <c r="E189">
        <v>5</v>
      </c>
      <c r="F189" t="s">
        <v>19</v>
      </c>
      <c r="G189" t="s">
        <v>21</v>
      </c>
      <c r="H189" t="s">
        <v>18</v>
      </c>
      <c r="I189">
        <v>2</v>
      </c>
      <c r="J189" t="s">
        <v>50</v>
      </c>
      <c r="K189" t="s">
        <v>17</v>
      </c>
      <c r="L189">
        <v>59</v>
      </c>
      <c r="M189" t="str">
        <f t="shared" si="2"/>
        <v>Old</v>
      </c>
      <c r="N189" t="s">
        <v>18</v>
      </c>
    </row>
    <row r="190" spans="1:14" x14ac:dyDescent="0.25">
      <c r="A190">
        <v>20606</v>
      </c>
      <c r="B190" t="s">
        <v>36</v>
      </c>
      <c r="C190" t="s">
        <v>38</v>
      </c>
      <c r="D190" s="32">
        <v>70000</v>
      </c>
      <c r="E190">
        <v>0</v>
      </c>
      <c r="F190" t="s">
        <v>13</v>
      </c>
      <c r="G190" t="s">
        <v>21</v>
      </c>
      <c r="H190" t="s">
        <v>15</v>
      </c>
      <c r="I190">
        <v>4</v>
      </c>
      <c r="J190" t="s">
        <v>50</v>
      </c>
      <c r="K190" t="s">
        <v>24</v>
      </c>
      <c r="L190">
        <v>32</v>
      </c>
      <c r="M190" t="str">
        <f t="shared" si="2"/>
        <v>Middle Age</v>
      </c>
      <c r="N190" t="s">
        <v>15</v>
      </c>
    </row>
    <row r="191" spans="1:14" x14ac:dyDescent="0.25">
      <c r="A191">
        <v>19482</v>
      </c>
      <c r="B191" t="s">
        <v>36</v>
      </c>
      <c r="C191" t="s">
        <v>39</v>
      </c>
      <c r="D191" s="32">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2">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2">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2">
        <v>80000</v>
      </c>
      <c r="E194">
        <v>5</v>
      </c>
      <c r="F194" t="s">
        <v>13</v>
      </c>
      <c r="G194" t="s">
        <v>28</v>
      </c>
      <c r="H194" t="s">
        <v>15</v>
      </c>
      <c r="I194">
        <v>2</v>
      </c>
      <c r="J194" t="s">
        <v>50</v>
      </c>
      <c r="K194" t="s">
        <v>17</v>
      </c>
      <c r="L194">
        <v>62</v>
      </c>
      <c r="M194" t="str">
        <f t="shared" si="2"/>
        <v>Old</v>
      </c>
      <c r="N194" t="s">
        <v>18</v>
      </c>
    </row>
    <row r="195" spans="1:14" x14ac:dyDescent="0.25">
      <c r="A195">
        <v>26032</v>
      </c>
      <c r="B195" t="s">
        <v>36</v>
      </c>
      <c r="C195" t="s">
        <v>38</v>
      </c>
      <c r="D195" s="32">
        <v>70000</v>
      </c>
      <c r="E195">
        <v>5</v>
      </c>
      <c r="F195" t="s">
        <v>13</v>
      </c>
      <c r="G195" t="s">
        <v>21</v>
      </c>
      <c r="H195" t="s">
        <v>15</v>
      </c>
      <c r="I195">
        <v>4</v>
      </c>
      <c r="J195" t="s">
        <v>50</v>
      </c>
      <c r="K195" t="s">
        <v>24</v>
      </c>
      <c r="L195">
        <v>41</v>
      </c>
      <c r="M195" t="str">
        <f t="shared" ref="M195:M258" si="3">IF(L195&gt;54,"Old",IF(L195&gt;=31,"Middle Age",IF(L195&lt;31,"Adolescent","Invalid")))</f>
        <v>Middle Age</v>
      </c>
      <c r="N195" t="s">
        <v>18</v>
      </c>
    </row>
    <row r="196" spans="1:14" x14ac:dyDescent="0.25">
      <c r="A196">
        <v>17843</v>
      </c>
      <c r="B196" t="s">
        <v>37</v>
      </c>
      <c r="C196" t="s">
        <v>38</v>
      </c>
      <c r="D196" s="32">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2">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2">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2">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2">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2">
        <v>80000</v>
      </c>
      <c r="E201">
        <v>0</v>
      </c>
      <c r="F201" t="s">
        <v>13</v>
      </c>
      <c r="G201" t="s">
        <v>21</v>
      </c>
      <c r="H201" t="s">
        <v>18</v>
      </c>
      <c r="I201">
        <v>3</v>
      </c>
      <c r="J201" t="s">
        <v>50</v>
      </c>
      <c r="K201" t="s">
        <v>24</v>
      </c>
      <c r="L201">
        <v>33</v>
      </c>
      <c r="M201" t="str">
        <f t="shared" si="3"/>
        <v>Middle Age</v>
      </c>
      <c r="N201" t="s">
        <v>15</v>
      </c>
    </row>
    <row r="202" spans="1:14" x14ac:dyDescent="0.25">
      <c r="A202">
        <v>24584</v>
      </c>
      <c r="B202" t="s">
        <v>37</v>
      </c>
      <c r="C202" t="s">
        <v>39</v>
      </c>
      <c r="D202" s="32">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2">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2">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2">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2">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2">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2">
        <v>90000</v>
      </c>
      <c r="E208">
        <v>5</v>
      </c>
      <c r="F208" t="s">
        <v>19</v>
      </c>
      <c r="G208" t="s">
        <v>21</v>
      </c>
      <c r="H208" t="s">
        <v>18</v>
      </c>
      <c r="I208">
        <v>2</v>
      </c>
      <c r="J208" t="s">
        <v>50</v>
      </c>
      <c r="K208" t="s">
        <v>17</v>
      </c>
      <c r="L208">
        <v>62</v>
      </c>
      <c r="M208" t="str">
        <f t="shared" si="3"/>
        <v>Old</v>
      </c>
      <c r="N208" t="s">
        <v>18</v>
      </c>
    </row>
    <row r="209" spans="1:14" x14ac:dyDescent="0.25">
      <c r="A209">
        <v>28729</v>
      </c>
      <c r="B209" t="s">
        <v>37</v>
      </c>
      <c r="C209" t="s">
        <v>38</v>
      </c>
      <c r="D209" s="32">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2">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2">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2">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2">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2">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2">
        <v>70000</v>
      </c>
      <c r="E215">
        <v>0</v>
      </c>
      <c r="F215" t="s">
        <v>13</v>
      </c>
      <c r="G215" t="s">
        <v>21</v>
      </c>
      <c r="H215" t="s">
        <v>18</v>
      </c>
      <c r="I215">
        <v>4</v>
      </c>
      <c r="J215" t="s">
        <v>50</v>
      </c>
      <c r="K215" t="s">
        <v>24</v>
      </c>
      <c r="L215">
        <v>31</v>
      </c>
      <c r="M215" t="str">
        <f t="shared" si="3"/>
        <v>Middle Age</v>
      </c>
      <c r="N215" t="s">
        <v>15</v>
      </c>
    </row>
    <row r="216" spans="1:14" x14ac:dyDescent="0.25">
      <c r="A216">
        <v>25553</v>
      </c>
      <c r="B216" t="s">
        <v>36</v>
      </c>
      <c r="C216" t="s">
        <v>39</v>
      </c>
      <c r="D216" s="32">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2">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2">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2">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2">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2">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2">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2">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2">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2">
        <v>70000</v>
      </c>
      <c r="E225">
        <v>5</v>
      </c>
      <c r="F225" t="s">
        <v>13</v>
      </c>
      <c r="G225" t="s">
        <v>21</v>
      </c>
      <c r="H225" t="s">
        <v>15</v>
      </c>
      <c r="I225">
        <v>4</v>
      </c>
      <c r="J225" t="s">
        <v>50</v>
      </c>
      <c r="K225" t="s">
        <v>24</v>
      </c>
      <c r="L225">
        <v>39</v>
      </c>
      <c r="M225" t="str">
        <f t="shared" si="3"/>
        <v>Middle Age</v>
      </c>
      <c r="N225" t="s">
        <v>18</v>
      </c>
    </row>
    <row r="226" spans="1:14" x14ac:dyDescent="0.25">
      <c r="A226">
        <v>19650</v>
      </c>
      <c r="B226" t="s">
        <v>36</v>
      </c>
      <c r="C226" t="s">
        <v>38</v>
      </c>
      <c r="D226" s="32">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2">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2">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2">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2">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2">
        <v>80000</v>
      </c>
      <c r="E231">
        <v>5</v>
      </c>
      <c r="F231" t="s">
        <v>27</v>
      </c>
      <c r="G231" t="s">
        <v>28</v>
      </c>
      <c r="H231" t="s">
        <v>15</v>
      </c>
      <c r="I231">
        <v>3</v>
      </c>
      <c r="J231" t="s">
        <v>50</v>
      </c>
      <c r="K231" t="s">
        <v>17</v>
      </c>
      <c r="L231">
        <v>57</v>
      </c>
      <c r="M231" t="str">
        <f t="shared" si="3"/>
        <v>Old</v>
      </c>
      <c r="N231" t="s">
        <v>18</v>
      </c>
    </row>
    <row r="232" spans="1:14" x14ac:dyDescent="0.25">
      <c r="A232">
        <v>22830</v>
      </c>
      <c r="B232" t="s">
        <v>36</v>
      </c>
      <c r="C232" t="s">
        <v>39</v>
      </c>
      <c r="D232" s="32">
        <v>120000</v>
      </c>
      <c r="E232">
        <v>4</v>
      </c>
      <c r="F232" t="s">
        <v>19</v>
      </c>
      <c r="G232" t="s">
        <v>28</v>
      </c>
      <c r="H232" t="s">
        <v>15</v>
      </c>
      <c r="I232">
        <v>3</v>
      </c>
      <c r="J232" t="s">
        <v>50</v>
      </c>
      <c r="K232" t="s">
        <v>17</v>
      </c>
      <c r="L232">
        <v>56</v>
      </c>
      <c r="M232" t="str">
        <f t="shared" si="3"/>
        <v>Old</v>
      </c>
      <c r="N232" t="s">
        <v>18</v>
      </c>
    </row>
    <row r="233" spans="1:14" x14ac:dyDescent="0.25">
      <c r="A233">
        <v>14777</v>
      </c>
      <c r="B233" t="s">
        <v>36</v>
      </c>
      <c r="C233" t="s">
        <v>38</v>
      </c>
      <c r="D233" s="32">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2">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2">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2">
        <v>90000</v>
      </c>
      <c r="E236">
        <v>0</v>
      </c>
      <c r="F236" t="s">
        <v>13</v>
      </c>
      <c r="G236" t="s">
        <v>21</v>
      </c>
      <c r="H236" t="s">
        <v>18</v>
      </c>
      <c r="I236">
        <v>4</v>
      </c>
      <c r="J236" t="s">
        <v>50</v>
      </c>
      <c r="K236" t="s">
        <v>24</v>
      </c>
      <c r="L236">
        <v>35</v>
      </c>
      <c r="M236" t="str">
        <f t="shared" si="3"/>
        <v>Middle Age</v>
      </c>
      <c r="N236" t="s">
        <v>15</v>
      </c>
    </row>
    <row r="237" spans="1:14" x14ac:dyDescent="0.25">
      <c r="A237">
        <v>11340</v>
      </c>
      <c r="B237" t="s">
        <v>36</v>
      </c>
      <c r="C237" t="s">
        <v>38</v>
      </c>
      <c r="D237" s="32">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2">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2">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2">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2">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2">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2">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2">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2">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2">
        <v>120000</v>
      </c>
      <c r="E246">
        <v>3</v>
      </c>
      <c r="F246" t="s">
        <v>13</v>
      </c>
      <c r="G246" t="s">
        <v>28</v>
      </c>
      <c r="H246" t="s">
        <v>18</v>
      </c>
      <c r="I246">
        <v>2</v>
      </c>
      <c r="J246" t="s">
        <v>50</v>
      </c>
      <c r="K246" t="s">
        <v>17</v>
      </c>
      <c r="L246">
        <v>52</v>
      </c>
      <c r="M246" t="str">
        <f t="shared" si="3"/>
        <v>Middle Age</v>
      </c>
      <c r="N246" t="s">
        <v>15</v>
      </c>
    </row>
    <row r="247" spans="1:14" x14ac:dyDescent="0.25">
      <c r="A247">
        <v>18494</v>
      </c>
      <c r="B247" t="s">
        <v>36</v>
      </c>
      <c r="C247" t="s">
        <v>39</v>
      </c>
      <c r="D247" s="32">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2">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2">
        <v>100000</v>
      </c>
      <c r="E249">
        <v>0</v>
      </c>
      <c r="F249" t="s">
        <v>27</v>
      </c>
      <c r="G249" t="s">
        <v>28</v>
      </c>
      <c r="H249" t="s">
        <v>15</v>
      </c>
      <c r="I249">
        <v>4</v>
      </c>
      <c r="J249" t="s">
        <v>50</v>
      </c>
      <c r="K249" t="s">
        <v>24</v>
      </c>
      <c r="L249">
        <v>34</v>
      </c>
      <c r="M249" t="str">
        <f t="shared" si="3"/>
        <v>Middle Age</v>
      </c>
      <c r="N249" t="s">
        <v>15</v>
      </c>
    </row>
    <row r="250" spans="1:14" x14ac:dyDescent="0.25">
      <c r="A250">
        <v>13981</v>
      </c>
      <c r="B250" t="s">
        <v>36</v>
      </c>
      <c r="C250" t="s">
        <v>38</v>
      </c>
      <c r="D250" s="32">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2">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2">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2">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2">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2">
        <v>100000</v>
      </c>
      <c r="E255">
        <v>3</v>
      </c>
      <c r="F255" t="s">
        <v>29</v>
      </c>
      <c r="G255" t="s">
        <v>21</v>
      </c>
      <c r="H255" t="s">
        <v>15</v>
      </c>
      <c r="I255">
        <v>0</v>
      </c>
      <c r="J255" t="s">
        <v>50</v>
      </c>
      <c r="K255" t="s">
        <v>17</v>
      </c>
      <c r="L255">
        <v>59</v>
      </c>
      <c r="M255" t="str">
        <f t="shared" si="3"/>
        <v>Old</v>
      </c>
      <c r="N255" t="s">
        <v>15</v>
      </c>
    </row>
    <row r="256" spans="1:14" x14ac:dyDescent="0.25">
      <c r="A256">
        <v>21375</v>
      </c>
      <c r="B256" t="s">
        <v>37</v>
      </c>
      <c r="C256" t="s">
        <v>39</v>
      </c>
      <c r="D256" s="32">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2">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2">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2">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32">
        <v>100000</v>
      </c>
      <c r="E260">
        <v>3</v>
      </c>
      <c r="F260" t="s">
        <v>19</v>
      </c>
      <c r="G260" t="s">
        <v>28</v>
      </c>
      <c r="H260" t="s">
        <v>15</v>
      </c>
      <c r="I260">
        <v>4</v>
      </c>
      <c r="J260" t="s">
        <v>50</v>
      </c>
      <c r="K260" t="s">
        <v>17</v>
      </c>
      <c r="L260">
        <v>56</v>
      </c>
      <c r="M260" t="str">
        <f t="shared" si="4"/>
        <v>Old</v>
      </c>
      <c r="N260" t="s">
        <v>18</v>
      </c>
    </row>
    <row r="261" spans="1:14" x14ac:dyDescent="0.25">
      <c r="A261">
        <v>12705</v>
      </c>
      <c r="B261" t="s">
        <v>36</v>
      </c>
      <c r="C261" t="s">
        <v>39</v>
      </c>
      <c r="D261" s="32">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2">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2">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2">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2">
        <v>70000</v>
      </c>
      <c r="E265">
        <v>5</v>
      </c>
      <c r="F265" t="s">
        <v>13</v>
      </c>
      <c r="G265" t="s">
        <v>21</v>
      </c>
      <c r="H265" t="s">
        <v>15</v>
      </c>
      <c r="I265">
        <v>3</v>
      </c>
      <c r="J265" t="s">
        <v>50</v>
      </c>
      <c r="K265" t="s">
        <v>24</v>
      </c>
      <c r="L265">
        <v>39</v>
      </c>
      <c r="M265" t="str">
        <f t="shared" si="4"/>
        <v>Middle Age</v>
      </c>
      <c r="N265" t="s">
        <v>18</v>
      </c>
    </row>
    <row r="266" spans="1:14" x14ac:dyDescent="0.25">
      <c r="A266">
        <v>17964</v>
      </c>
      <c r="B266" t="s">
        <v>36</v>
      </c>
      <c r="C266" t="s">
        <v>39</v>
      </c>
      <c r="D266" s="32">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2">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2">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2">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2">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2">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2">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2">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2">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2">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2">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2">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2">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2">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2">
        <v>100000</v>
      </c>
      <c r="E280">
        <v>0</v>
      </c>
      <c r="F280" t="s">
        <v>27</v>
      </c>
      <c r="G280" t="s">
        <v>28</v>
      </c>
      <c r="H280" t="s">
        <v>15</v>
      </c>
      <c r="I280">
        <v>3</v>
      </c>
      <c r="J280" t="s">
        <v>50</v>
      </c>
      <c r="K280" t="s">
        <v>24</v>
      </c>
      <c r="L280">
        <v>35</v>
      </c>
      <c r="M280" t="str">
        <f t="shared" si="4"/>
        <v>Middle Age</v>
      </c>
      <c r="N280" t="s">
        <v>15</v>
      </c>
    </row>
    <row r="281" spans="1:14" x14ac:dyDescent="0.25">
      <c r="A281">
        <v>16390</v>
      </c>
      <c r="B281" t="s">
        <v>37</v>
      </c>
      <c r="C281" t="s">
        <v>39</v>
      </c>
      <c r="D281" s="32">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2">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2">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2">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2">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2">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2">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2">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2">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2">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2">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2">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2">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2">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2">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2">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2">
        <v>110000</v>
      </c>
      <c r="E297">
        <v>0</v>
      </c>
      <c r="F297" t="s">
        <v>19</v>
      </c>
      <c r="G297" t="s">
        <v>28</v>
      </c>
      <c r="H297" t="s">
        <v>15</v>
      </c>
      <c r="I297">
        <v>3</v>
      </c>
      <c r="J297" t="s">
        <v>50</v>
      </c>
      <c r="K297" t="s">
        <v>24</v>
      </c>
      <c r="L297">
        <v>32</v>
      </c>
      <c r="M297" t="str">
        <f t="shared" si="4"/>
        <v>Middle Age</v>
      </c>
      <c r="N297" t="s">
        <v>15</v>
      </c>
    </row>
    <row r="298" spans="1:14" x14ac:dyDescent="0.25">
      <c r="A298">
        <v>26663</v>
      </c>
      <c r="B298" t="s">
        <v>37</v>
      </c>
      <c r="C298" t="s">
        <v>38</v>
      </c>
      <c r="D298" s="32">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2">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2">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2">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2">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2">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2">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2">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2">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2">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2">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2">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2">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2">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2">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2">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2">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2">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2">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2">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2">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2">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2">
        <v>130000</v>
      </c>
      <c r="E320">
        <v>4</v>
      </c>
      <c r="F320" t="s">
        <v>19</v>
      </c>
      <c r="G320" t="s">
        <v>21</v>
      </c>
      <c r="H320" t="s">
        <v>18</v>
      </c>
      <c r="I320">
        <v>3</v>
      </c>
      <c r="J320" t="s">
        <v>50</v>
      </c>
      <c r="K320" t="s">
        <v>17</v>
      </c>
      <c r="L320">
        <v>54</v>
      </c>
      <c r="M320" t="str">
        <f t="shared" si="4"/>
        <v>Middle Age</v>
      </c>
      <c r="N320" t="s">
        <v>18</v>
      </c>
    </row>
    <row r="321" spans="1:14" x14ac:dyDescent="0.25">
      <c r="A321">
        <v>11386</v>
      </c>
      <c r="B321" t="s">
        <v>36</v>
      </c>
      <c r="C321" t="s">
        <v>38</v>
      </c>
      <c r="D321" s="32">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2">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2">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32">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2">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2">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2">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2">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2">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2">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2">
        <v>90000</v>
      </c>
      <c r="E331">
        <v>5</v>
      </c>
      <c r="F331" t="s">
        <v>29</v>
      </c>
      <c r="G331" t="s">
        <v>14</v>
      </c>
      <c r="H331" t="s">
        <v>15</v>
      </c>
      <c r="I331">
        <v>2</v>
      </c>
      <c r="J331" t="s">
        <v>50</v>
      </c>
      <c r="K331" t="s">
        <v>17</v>
      </c>
      <c r="L331">
        <v>59</v>
      </c>
      <c r="M331" t="str">
        <f t="shared" si="5"/>
        <v>Old</v>
      </c>
      <c r="N331" t="s">
        <v>18</v>
      </c>
    </row>
    <row r="332" spans="1:14" x14ac:dyDescent="0.25">
      <c r="A332">
        <v>24898</v>
      </c>
      <c r="B332" t="s">
        <v>37</v>
      </c>
      <c r="C332" t="s">
        <v>38</v>
      </c>
      <c r="D332" s="32">
        <v>80000</v>
      </c>
      <c r="E332">
        <v>0</v>
      </c>
      <c r="F332" t="s">
        <v>13</v>
      </c>
      <c r="G332" t="s">
        <v>21</v>
      </c>
      <c r="H332" t="s">
        <v>15</v>
      </c>
      <c r="I332">
        <v>3</v>
      </c>
      <c r="J332" t="s">
        <v>50</v>
      </c>
      <c r="K332" t="s">
        <v>24</v>
      </c>
      <c r="L332">
        <v>32</v>
      </c>
      <c r="M332" t="str">
        <f t="shared" si="5"/>
        <v>Middle Age</v>
      </c>
      <c r="N332" t="s">
        <v>18</v>
      </c>
    </row>
    <row r="333" spans="1:14" x14ac:dyDescent="0.25">
      <c r="A333">
        <v>19508</v>
      </c>
      <c r="B333" t="s">
        <v>36</v>
      </c>
      <c r="C333" t="s">
        <v>39</v>
      </c>
      <c r="D333" s="32">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2">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2">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2">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2">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2">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2">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2">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2">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2">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2">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2">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2">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2">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2">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2">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2">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2">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2">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2">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2">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2">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2">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2">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2">
        <v>80000</v>
      </c>
      <c r="E357">
        <v>0</v>
      </c>
      <c r="F357" t="s">
        <v>13</v>
      </c>
      <c r="G357" t="s">
        <v>21</v>
      </c>
      <c r="H357" t="s">
        <v>15</v>
      </c>
      <c r="I357">
        <v>3</v>
      </c>
      <c r="J357" t="s">
        <v>50</v>
      </c>
      <c r="K357" t="s">
        <v>24</v>
      </c>
      <c r="L357">
        <v>32</v>
      </c>
      <c r="M357" t="str">
        <f t="shared" si="5"/>
        <v>Middle Age</v>
      </c>
      <c r="N357" t="s">
        <v>18</v>
      </c>
    </row>
    <row r="358" spans="1:14" x14ac:dyDescent="0.25">
      <c r="A358">
        <v>23608</v>
      </c>
      <c r="B358" t="s">
        <v>36</v>
      </c>
      <c r="C358" t="s">
        <v>38</v>
      </c>
      <c r="D358" s="32">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2">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2">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2">
        <v>80000</v>
      </c>
      <c r="E361">
        <v>0</v>
      </c>
      <c r="F361" t="s">
        <v>13</v>
      </c>
      <c r="G361" t="s">
        <v>21</v>
      </c>
      <c r="H361" t="s">
        <v>15</v>
      </c>
      <c r="I361">
        <v>3</v>
      </c>
      <c r="J361" t="s">
        <v>50</v>
      </c>
      <c r="K361" t="s">
        <v>24</v>
      </c>
      <c r="L361">
        <v>30</v>
      </c>
      <c r="M361" t="str">
        <f t="shared" si="5"/>
        <v>Adolescent</v>
      </c>
      <c r="N361" t="s">
        <v>18</v>
      </c>
    </row>
    <row r="362" spans="1:14" x14ac:dyDescent="0.25">
      <c r="A362">
        <v>13082</v>
      </c>
      <c r="B362" t="s">
        <v>37</v>
      </c>
      <c r="C362" t="s">
        <v>39</v>
      </c>
      <c r="D362" s="32">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2">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2">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2">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2">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2">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2">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2">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2">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2">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2">
        <v>100000</v>
      </c>
      <c r="E372">
        <v>4</v>
      </c>
      <c r="F372" t="s">
        <v>13</v>
      </c>
      <c r="G372" t="s">
        <v>21</v>
      </c>
      <c r="H372" t="s">
        <v>15</v>
      </c>
      <c r="I372">
        <v>1</v>
      </c>
      <c r="J372" t="s">
        <v>50</v>
      </c>
      <c r="K372" t="s">
        <v>24</v>
      </c>
      <c r="L372">
        <v>46</v>
      </c>
      <c r="M372" t="str">
        <f t="shared" si="5"/>
        <v>Middle Age</v>
      </c>
      <c r="N372" t="s">
        <v>18</v>
      </c>
    </row>
    <row r="373" spans="1:14" x14ac:dyDescent="0.25">
      <c r="A373">
        <v>22918</v>
      </c>
      <c r="B373" t="s">
        <v>37</v>
      </c>
      <c r="C373" t="s">
        <v>39</v>
      </c>
      <c r="D373" s="32">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2">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2">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2">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2">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2">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2">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2">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2">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2">
        <v>70000</v>
      </c>
      <c r="E382">
        <v>0</v>
      </c>
      <c r="F382" t="s">
        <v>13</v>
      </c>
      <c r="G382" t="s">
        <v>21</v>
      </c>
      <c r="H382" t="s">
        <v>18</v>
      </c>
      <c r="I382">
        <v>3</v>
      </c>
      <c r="J382" t="s">
        <v>50</v>
      </c>
      <c r="K382" t="s">
        <v>24</v>
      </c>
      <c r="L382">
        <v>30</v>
      </c>
      <c r="M382" t="str">
        <f t="shared" si="5"/>
        <v>Adolescent</v>
      </c>
      <c r="N382" t="s">
        <v>15</v>
      </c>
    </row>
    <row r="383" spans="1:14" x14ac:dyDescent="0.25">
      <c r="A383">
        <v>22974</v>
      </c>
      <c r="B383" t="s">
        <v>36</v>
      </c>
      <c r="C383" t="s">
        <v>38</v>
      </c>
      <c r="D383" s="32">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2">
        <v>80000</v>
      </c>
      <c r="E384">
        <v>4</v>
      </c>
      <c r="F384" t="s">
        <v>19</v>
      </c>
      <c r="G384" t="s">
        <v>21</v>
      </c>
      <c r="H384" t="s">
        <v>15</v>
      </c>
      <c r="I384">
        <v>2</v>
      </c>
      <c r="J384" t="s">
        <v>50</v>
      </c>
      <c r="K384" t="s">
        <v>17</v>
      </c>
      <c r="L384">
        <v>53</v>
      </c>
      <c r="M384" t="str">
        <f t="shared" si="5"/>
        <v>Middle Age</v>
      </c>
      <c r="N384" t="s">
        <v>18</v>
      </c>
    </row>
    <row r="385" spans="1:14" x14ac:dyDescent="0.25">
      <c r="A385">
        <v>17978</v>
      </c>
      <c r="B385" t="s">
        <v>36</v>
      </c>
      <c r="C385" t="s">
        <v>39</v>
      </c>
      <c r="D385" s="32">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2">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2">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32">
        <v>120000</v>
      </c>
      <c r="E388">
        <v>0</v>
      </c>
      <c r="F388" t="s">
        <v>29</v>
      </c>
      <c r="G388" t="s">
        <v>21</v>
      </c>
      <c r="H388" t="s">
        <v>15</v>
      </c>
      <c r="I388">
        <v>4</v>
      </c>
      <c r="J388" t="s">
        <v>50</v>
      </c>
      <c r="K388" t="s">
        <v>24</v>
      </c>
      <c r="L388">
        <v>34</v>
      </c>
      <c r="M388" t="str">
        <f t="shared" si="6"/>
        <v>Middle Age</v>
      </c>
      <c r="N388" t="s">
        <v>15</v>
      </c>
    </row>
    <row r="389" spans="1:14" x14ac:dyDescent="0.25">
      <c r="A389">
        <v>13690</v>
      </c>
      <c r="B389" t="s">
        <v>37</v>
      </c>
      <c r="C389" t="s">
        <v>38</v>
      </c>
      <c r="D389" s="32">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2">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2">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2">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2">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2">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2">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2">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2">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2">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2">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2">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2">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2">
        <v>110000</v>
      </c>
      <c r="E402">
        <v>3</v>
      </c>
      <c r="F402" t="s">
        <v>13</v>
      </c>
      <c r="G402" t="s">
        <v>28</v>
      </c>
      <c r="H402" t="s">
        <v>15</v>
      </c>
      <c r="I402">
        <v>4</v>
      </c>
      <c r="J402" t="s">
        <v>50</v>
      </c>
      <c r="K402" t="s">
        <v>17</v>
      </c>
      <c r="L402">
        <v>53</v>
      </c>
      <c r="M402" t="str">
        <f t="shared" si="6"/>
        <v>Middle Age</v>
      </c>
      <c r="N402" t="s">
        <v>18</v>
      </c>
    </row>
    <row r="403" spans="1:14" x14ac:dyDescent="0.25">
      <c r="A403">
        <v>11555</v>
      </c>
      <c r="B403" t="s">
        <v>36</v>
      </c>
      <c r="C403" t="s">
        <v>38</v>
      </c>
      <c r="D403" s="32">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2">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2">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2">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2">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2">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2">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2">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2">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2">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2">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2">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2">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2">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2">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2">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2">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2">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2">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2">
        <v>100000</v>
      </c>
      <c r="E422">
        <v>2</v>
      </c>
      <c r="F422" t="s">
        <v>13</v>
      </c>
      <c r="G422" t="s">
        <v>28</v>
      </c>
      <c r="H422" t="s">
        <v>15</v>
      </c>
      <c r="I422">
        <v>4</v>
      </c>
      <c r="J422" t="s">
        <v>50</v>
      </c>
      <c r="K422" t="s">
        <v>17</v>
      </c>
      <c r="L422">
        <v>59</v>
      </c>
      <c r="M422" t="str">
        <f t="shared" si="6"/>
        <v>Old</v>
      </c>
      <c r="N422" t="s">
        <v>18</v>
      </c>
    </row>
    <row r="423" spans="1:14" x14ac:dyDescent="0.25">
      <c r="A423">
        <v>14547</v>
      </c>
      <c r="B423" t="s">
        <v>36</v>
      </c>
      <c r="C423" t="s">
        <v>39</v>
      </c>
      <c r="D423" s="32">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2">
        <v>110000</v>
      </c>
      <c r="E424">
        <v>0</v>
      </c>
      <c r="F424" t="s">
        <v>19</v>
      </c>
      <c r="G424" t="s">
        <v>28</v>
      </c>
      <c r="H424" t="s">
        <v>18</v>
      </c>
      <c r="I424">
        <v>3</v>
      </c>
      <c r="J424" t="s">
        <v>50</v>
      </c>
      <c r="K424" t="s">
        <v>24</v>
      </c>
      <c r="L424">
        <v>32</v>
      </c>
      <c r="M424" t="str">
        <f t="shared" si="6"/>
        <v>Middle Age</v>
      </c>
      <c r="N424" t="s">
        <v>15</v>
      </c>
    </row>
    <row r="425" spans="1:14" x14ac:dyDescent="0.25">
      <c r="A425">
        <v>27169</v>
      </c>
      <c r="B425" t="s">
        <v>37</v>
      </c>
      <c r="C425" t="s">
        <v>39</v>
      </c>
      <c r="D425" s="32">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2">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2">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2">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2">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2">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2">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2">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2">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2">
        <v>110000</v>
      </c>
      <c r="E434">
        <v>0</v>
      </c>
      <c r="F434" t="s">
        <v>27</v>
      </c>
      <c r="G434" t="s">
        <v>28</v>
      </c>
      <c r="H434" t="s">
        <v>15</v>
      </c>
      <c r="I434">
        <v>3</v>
      </c>
      <c r="J434" t="s">
        <v>50</v>
      </c>
      <c r="K434" t="s">
        <v>24</v>
      </c>
      <c r="L434">
        <v>34</v>
      </c>
      <c r="M434" t="str">
        <f t="shared" si="6"/>
        <v>Middle Age</v>
      </c>
      <c r="N434" t="s">
        <v>15</v>
      </c>
    </row>
    <row r="435" spans="1:14" x14ac:dyDescent="0.25">
      <c r="A435">
        <v>27814</v>
      </c>
      <c r="B435" t="s">
        <v>37</v>
      </c>
      <c r="C435" t="s">
        <v>38</v>
      </c>
      <c r="D435" s="32">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2">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2">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2">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2">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2">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2">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2">
        <v>90000</v>
      </c>
      <c r="E442">
        <v>0</v>
      </c>
      <c r="F442" t="s">
        <v>13</v>
      </c>
      <c r="G442" t="s">
        <v>21</v>
      </c>
      <c r="H442" t="s">
        <v>18</v>
      </c>
      <c r="I442">
        <v>3</v>
      </c>
      <c r="J442" t="s">
        <v>50</v>
      </c>
      <c r="K442" t="s">
        <v>24</v>
      </c>
      <c r="L442">
        <v>34</v>
      </c>
      <c r="M442" t="str">
        <f t="shared" si="6"/>
        <v>Middle Age</v>
      </c>
      <c r="N442" t="s">
        <v>15</v>
      </c>
    </row>
    <row r="443" spans="1:14" x14ac:dyDescent="0.25">
      <c r="A443">
        <v>11061</v>
      </c>
      <c r="B443" t="s">
        <v>36</v>
      </c>
      <c r="C443" t="s">
        <v>39</v>
      </c>
      <c r="D443" s="32">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2">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2">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2">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2">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2">
        <v>130000</v>
      </c>
      <c r="E448">
        <v>0</v>
      </c>
      <c r="F448" t="s">
        <v>31</v>
      </c>
      <c r="G448" t="s">
        <v>28</v>
      </c>
      <c r="H448" t="s">
        <v>15</v>
      </c>
      <c r="I448">
        <v>1</v>
      </c>
      <c r="J448" t="s">
        <v>50</v>
      </c>
      <c r="K448" t="s">
        <v>24</v>
      </c>
      <c r="L448">
        <v>48</v>
      </c>
      <c r="M448" t="str">
        <f t="shared" si="6"/>
        <v>Middle Age</v>
      </c>
      <c r="N448" t="s">
        <v>18</v>
      </c>
    </row>
    <row r="449" spans="1:14" x14ac:dyDescent="0.25">
      <c r="A449">
        <v>20711</v>
      </c>
      <c r="B449" t="s">
        <v>36</v>
      </c>
      <c r="C449" t="s">
        <v>38</v>
      </c>
      <c r="D449" s="32">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2">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2">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32">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2">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2">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2">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2">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2">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2">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2">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2">
        <v>120000</v>
      </c>
      <c r="E460">
        <v>0</v>
      </c>
      <c r="F460" t="s">
        <v>29</v>
      </c>
      <c r="G460" t="s">
        <v>21</v>
      </c>
      <c r="H460" t="s">
        <v>15</v>
      </c>
      <c r="I460">
        <v>4</v>
      </c>
      <c r="J460" t="s">
        <v>50</v>
      </c>
      <c r="K460" t="s">
        <v>24</v>
      </c>
      <c r="L460">
        <v>32</v>
      </c>
      <c r="M460" t="str">
        <f t="shared" si="7"/>
        <v>Middle Age</v>
      </c>
      <c r="N460" t="s">
        <v>15</v>
      </c>
    </row>
    <row r="461" spans="1:14" x14ac:dyDescent="0.25">
      <c r="A461">
        <v>21554</v>
      </c>
      <c r="B461" t="s">
        <v>37</v>
      </c>
      <c r="C461" t="s">
        <v>38</v>
      </c>
      <c r="D461" s="32">
        <v>80000</v>
      </c>
      <c r="E461">
        <v>0</v>
      </c>
      <c r="F461" t="s">
        <v>13</v>
      </c>
      <c r="G461" t="s">
        <v>21</v>
      </c>
      <c r="H461" t="s">
        <v>18</v>
      </c>
      <c r="I461">
        <v>3</v>
      </c>
      <c r="J461" t="s">
        <v>50</v>
      </c>
      <c r="K461" t="s">
        <v>24</v>
      </c>
      <c r="L461">
        <v>33</v>
      </c>
      <c r="M461" t="str">
        <f t="shared" si="7"/>
        <v>Middle Age</v>
      </c>
      <c r="N461" t="s">
        <v>18</v>
      </c>
    </row>
    <row r="462" spans="1:14" x14ac:dyDescent="0.25">
      <c r="A462">
        <v>13662</v>
      </c>
      <c r="B462" t="s">
        <v>37</v>
      </c>
      <c r="C462" t="s">
        <v>39</v>
      </c>
      <c r="D462" s="32">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2">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2">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2">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2">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2">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2">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2">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2">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2">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2">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2">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2">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2">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2">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2">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2">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2">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2">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2">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2">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2">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2">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2">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2">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2">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2">
        <v>90000</v>
      </c>
      <c r="E488">
        <v>4</v>
      </c>
      <c r="F488" t="s">
        <v>29</v>
      </c>
      <c r="G488" t="s">
        <v>14</v>
      </c>
      <c r="H488" t="s">
        <v>15</v>
      </c>
      <c r="I488">
        <v>4</v>
      </c>
      <c r="J488" t="s">
        <v>50</v>
      </c>
      <c r="K488" t="s">
        <v>17</v>
      </c>
      <c r="L488">
        <v>58</v>
      </c>
      <c r="M488" t="str">
        <f t="shared" si="7"/>
        <v>Old</v>
      </c>
      <c r="N488" t="s">
        <v>18</v>
      </c>
    </row>
    <row r="489" spans="1:14" x14ac:dyDescent="0.25">
      <c r="A489">
        <v>12821</v>
      </c>
      <c r="B489" t="s">
        <v>36</v>
      </c>
      <c r="C489" t="s">
        <v>39</v>
      </c>
      <c r="D489" s="32">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2">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2">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2">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2">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2">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2">
        <v>70000</v>
      </c>
      <c r="E495">
        <v>5</v>
      </c>
      <c r="F495" t="s">
        <v>13</v>
      </c>
      <c r="G495" t="s">
        <v>28</v>
      </c>
      <c r="H495" t="s">
        <v>15</v>
      </c>
      <c r="I495">
        <v>3</v>
      </c>
      <c r="J495" t="s">
        <v>50</v>
      </c>
      <c r="K495" t="s">
        <v>32</v>
      </c>
      <c r="L495">
        <v>60</v>
      </c>
      <c r="M495" t="str">
        <f t="shared" si="7"/>
        <v>Old</v>
      </c>
      <c r="N495" t="s">
        <v>15</v>
      </c>
    </row>
    <row r="496" spans="1:14" x14ac:dyDescent="0.25">
      <c r="A496">
        <v>27650</v>
      </c>
      <c r="B496" t="s">
        <v>36</v>
      </c>
      <c r="C496" t="s">
        <v>39</v>
      </c>
      <c r="D496" s="32">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2">
        <v>60000</v>
      </c>
      <c r="E497">
        <v>2</v>
      </c>
      <c r="F497" t="s">
        <v>19</v>
      </c>
      <c r="G497" t="s">
        <v>21</v>
      </c>
      <c r="H497" t="s">
        <v>15</v>
      </c>
      <c r="I497">
        <v>2</v>
      </c>
      <c r="J497" t="s">
        <v>50</v>
      </c>
      <c r="K497" t="s">
        <v>32</v>
      </c>
      <c r="L497">
        <v>56</v>
      </c>
      <c r="M497" t="str">
        <f t="shared" si="7"/>
        <v>Old</v>
      </c>
      <c r="N497" t="s">
        <v>18</v>
      </c>
    </row>
    <row r="498" spans="1:14" x14ac:dyDescent="0.25">
      <c r="A498">
        <v>20678</v>
      </c>
      <c r="B498" t="s">
        <v>37</v>
      </c>
      <c r="C498" t="s">
        <v>38</v>
      </c>
      <c r="D498" s="32">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2">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2">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2">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2">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2">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2">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2">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2">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2">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2">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2">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2">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2">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2">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2">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2">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2">
        <v>60000</v>
      </c>
      <c r="E515">
        <v>4</v>
      </c>
      <c r="F515" t="s">
        <v>31</v>
      </c>
      <c r="G515" t="s">
        <v>28</v>
      </c>
      <c r="H515" t="s">
        <v>15</v>
      </c>
      <c r="I515">
        <v>2</v>
      </c>
      <c r="J515" t="s">
        <v>50</v>
      </c>
      <c r="K515" t="s">
        <v>32</v>
      </c>
      <c r="L515">
        <v>61</v>
      </c>
      <c r="M515" t="str">
        <f t="shared" ref="M515:M578" si="8">IF(L515&gt;54,"Old",IF(L515&gt;=31,"Middle Age",IF(L515&lt;31,"Adolescent","Invalid")))</f>
        <v>Old</v>
      </c>
      <c r="N515" t="s">
        <v>15</v>
      </c>
    </row>
    <row r="516" spans="1:14" x14ac:dyDescent="0.25">
      <c r="A516">
        <v>19399</v>
      </c>
      <c r="B516" t="s">
        <v>37</v>
      </c>
      <c r="C516" t="s">
        <v>39</v>
      </c>
      <c r="D516" s="32">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2">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2">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2">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2">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2">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2">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2">
        <v>40000</v>
      </c>
      <c r="E523">
        <v>4</v>
      </c>
      <c r="F523" t="s">
        <v>27</v>
      </c>
      <c r="G523" t="s">
        <v>21</v>
      </c>
      <c r="H523" t="s">
        <v>15</v>
      </c>
      <c r="I523">
        <v>2</v>
      </c>
      <c r="J523" t="s">
        <v>50</v>
      </c>
      <c r="K523" t="s">
        <v>32</v>
      </c>
      <c r="L523">
        <v>62</v>
      </c>
      <c r="M523" t="str">
        <f t="shared" si="8"/>
        <v>Old</v>
      </c>
      <c r="N523" t="s">
        <v>15</v>
      </c>
    </row>
    <row r="524" spans="1:14" x14ac:dyDescent="0.25">
      <c r="A524">
        <v>19413</v>
      </c>
      <c r="B524" t="s">
        <v>37</v>
      </c>
      <c r="C524" t="s">
        <v>39</v>
      </c>
      <c r="D524" s="32">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2">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2">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2">
        <v>60000</v>
      </c>
      <c r="E527">
        <v>5</v>
      </c>
      <c r="F527" t="s">
        <v>13</v>
      </c>
      <c r="G527" t="s">
        <v>28</v>
      </c>
      <c r="H527" t="s">
        <v>15</v>
      </c>
      <c r="I527">
        <v>3</v>
      </c>
      <c r="J527" t="s">
        <v>50</v>
      </c>
      <c r="K527" t="s">
        <v>32</v>
      </c>
      <c r="L527">
        <v>59</v>
      </c>
      <c r="M527" t="str">
        <f t="shared" si="8"/>
        <v>Old</v>
      </c>
      <c r="N527" t="s">
        <v>15</v>
      </c>
    </row>
    <row r="528" spans="1:14" x14ac:dyDescent="0.25">
      <c r="A528">
        <v>15382</v>
      </c>
      <c r="B528" t="s">
        <v>36</v>
      </c>
      <c r="C528" t="s">
        <v>38</v>
      </c>
      <c r="D528" s="32">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2">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2">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2">
        <v>60000</v>
      </c>
      <c r="E531">
        <v>2</v>
      </c>
      <c r="F531" t="s">
        <v>19</v>
      </c>
      <c r="G531" t="s">
        <v>21</v>
      </c>
      <c r="H531" t="s">
        <v>15</v>
      </c>
      <c r="I531">
        <v>1</v>
      </c>
      <c r="J531" t="s">
        <v>50</v>
      </c>
      <c r="K531" t="s">
        <v>32</v>
      </c>
      <c r="L531">
        <v>57</v>
      </c>
      <c r="M531" t="str">
        <f t="shared" si="8"/>
        <v>Old</v>
      </c>
      <c r="N531" t="s">
        <v>15</v>
      </c>
    </row>
    <row r="532" spans="1:14" x14ac:dyDescent="0.25">
      <c r="A532">
        <v>25909</v>
      </c>
      <c r="B532" t="s">
        <v>36</v>
      </c>
      <c r="C532" t="s">
        <v>39</v>
      </c>
      <c r="D532" s="32">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2">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2">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2">
        <v>60000</v>
      </c>
      <c r="E535">
        <v>3</v>
      </c>
      <c r="F535" t="s">
        <v>13</v>
      </c>
      <c r="G535" t="s">
        <v>28</v>
      </c>
      <c r="H535" t="s">
        <v>15</v>
      </c>
      <c r="I535">
        <v>2</v>
      </c>
      <c r="J535" t="s">
        <v>50</v>
      </c>
      <c r="K535" t="s">
        <v>32</v>
      </c>
      <c r="L535">
        <v>66</v>
      </c>
      <c r="M535" t="str">
        <f t="shared" si="8"/>
        <v>Old</v>
      </c>
      <c r="N535" t="s">
        <v>18</v>
      </c>
    </row>
    <row r="536" spans="1:14" x14ac:dyDescent="0.25">
      <c r="A536">
        <v>24637</v>
      </c>
      <c r="B536" t="s">
        <v>36</v>
      </c>
      <c r="C536" t="s">
        <v>39</v>
      </c>
      <c r="D536" s="32">
        <v>40000</v>
      </c>
      <c r="E536">
        <v>4</v>
      </c>
      <c r="F536" t="s">
        <v>27</v>
      </c>
      <c r="G536" t="s">
        <v>21</v>
      </c>
      <c r="H536" t="s">
        <v>15</v>
      </c>
      <c r="I536">
        <v>2</v>
      </c>
      <c r="J536" t="s">
        <v>50</v>
      </c>
      <c r="K536" t="s">
        <v>32</v>
      </c>
      <c r="L536">
        <v>64</v>
      </c>
      <c r="M536" t="str">
        <f t="shared" si="8"/>
        <v>Old</v>
      </c>
      <c r="N536" t="s">
        <v>18</v>
      </c>
    </row>
    <row r="537" spans="1:14" x14ac:dyDescent="0.25">
      <c r="A537">
        <v>23893</v>
      </c>
      <c r="B537" t="s">
        <v>36</v>
      </c>
      <c r="C537" t="s">
        <v>39</v>
      </c>
      <c r="D537" s="32">
        <v>50000</v>
      </c>
      <c r="E537">
        <v>3</v>
      </c>
      <c r="F537" t="s">
        <v>13</v>
      </c>
      <c r="G537" t="s">
        <v>14</v>
      </c>
      <c r="H537" t="s">
        <v>15</v>
      </c>
      <c r="I537">
        <v>3</v>
      </c>
      <c r="J537" t="s">
        <v>50</v>
      </c>
      <c r="K537" t="s">
        <v>32</v>
      </c>
      <c r="L537">
        <v>41</v>
      </c>
      <c r="M537" t="str">
        <f t="shared" si="8"/>
        <v>Middle Age</v>
      </c>
      <c r="N537" t="s">
        <v>18</v>
      </c>
    </row>
    <row r="538" spans="1:14" x14ac:dyDescent="0.25">
      <c r="A538">
        <v>13907</v>
      </c>
      <c r="B538" t="s">
        <v>37</v>
      </c>
      <c r="C538" t="s">
        <v>38</v>
      </c>
      <c r="D538" s="32">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2">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2">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2">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2">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2">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2">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2">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2">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2">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2">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2">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2">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2">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2">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2">
        <v>50000</v>
      </c>
      <c r="E553">
        <v>4</v>
      </c>
      <c r="F553" t="s">
        <v>13</v>
      </c>
      <c r="G553" t="s">
        <v>28</v>
      </c>
      <c r="H553" t="s">
        <v>15</v>
      </c>
      <c r="I553">
        <v>2</v>
      </c>
      <c r="J553" t="s">
        <v>50</v>
      </c>
      <c r="K553" t="s">
        <v>32</v>
      </c>
      <c r="L553">
        <v>63</v>
      </c>
      <c r="M553" t="str">
        <f t="shared" si="8"/>
        <v>Old</v>
      </c>
      <c r="N553" t="s">
        <v>18</v>
      </c>
    </row>
    <row r="554" spans="1:14" x14ac:dyDescent="0.25">
      <c r="A554">
        <v>14417</v>
      </c>
      <c r="B554" t="s">
        <v>37</v>
      </c>
      <c r="C554" t="s">
        <v>39</v>
      </c>
      <c r="D554" s="32">
        <v>60000</v>
      </c>
      <c r="E554">
        <v>3</v>
      </c>
      <c r="F554" t="s">
        <v>27</v>
      </c>
      <c r="G554" t="s">
        <v>21</v>
      </c>
      <c r="H554" t="s">
        <v>15</v>
      </c>
      <c r="I554">
        <v>2</v>
      </c>
      <c r="J554" t="s">
        <v>50</v>
      </c>
      <c r="K554" t="s">
        <v>32</v>
      </c>
      <c r="L554">
        <v>54</v>
      </c>
      <c r="M554" t="str">
        <f t="shared" si="8"/>
        <v>Middle Age</v>
      </c>
      <c r="N554" t="s">
        <v>15</v>
      </c>
    </row>
    <row r="555" spans="1:14" x14ac:dyDescent="0.25">
      <c r="A555">
        <v>17533</v>
      </c>
      <c r="B555" t="s">
        <v>36</v>
      </c>
      <c r="C555" t="s">
        <v>39</v>
      </c>
      <c r="D555" s="32">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2">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2">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2">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2">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2">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2">
        <v>60000</v>
      </c>
      <c r="E561">
        <v>2</v>
      </c>
      <c r="F561" t="s">
        <v>13</v>
      </c>
      <c r="G561" t="s">
        <v>28</v>
      </c>
      <c r="H561" t="s">
        <v>15</v>
      </c>
      <c r="I561">
        <v>0</v>
      </c>
      <c r="J561" t="s">
        <v>50</v>
      </c>
      <c r="K561" t="s">
        <v>32</v>
      </c>
      <c r="L561">
        <v>58</v>
      </c>
      <c r="M561" t="str">
        <f t="shared" si="8"/>
        <v>Old</v>
      </c>
      <c r="N561" t="s">
        <v>18</v>
      </c>
    </row>
    <row r="562" spans="1:14" x14ac:dyDescent="0.25">
      <c r="A562">
        <v>18577</v>
      </c>
      <c r="B562" t="s">
        <v>36</v>
      </c>
      <c r="C562" t="s">
        <v>38</v>
      </c>
      <c r="D562" s="32">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2">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2">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2">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2">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2">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2">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2">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2">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2">
        <v>50000</v>
      </c>
      <c r="E571">
        <v>3</v>
      </c>
      <c r="F571" t="s">
        <v>31</v>
      </c>
      <c r="G571" t="s">
        <v>28</v>
      </c>
      <c r="H571" t="s">
        <v>15</v>
      </c>
      <c r="I571">
        <v>2</v>
      </c>
      <c r="J571" t="s">
        <v>50</v>
      </c>
      <c r="K571" t="s">
        <v>32</v>
      </c>
      <c r="L571">
        <v>69</v>
      </c>
      <c r="M571" t="str">
        <f t="shared" si="8"/>
        <v>Old</v>
      </c>
      <c r="N571" t="s">
        <v>18</v>
      </c>
    </row>
    <row r="572" spans="1:14" x14ac:dyDescent="0.25">
      <c r="A572">
        <v>20370</v>
      </c>
      <c r="B572" t="s">
        <v>36</v>
      </c>
      <c r="C572" t="s">
        <v>39</v>
      </c>
      <c r="D572" s="32">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2">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2">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2">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2">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2">
        <v>60000</v>
      </c>
      <c r="E577">
        <v>2</v>
      </c>
      <c r="F577" t="s">
        <v>19</v>
      </c>
      <c r="G577" t="s">
        <v>21</v>
      </c>
      <c r="H577" t="s">
        <v>15</v>
      </c>
      <c r="I577">
        <v>1</v>
      </c>
      <c r="J577" t="s">
        <v>50</v>
      </c>
      <c r="K577" t="s">
        <v>32</v>
      </c>
      <c r="L577">
        <v>56</v>
      </c>
      <c r="M577" t="str">
        <f t="shared" si="8"/>
        <v>Old</v>
      </c>
      <c r="N577" t="s">
        <v>18</v>
      </c>
    </row>
    <row r="578" spans="1:14" x14ac:dyDescent="0.25">
      <c r="A578">
        <v>18752</v>
      </c>
      <c r="B578" t="s">
        <v>37</v>
      </c>
      <c r="C578" t="s">
        <v>38</v>
      </c>
      <c r="D578" s="32">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2">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32">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2">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2">
        <v>60000</v>
      </c>
      <c r="E582">
        <v>3</v>
      </c>
      <c r="F582" t="s">
        <v>31</v>
      </c>
      <c r="G582" t="s">
        <v>28</v>
      </c>
      <c r="H582" t="s">
        <v>15</v>
      </c>
      <c r="I582">
        <v>2</v>
      </c>
      <c r="J582" t="s">
        <v>50</v>
      </c>
      <c r="K582" t="s">
        <v>32</v>
      </c>
      <c r="L582">
        <v>69</v>
      </c>
      <c r="M582" t="str">
        <f t="shared" si="9"/>
        <v>Old</v>
      </c>
      <c r="N582" t="s">
        <v>18</v>
      </c>
    </row>
    <row r="583" spans="1:14" x14ac:dyDescent="0.25">
      <c r="A583">
        <v>23089</v>
      </c>
      <c r="B583" t="s">
        <v>36</v>
      </c>
      <c r="C583" t="s">
        <v>39</v>
      </c>
      <c r="D583" s="32">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2">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2">
        <v>60000</v>
      </c>
      <c r="E585">
        <v>3</v>
      </c>
      <c r="F585" t="s">
        <v>13</v>
      </c>
      <c r="G585" t="s">
        <v>28</v>
      </c>
      <c r="H585" t="s">
        <v>15</v>
      </c>
      <c r="I585">
        <v>2</v>
      </c>
      <c r="J585" t="s">
        <v>50</v>
      </c>
      <c r="K585" t="s">
        <v>32</v>
      </c>
      <c r="L585">
        <v>66</v>
      </c>
      <c r="M585" t="str">
        <f t="shared" si="9"/>
        <v>Old</v>
      </c>
      <c r="N585" t="s">
        <v>18</v>
      </c>
    </row>
    <row r="586" spans="1:14" x14ac:dyDescent="0.25">
      <c r="A586">
        <v>28667</v>
      </c>
      <c r="B586" t="s">
        <v>37</v>
      </c>
      <c r="C586" t="s">
        <v>39</v>
      </c>
      <c r="D586" s="32">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2">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2">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2">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2">
        <v>90000</v>
      </c>
      <c r="E590">
        <v>2</v>
      </c>
      <c r="F590" t="s">
        <v>27</v>
      </c>
      <c r="G590" t="s">
        <v>21</v>
      </c>
      <c r="H590" t="s">
        <v>15</v>
      </c>
      <c r="I590">
        <v>1</v>
      </c>
      <c r="J590" t="s">
        <v>50</v>
      </c>
      <c r="K590" t="s">
        <v>32</v>
      </c>
      <c r="L590">
        <v>51</v>
      </c>
      <c r="M590" t="str">
        <f t="shared" si="9"/>
        <v>Middle Age</v>
      </c>
      <c r="N590" t="s">
        <v>15</v>
      </c>
    </row>
    <row r="591" spans="1:14" x14ac:dyDescent="0.25">
      <c r="A591">
        <v>12100</v>
      </c>
      <c r="B591" t="s">
        <v>37</v>
      </c>
      <c r="C591" t="s">
        <v>39</v>
      </c>
      <c r="D591" s="32">
        <v>60000</v>
      </c>
      <c r="E591">
        <v>2</v>
      </c>
      <c r="F591" t="s">
        <v>13</v>
      </c>
      <c r="G591" t="s">
        <v>28</v>
      </c>
      <c r="H591" t="s">
        <v>15</v>
      </c>
      <c r="I591">
        <v>0</v>
      </c>
      <c r="J591" t="s">
        <v>50</v>
      </c>
      <c r="K591" t="s">
        <v>32</v>
      </c>
      <c r="L591">
        <v>57</v>
      </c>
      <c r="M591" t="str">
        <f t="shared" si="9"/>
        <v>Old</v>
      </c>
      <c r="N591" t="s">
        <v>18</v>
      </c>
    </row>
    <row r="592" spans="1:14" x14ac:dyDescent="0.25">
      <c r="A592">
        <v>23158</v>
      </c>
      <c r="B592" t="s">
        <v>36</v>
      </c>
      <c r="C592" t="s">
        <v>38</v>
      </c>
      <c r="D592" s="32">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2">
        <v>40000</v>
      </c>
      <c r="E593">
        <v>4</v>
      </c>
      <c r="F593" t="s">
        <v>27</v>
      </c>
      <c r="G593" t="s">
        <v>21</v>
      </c>
      <c r="H593" t="s">
        <v>18</v>
      </c>
      <c r="I593">
        <v>2</v>
      </c>
      <c r="J593" t="s">
        <v>50</v>
      </c>
      <c r="K593" t="s">
        <v>32</v>
      </c>
      <c r="L593">
        <v>61</v>
      </c>
      <c r="M593" t="str">
        <f t="shared" si="9"/>
        <v>Old</v>
      </c>
      <c r="N593" t="s">
        <v>15</v>
      </c>
    </row>
    <row r="594" spans="1:14" x14ac:dyDescent="0.25">
      <c r="A594">
        <v>18391</v>
      </c>
      <c r="B594" t="s">
        <v>37</v>
      </c>
      <c r="C594" t="s">
        <v>38</v>
      </c>
      <c r="D594" s="32">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2">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2">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2">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2">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2">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2">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2">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2">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2">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2">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2">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2">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2">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2">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2">
        <v>70000</v>
      </c>
      <c r="E609">
        <v>5</v>
      </c>
      <c r="F609" t="s">
        <v>31</v>
      </c>
      <c r="G609" t="s">
        <v>21</v>
      </c>
      <c r="H609" t="s">
        <v>15</v>
      </c>
      <c r="I609">
        <v>3</v>
      </c>
      <c r="J609" t="s">
        <v>50</v>
      </c>
      <c r="K609" t="s">
        <v>32</v>
      </c>
      <c r="L609">
        <v>46</v>
      </c>
      <c r="M609" t="str">
        <f t="shared" si="9"/>
        <v>Middle Age</v>
      </c>
      <c r="N609" t="s">
        <v>15</v>
      </c>
    </row>
    <row r="610" spans="1:14" x14ac:dyDescent="0.25">
      <c r="A610">
        <v>16890</v>
      </c>
      <c r="B610" t="s">
        <v>36</v>
      </c>
      <c r="C610" t="s">
        <v>39</v>
      </c>
      <c r="D610" s="32">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2">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2">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2">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2">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2">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2">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2">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2">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2">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2">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2">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2">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2">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2">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2">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2">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2">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2">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2">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2">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2">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2">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2">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2">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2">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2">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2">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2">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2">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2">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2">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2">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2">
        <v>50000</v>
      </c>
      <c r="E643">
        <v>4</v>
      </c>
      <c r="F643" t="s">
        <v>13</v>
      </c>
      <c r="G643" t="s">
        <v>28</v>
      </c>
      <c r="H643" t="s">
        <v>15</v>
      </c>
      <c r="I643">
        <v>2</v>
      </c>
      <c r="J643" t="s">
        <v>50</v>
      </c>
      <c r="K643" t="s">
        <v>32</v>
      </c>
      <c r="L643">
        <v>64</v>
      </c>
      <c r="M643" t="str">
        <f t="shared" ref="M643:M706" si="10">IF(L643&gt;54,"Old",IF(L643&gt;=31,"Middle Age",IF(L643&lt;31,"Adolescent","Invalid")))</f>
        <v>Old</v>
      </c>
      <c r="N643" t="s">
        <v>18</v>
      </c>
    </row>
    <row r="644" spans="1:14" x14ac:dyDescent="0.25">
      <c r="A644">
        <v>21741</v>
      </c>
      <c r="B644" t="s">
        <v>36</v>
      </c>
      <c r="C644" t="s">
        <v>38</v>
      </c>
      <c r="D644" s="32">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2">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2">
        <v>60000</v>
      </c>
      <c r="E646">
        <v>5</v>
      </c>
      <c r="F646" t="s">
        <v>13</v>
      </c>
      <c r="G646" t="s">
        <v>14</v>
      </c>
      <c r="H646" t="s">
        <v>15</v>
      </c>
      <c r="I646">
        <v>3</v>
      </c>
      <c r="J646" t="s">
        <v>50</v>
      </c>
      <c r="K646" t="s">
        <v>32</v>
      </c>
      <c r="L646">
        <v>41</v>
      </c>
      <c r="M646" t="str">
        <f t="shared" si="10"/>
        <v>Middle Age</v>
      </c>
      <c r="N646" t="s">
        <v>18</v>
      </c>
    </row>
    <row r="647" spans="1:14" x14ac:dyDescent="0.25">
      <c r="A647">
        <v>16217</v>
      </c>
      <c r="B647" t="s">
        <v>37</v>
      </c>
      <c r="C647" t="s">
        <v>38</v>
      </c>
      <c r="D647" s="32">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2">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2">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2">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2">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2">
        <v>70000</v>
      </c>
      <c r="E652">
        <v>5</v>
      </c>
      <c r="F652" t="s">
        <v>31</v>
      </c>
      <c r="G652" t="s">
        <v>28</v>
      </c>
      <c r="H652" t="s">
        <v>15</v>
      </c>
      <c r="I652">
        <v>2</v>
      </c>
      <c r="J652" t="s">
        <v>50</v>
      </c>
      <c r="K652" t="s">
        <v>32</v>
      </c>
      <c r="L652">
        <v>67</v>
      </c>
      <c r="M652" t="str">
        <f t="shared" si="10"/>
        <v>Old</v>
      </c>
      <c r="N652" t="s">
        <v>15</v>
      </c>
    </row>
    <row r="653" spans="1:14" x14ac:dyDescent="0.25">
      <c r="A653">
        <v>14284</v>
      </c>
      <c r="B653" t="s">
        <v>37</v>
      </c>
      <c r="C653" t="s">
        <v>39</v>
      </c>
      <c r="D653" s="32">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2">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2">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2">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2">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2">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2">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2">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2">
        <v>60000</v>
      </c>
      <c r="E661">
        <v>4</v>
      </c>
      <c r="F661" t="s">
        <v>13</v>
      </c>
      <c r="G661" t="s">
        <v>28</v>
      </c>
      <c r="H661" t="s">
        <v>15</v>
      </c>
      <c r="I661">
        <v>2</v>
      </c>
      <c r="J661" t="s">
        <v>50</v>
      </c>
      <c r="K661" t="s">
        <v>32</v>
      </c>
      <c r="L661">
        <v>63</v>
      </c>
      <c r="M661" t="str">
        <f t="shared" si="10"/>
        <v>Old</v>
      </c>
      <c r="N661" t="s">
        <v>18</v>
      </c>
    </row>
    <row r="662" spans="1:14" x14ac:dyDescent="0.25">
      <c r="A662">
        <v>21599</v>
      </c>
      <c r="B662" t="s">
        <v>36</v>
      </c>
      <c r="C662" t="s">
        <v>38</v>
      </c>
      <c r="D662" s="32">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2">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2">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2">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2">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2">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2">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2">
        <v>40000</v>
      </c>
      <c r="E669">
        <v>5</v>
      </c>
      <c r="F669" t="s">
        <v>27</v>
      </c>
      <c r="G669" t="s">
        <v>21</v>
      </c>
      <c r="H669" t="s">
        <v>18</v>
      </c>
      <c r="I669">
        <v>2</v>
      </c>
      <c r="J669" t="s">
        <v>50</v>
      </c>
      <c r="K669" t="s">
        <v>32</v>
      </c>
      <c r="L669">
        <v>61</v>
      </c>
      <c r="M669" t="str">
        <f t="shared" si="10"/>
        <v>Old</v>
      </c>
      <c r="N669" t="s">
        <v>18</v>
      </c>
    </row>
    <row r="670" spans="1:14" x14ac:dyDescent="0.25">
      <c r="A670">
        <v>14592</v>
      </c>
      <c r="B670" t="s">
        <v>36</v>
      </c>
      <c r="C670" t="s">
        <v>38</v>
      </c>
      <c r="D670" s="32">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2">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2">
        <v>70000</v>
      </c>
      <c r="E672">
        <v>2</v>
      </c>
      <c r="F672" t="s">
        <v>19</v>
      </c>
      <c r="G672" t="s">
        <v>21</v>
      </c>
      <c r="H672" t="s">
        <v>15</v>
      </c>
      <c r="I672">
        <v>1</v>
      </c>
      <c r="J672" t="s">
        <v>50</v>
      </c>
      <c r="K672" t="s">
        <v>32</v>
      </c>
      <c r="L672">
        <v>59</v>
      </c>
      <c r="M672" t="str">
        <f t="shared" si="10"/>
        <v>Old</v>
      </c>
      <c r="N672" t="s">
        <v>18</v>
      </c>
    </row>
    <row r="673" spans="1:14" x14ac:dyDescent="0.25">
      <c r="A673">
        <v>22252</v>
      </c>
      <c r="B673" t="s">
        <v>37</v>
      </c>
      <c r="C673" t="s">
        <v>38</v>
      </c>
      <c r="D673" s="32">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2">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2">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2">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2">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2">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2">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2">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2">
        <v>60000</v>
      </c>
      <c r="E681">
        <v>4</v>
      </c>
      <c r="F681" t="s">
        <v>13</v>
      </c>
      <c r="G681" t="s">
        <v>28</v>
      </c>
      <c r="H681" t="s">
        <v>15</v>
      </c>
      <c r="I681">
        <v>2</v>
      </c>
      <c r="J681" t="s">
        <v>50</v>
      </c>
      <c r="K681" t="s">
        <v>32</v>
      </c>
      <c r="L681">
        <v>60</v>
      </c>
      <c r="M681" t="str">
        <f t="shared" si="10"/>
        <v>Old</v>
      </c>
      <c r="N681" t="s">
        <v>18</v>
      </c>
    </row>
    <row r="682" spans="1:14" x14ac:dyDescent="0.25">
      <c r="A682">
        <v>11165</v>
      </c>
      <c r="B682" t="s">
        <v>36</v>
      </c>
      <c r="C682" t="s">
        <v>38</v>
      </c>
      <c r="D682" s="32">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2">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2">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2">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2">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2">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2">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2">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2">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2">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2">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2">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2">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2">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2">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2">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2">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2">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2">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2">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2">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2">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2">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2">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2">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2">
        <v>70000</v>
      </c>
      <c r="E707">
        <v>4</v>
      </c>
      <c r="F707" t="s">
        <v>13</v>
      </c>
      <c r="G707" t="s">
        <v>28</v>
      </c>
      <c r="H707" t="s">
        <v>15</v>
      </c>
      <c r="I707">
        <v>1</v>
      </c>
      <c r="J707" t="s">
        <v>50</v>
      </c>
      <c r="K707" t="s">
        <v>32</v>
      </c>
      <c r="L707">
        <v>59</v>
      </c>
      <c r="M707" t="str">
        <f t="shared" ref="M707:M770" si="11">IF(L707&gt;54,"Old",IF(L707&gt;=31,"Middle Age",IF(L707&lt;31,"Adolescent","Invalid")))</f>
        <v>Old</v>
      </c>
      <c r="N707" t="s">
        <v>18</v>
      </c>
    </row>
    <row r="708" spans="1:14" x14ac:dyDescent="0.25">
      <c r="A708">
        <v>20296</v>
      </c>
      <c r="B708" t="s">
        <v>37</v>
      </c>
      <c r="C708" t="s">
        <v>38</v>
      </c>
      <c r="D708" s="32">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2">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2">
        <v>70000</v>
      </c>
      <c r="E710">
        <v>5</v>
      </c>
      <c r="F710" t="s">
        <v>13</v>
      </c>
      <c r="G710" t="s">
        <v>28</v>
      </c>
      <c r="H710" t="s">
        <v>15</v>
      </c>
      <c r="I710">
        <v>4</v>
      </c>
      <c r="J710" t="s">
        <v>50</v>
      </c>
      <c r="K710" t="s">
        <v>32</v>
      </c>
      <c r="L710">
        <v>60</v>
      </c>
      <c r="M710" t="str">
        <f t="shared" si="11"/>
        <v>Old</v>
      </c>
      <c r="N710" t="s">
        <v>18</v>
      </c>
    </row>
    <row r="711" spans="1:14" x14ac:dyDescent="0.25">
      <c r="A711">
        <v>23712</v>
      </c>
      <c r="B711" t="s">
        <v>37</v>
      </c>
      <c r="C711" t="s">
        <v>38</v>
      </c>
      <c r="D711" s="32">
        <v>70000</v>
      </c>
      <c r="E711">
        <v>2</v>
      </c>
      <c r="F711" t="s">
        <v>13</v>
      </c>
      <c r="G711" t="s">
        <v>28</v>
      </c>
      <c r="H711" t="s">
        <v>15</v>
      </c>
      <c r="I711">
        <v>1</v>
      </c>
      <c r="J711" t="s">
        <v>50</v>
      </c>
      <c r="K711" t="s">
        <v>32</v>
      </c>
      <c r="L711">
        <v>59</v>
      </c>
      <c r="M711" t="str">
        <f t="shared" si="11"/>
        <v>Old</v>
      </c>
      <c r="N711" t="s">
        <v>18</v>
      </c>
    </row>
    <row r="712" spans="1:14" x14ac:dyDescent="0.25">
      <c r="A712">
        <v>23358</v>
      </c>
      <c r="B712" t="s">
        <v>36</v>
      </c>
      <c r="C712" t="s">
        <v>39</v>
      </c>
      <c r="D712" s="32">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2">
        <v>70000</v>
      </c>
      <c r="E713">
        <v>2</v>
      </c>
      <c r="F713" t="s">
        <v>19</v>
      </c>
      <c r="G713" t="s">
        <v>21</v>
      </c>
      <c r="H713" t="s">
        <v>15</v>
      </c>
      <c r="I713">
        <v>1</v>
      </c>
      <c r="J713" t="s">
        <v>50</v>
      </c>
      <c r="K713" t="s">
        <v>32</v>
      </c>
      <c r="L713">
        <v>58</v>
      </c>
      <c r="M713" t="str">
        <f t="shared" si="11"/>
        <v>Old</v>
      </c>
      <c r="N713" t="s">
        <v>18</v>
      </c>
    </row>
    <row r="714" spans="1:14" x14ac:dyDescent="0.25">
      <c r="A714">
        <v>28026</v>
      </c>
      <c r="B714" t="s">
        <v>36</v>
      </c>
      <c r="C714" t="s">
        <v>38</v>
      </c>
      <c r="D714" s="32">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2">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2">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2">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2">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2">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2">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2">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2">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2">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2">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2">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2">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2">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2">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2">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2">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2">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2">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2">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2">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2">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2">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2">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2">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2">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2">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2">
        <v>60000</v>
      </c>
      <c r="E741">
        <v>2</v>
      </c>
      <c r="F741" t="s">
        <v>19</v>
      </c>
      <c r="G741" t="s">
        <v>21</v>
      </c>
      <c r="H741" t="s">
        <v>15</v>
      </c>
      <c r="I741">
        <v>1</v>
      </c>
      <c r="J741" t="s">
        <v>50</v>
      </c>
      <c r="K741" t="s">
        <v>32</v>
      </c>
      <c r="L741">
        <v>55</v>
      </c>
      <c r="M741" t="str">
        <f t="shared" si="11"/>
        <v>Old</v>
      </c>
      <c r="N741" t="s">
        <v>18</v>
      </c>
    </row>
    <row r="742" spans="1:14" x14ac:dyDescent="0.25">
      <c r="A742">
        <v>17657</v>
      </c>
      <c r="B742" t="s">
        <v>36</v>
      </c>
      <c r="C742" t="s">
        <v>39</v>
      </c>
      <c r="D742" s="32">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2">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2">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2">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2">
        <v>70000</v>
      </c>
      <c r="E746">
        <v>4</v>
      </c>
      <c r="F746" t="s">
        <v>19</v>
      </c>
      <c r="G746" t="s">
        <v>21</v>
      </c>
      <c r="H746" t="s">
        <v>15</v>
      </c>
      <c r="I746">
        <v>1</v>
      </c>
      <c r="J746" t="s">
        <v>50</v>
      </c>
      <c r="K746" t="s">
        <v>32</v>
      </c>
      <c r="L746">
        <v>56</v>
      </c>
      <c r="M746" t="str">
        <f t="shared" si="11"/>
        <v>Old</v>
      </c>
      <c r="N746" t="s">
        <v>18</v>
      </c>
    </row>
    <row r="747" spans="1:14" x14ac:dyDescent="0.25">
      <c r="A747">
        <v>12452</v>
      </c>
      <c r="B747" t="s">
        <v>36</v>
      </c>
      <c r="C747" t="s">
        <v>39</v>
      </c>
      <c r="D747" s="32">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2">
        <v>60000</v>
      </c>
      <c r="E748">
        <v>2</v>
      </c>
      <c r="F748" t="s">
        <v>13</v>
      </c>
      <c r="G748" t="s">
        <v>28</v>
      </c>
      <c r="H748" t="s">
        <v>15</v>
      </c>
      <c r="I748">
        <v>0</v>
      </c>
      <c r="J748" t="s">
        <v>50</v>
      </c>
      <c r="K748" t="s">
        <v>32</v>
      </c>
      <c r="L748">
        <v>56</v>
      </c>
      <c r="M748" t="str">
        <f t="shared" si="11"/>
        <v>Old</v>
      </c>
      <c r="N748" t="s">
        <v>18</v>
      </c>
    </row>
    <row r="749" spans="1:14" x14ac:dyDescent="0.25">
      <c r="A749">
        <v>12957</v>
      </c>
      <c r="B749" t="s">
        <v>37</v>
      </c>
      <c r="C749" t="s">
        <v>38</v>
      </c>
      <c r="D749" s="32">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2">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2">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2">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2">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2">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2">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2">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2">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2">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2">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2">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2">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2">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2">
        <v>60000</v>
      </c>
      <c r="E763">
        <v>5</v>
      </c>
      <c r="F763" t="s">
        <v>13</v>
      </c>
      <c r="G763" t="s">
        <v>28</v>
      </c>
      <c r="H763" t="s">
        <v>15</v>
      </c>
      <c r="I763">
        <v>3</v>
      </c>
      <c r="J763" t="s">
        <v>50</v>
      </c>
      <c r="K763" t="s">
        <v>32</v>
      </c>
      <c r="L763">
        <v>59</v>
      </c>
      <c r="M763" t="str">
        <f t="shared" si="11"/>
        <v>Old</v>
      </c>
      <c r="N763" t="s">
        <v>18</v>
      </c>
    </row>
    <row r="764" spans="1:14" x14ac:dyDescent="0.25">
      <c r="A764">
        <v>20657</v>
      </c>
      <c r="B764" t="s">
        <v>37</v>
      </c>
      <c r="C764" t="s">
        <v>39</v>
      </c>
      <c r="D764" s="32">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2">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2">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2">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2">
        <v>50000</v>
      </c>
      <c r="E768">
        <v>4</v>
      </c>
      <c r="F768" t="s">
        <v>13</v>
      </c>
      <c r="G768" t="s">
        <v>14</v>
      </c>
      <c r="H768" t="s">
        <v>15</v>
      </c>
      <c r="I768">
        <v>3</v>
      </c>
      <c r="J768" t="s">
        <v>50</v>
      </c>
      <c r="K768" t="s">
        <v>32</v>
      </c>
      <c r="L768">
        <v>42</v>
      </c>
      <c r="M768" t="str">
        <f t="shared" si="11"/>
        <v>Middle Age</v>
      </c>
      <c r="N768" t="s">
        <v>18</v>
      </c>
    </row>
    <row r="769" spans="1:14" x14ac:dyDescent="0.25">
      <c r="A769">
        <v>24979</v>
      </c>
      <c r="B769" t="s">
        <v>36</v>
      </c>
      <c r="C769" t="s">
        <v>38</v>
      </c>
      <c r="D769" s="32">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2">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2">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32">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2">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2">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2">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2">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2">
        <v>70000</v>
      </c>
      <c r="E777">
        <v>2</v>
      </c>
      <c r="F777" t="s">
        <v>29</v>
      </c>
      <c r="G777" t="s">
        <v>14</v>
      </c>
      <c r="H777" t="s">
        <v>15</v>
      </c>
      <c r="I777">
        <v>2</v>
      </c>
      <c r="J777" t="s">
        <v>50</v>
      </c>
      <c r="K777" t="s">
        <v>32</v>
      </c>
      <c r="L777">
        <v>54</v>
      </c>
      <c r="M777" t="str">
        <f t="shared" si="12"/>
        <v>Middle Age</v>
      </c>
      <c r="N777" t="s">
        <v>18</v>
      </c>
    </row>
    <row r="778" spans="1:14" x14ac:dyDescent="0.25">
      <c r="A778">
        <v>26490</v>
      </c>
      <c r="B778" t="s">
        <v>37</v>
      </c>
      <c r="C778" t="s">
        <v>39</v>
      </c>
      <c r="D778" s="32">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2">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2">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2">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2">
        <v>60000</v>
      </c>
      <c r="E782">
        <v>2</v>
      </c>
      <c r="F782" t="s">
        <v>19</v>
      </c>
      <c r="G782" t="s">
        <v>21</v>
      </c>
      <c r="H782" t="s">
        <v>15</v>
      </c>
      <c r="I782">
        <v>1</v>
      </c>
      <c r="J782" t="s">
        <v>50</v>
      </c>
      <c r="K782" t="s">
        <v>32</v>
      </c>
      <c r="L782">
        <v>55</v>
      </c>
      <c r="M782" t="str">
        <f t="shared" si="12"/>
        <v>Old</v>
      </c>
      <c r="N782" t="s">
        <v>18</v>
      </c>
    </row>
    <row r="783" spans="1:14" x14ac:dyDescent="0.25">
      <c r="A783">
        <v>19660</v>
      </c>
      <c r="B783" t="s">
        <v>36</v>
      </c>
      <c r="C783" t="s">
        <v>39</v>
      </c>
      <c r="D783" s="32">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2">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2">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2">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2">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2">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2">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2">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2">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2">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2">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2">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2">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2">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2">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2">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2">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2">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2">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2">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2">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2">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2">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2">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2">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2">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2">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2">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2">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2">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2">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2">
        <v>70000</v>
      </c>
      <c r="E814">
        <v>4</v>
      </c>
      <c r="F814" t="s">
        <v>13</v>
      </c>
      <c r="G814" t="s">
        <v>28</v>
      </c>
      <c r="H814" t="s">
        <v>15</v>
      </c>
      <c r="I814">
        <v>2</v>
      </c>
      <c r="J814" t="s">
        <v>50</v>
      </c>
      <c r="K814" t="s">
        <v>32</v>
      </c>
      <c r="L814">
        <v>61</v>
      </c>
      <c r="M814" t="str">
        <f t="shared" si="12"/>
        <v>Old</v>
      </c>
      <c r="N814" t="s">
        <v>18</v>
      </c>
    </row>
    <row r="815" spans="1:14" x14ac:dyDescent="0.25">
      <c r="A815">
        <v>25899</v>
      </c>
      <c r="B815" t="s">
        <v>36</v>
      </c>
      <c r="C815" t="s">
        <v>38</v>
      </c>
      <c r="D815" s="32">
        <v>70000</v>
      </c>
      <c r="E815">
        <v>2</v>
      </c>
      <c r="F815" t="s">
        <v>27</v>
      </c>
      <c r="G815" t="s">
        <v>21</v>
      </c>
      <c r="H815" t="s">
        <v>15</v>
      </c>
      <c r="I815">
        <v>2</v>
      </c>
      <c r="J815" t="s">
        <v>50</v>
      </c>
      <c r="K815" t="s">
        <v>32</v>
      </c>
      <c r="L815">
        <v>53</v>
      </c>
      <c r="M815" t="str">
        <f t="shared" si="12"/>
        <v>Middle Age</v>
      </c>
      <c r="N815" t="s">
        <v>18</v>
      </c>
    </row>
    <row r="816" spans="1:14" x14ac:dyDescent="0.25">
      <c r="A816">
        <v>13351</v>
      </c>
      <c r="B816" t="s">
        <v>37</v>
      </c>
      <c r="C816" t="s">
        <v>38</v>
      </c>
      <c r="D816" s="32">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2">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2">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2">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2">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2">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2">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2">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2">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2">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2">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2">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2">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2">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2">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2">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2">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2">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2">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2">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32">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2">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2">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2">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2">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2">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2">
        <v>70000</v>
      </c>
      <c r="E842">
        <v>4</v>
      </c>
      <c r="F842" t="s">
        <v>19</v>
      </c>
      <c r="G842" t="s">
        <v>21</v>
      </c>
      <c r="H842" t="s">
        <v>15</v>
      </c>
      <c r="I842">
        <v>2</v>
      </c>
      <c r="J842" t="s">
        <v>50</v>
      </c>
      <c r="K842" t="s">
        <v>32</v>
      </c>
      <c r="L842">
        <v>53</v>
      </c>
      <c r="M842" t="str">
        <f t="shared" si="13"/>
        <v>Middle Age</v>
      </c>
      <c r="N842" t="s">
        <v>18</v>
      </c>
    </row>
    <row r="843" spans="1:14" x14ac:dyDescent="0.25">
      <c r="A843">
        <v>12056</v>
      </c>
      <c r="B843" t="s">
        <v>36</v>
      </c>
      <c r="C843" t="s">
        <v>39</v>
      </c>
      <c r="D843" s="32">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2">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2">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2">
        <v>40000</v>
      </c>
      <c r="E846">
        <v>5</v>
      </c>
      <c r="F846" t="s">
        <v>27</v>
      </c>
      <c r="G846" t="s">
        <v>21</v>
      </c>
      <c r="H846" t="s">
        <v>15</v>
      </c>
      <c r="I846">
        <v>2</v>
      </c>
      <c r="J846" t="s">
        <v>50</v>
      </c>
      <c r="K846" t="s">
        <v>32</v>
      </c>
      <c r="L846">
        <v>60</v>
      </c>
      <c r="M846" t="str">
        <f t="shared" si="13"/>
        <v>Old</v>
      </c>
      <c r="N846" t="s">
        <v>18</v>
      </c>
    </row>
    <row r="847" spans="1:14" x14ac:dyDescent="0.25">
      <c r="A847">
        <v>25343</v>
      </c>
      <c r="B847" t="s">
        <v>37</v>
      </c>
      <c r="C847" t="s">
        <v>38</v>
      </c>
      <c r="D847" s="32">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2">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2">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2">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2">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2">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2">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2">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2">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2">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2">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2">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2">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2">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2">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2">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2">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2">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2">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2">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2">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2">
        <v>60000</v>
      </c>
      <c r="E868">
        <v>2</v>
      </c>
      <c r="F868" t="s">
        <v>27</v>
      </c>
      <c r="G868" t="s">
        <v>21</v>
      </c>
      <c r="H868" t="s">
        <v>15</v>
      </c>
      <c r="I868">
        <v>2</v>
      </c>
      <c r="J868" t="s">
        <v>50</v>
      </c>
      <c r="K868" t="s">
        <v>32</v>
      </c>
      <c r="L868">
        <v>55</v>
      </c>
      <c r="M868" t="str">
        <f t="shared" si="13"/>
        <v>Old</v>
      </c>
      <c r="N868" t="s">
        <v>18</v>
      </c>
    </row>
    <row r="869" spans="1:14" x14ac:dyDescent="0.25">
      <c r="A869">
        <v>26693</v>
      </c>
      <c r="B869" t="s">
        <v>36</v>
      </c>
      <c r="C869" t="s">
        <v>39</v>
      </c>
      <c r="D869" s="32">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2">
        <v>30000</v>
      </c>
      <c r="E870">
        <v>5</v>
      </c>
      <c r="F870" t="s">
        <v>29</v>
      </c>
      <c r="G870" t="s">
        <v>14</v>
      </c>
      <c r="H870" t="s">
        <v>15</v>
      </c>
      <c r="I870">
        <v>3</v>
      </c>
      <c r="J870" t="s">
        <v>50</v>
      </c>
      <c r="K870" t="s">
        <v>32</v>
      </c>
      <c r="L870">
        <v>60</v>
      </c>
      <c r="M870" t="str">
        <f t="shared" si="13"/>
        <v>Old</v>
      </c>
      <c r="N870" t="s">
        <v>15</v>
      </c>
    </row>
    <row r="871" spans="1:14" x14ac:dyDescent="0.25">
      <c r="A871">
        <v>26065</v>
      </c>
      <c r="B871" t="s">
        <v>37</v>
      </c>
      <c r="C871" t="s">
        <v>38</v>
      </c>
      <c r="D871" s="32">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2">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2">
        <v>60000</v>
      </c>
      <c r="E873">
        <v>2</v>
      </c>
      <c r="F873" t="s">
        <v>27</v>
      </c>
      <c r="G873" t="s">
        <v>21</v>
      </c>
      <c r="H873" t="s">
        <v>15</v>
      </c>
      <c r="I873">
        <v>2</v>
      </c>
      <c r="J873" t="s">
        <v>50</v>
      </c>
      <c r="K873" t="s">
        <v>32</v>
      </c>
      <c r="L873">
        <v>55</v>
      </c>
      <c r="M873" t="str">
        <f t="shared" si="13"/>
        <v>Old</v>
      </c>
      <c r="N873" t="s">
        <v>18</v>
      </c>
    </row>
    <row r="874" spans="1:14" x14ac:dyDescent="0.25">
      <c r="A874">
        <v>22118</v>
      </c>
      <c r="B874" t="s">
        <v>37</v>
      </c>
      <c r="C874" t="s">
        <v>38</v>
      </c>
      <c r="D874" s="32">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2">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2">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2">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2">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2">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2">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2">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2">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2">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2">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2">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2">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2">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2">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2">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2">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2">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2">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2">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2">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2">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2">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2">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2">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2">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32">
        <v>70000</v>
      </c>
      <c r="E900">
        <v>5</v>
      </c>
      <c r="F900" t="s">
        <v>13</v>
      </c>
      <c r="G900" t="s">
        <v>28</v>
      </c>
      <c r="H900" t="s">
        <v>15</v>
      </c>
      <c r="I900">
        <v>3</v>
      </c>
      <c r="J900" t="s">
        <v>50</v>
      </c>
      <c r="K900" t="s">
        <v>32</v>
      </c>
      <c r="L900">
        <v>60</v>
      </c>
      <c r="M900" t="str">
        <f t="shared" si="14"/>
        <v>Old</v>
      </c>
      <c r="N900" t="s">
        <v>15</v>
      </c>
    </row>
    <row r="901" spans="1:14" x14ac:dyDescent="0.25">
      <c r="A901">
        <v>28192</v>
      </c>
      <c r="B901" t="s">
        <v>36</v>
      </c>
      <c r="C901" t="s">
        <v>38</v>
      </c>
      <c r="D901" s="32">
        <v>70000</v>
      </c>
      <c r="E901">
        <v>5</v>
      </c>
      <c r="F901" t="s">
        <v>31</v>
      </c>
      <c r="G901" t="s">
        <v>21</v>
      </c>
      <c r="H901" t="s">
        <v>15</v>
      </c>
      <c r="I901">
        <v>3</v>
      </c>
      <c r="J901" t="s">
        <v>50</v>
      </c>
      <c r="K901" t="s">
        <v>32</v>
      </c>
      <c r="L901">
        <v>46</v>
      </c>
      <c r="M901" t="str">
        <f t="shared" si="14"/>
        <v>Middle Age</v>
      </c>
      <c r="N901" t="s">
        <v>18</v>
      </c>
    </row>
    <row r="902" spans="1:14" x14ac:dyDescent="0.25">
      <c r="A902">
        <v>16122</v>
      </c>
      <c r="B902" t="s">
        <v>36</v>
      </c>
      <c r="C902" t="s">
        <v>39</v>
      </c>
      <c r="D902" s="32">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2">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2">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2">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2">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2">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2">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2">
        <v>50000</v>
      </c>
      <c r="E909">
        <v>4</v>
      </c>
      <c r="F909" t="s">
        <v>13</v>
      </c>
      <c r="G909" t="s">
        <v>28</v>
      </c>
      <c r="H909" t="s">
        <v>15</v>
      </c>
      <c r="I909">
        <v>2</v>
      </c>
      <c r="J909" t="s">
        <v>50</v>
      </c>
      <c r="K909" t="s">
        <v>32</v>
      </c>
      <c r="L909">
        <v>63</v>
      </c>
      <c r="M909" t="str">
        <f t="shared" si="14"/>
        <v>Old</v>
      </c>
      <c r="N909" t="s">
        <v>18</v>
      </c>
    </row>
    <row r="910" spans="1:14" x14ac:dyDescent="0.25">
      <c r="A910">
        <v>23195</v>
      </c>
      <c r="B910" t="s">
        <v>37</v>
      </c>
      <c r="C910" t="s">
        <v>39</v>
      </c>
      <c r="D910" s="32">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2">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2">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2">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2">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2">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2">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2">
        <v>60000</v>
      </c>
      <c r="E917">
        <v>3</v>
      </c>
      <c r="F917" t="s">
        <v>31</v>
      </c>
      <c r="G917" t="s">
        <v>28</v>
      </c>
      <c r="H917" t="s">
        <v>15</v>
      </c>
      <c r="I917">
        <v>2</v>
      </c>
      <c r="J917" t="s">
        <v>50</v>
      </c>
      <c r="K917" t="s">
        <v>32</v>
      </c>
      <c r="L917">
        <v>64</v>
      </c>
      <c r="M917" t="str">
        <f t="shared" si="14"/>
        <v>Old</v>
      </c>
      <c r="N917" t="s">
        <v>18</v>
      </c>
    </row>
    <row r="918" spans="1:14" x14ac:dyDescent="0.25">
      <c r="A918">
        <v>27273</v>
      </c>
      <c r="B918" t="s">
        <v>37</v>
      </c>
      <c r="C918" t="s">
        <v>39</v>
      </c>
      <c r="D918" s="32">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2">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2">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2">
        <v>40000</v>
      </c>
      <c r="E921">
        <v>4</v>
      </c>
      <c r="F921" t="s">
        <v>27</v>
      </c>
      <c r="G921" t="s">
        <v>21</v>
      </c>
      <c r="H921" t="s">
        <v>15</v>
      </c>
      <c r="I921">
        <v>2</v>
      </c>
      <c r="J921" t="s">
        <v>50</v>
      </c>
      <c r="K921" t="s">
        <v>32</v>
      </c>
      <c r="L921">
        <v>61</v>
      </c>
      <c r="M921" t="str">
        <f t="shared" si="14"/>
        <v>Old</v>
      </c>
      <c r="N921" t="s">
        <v>18</v>
      </c>
    </row>
    <row r="922" spans="1:14" x14ac:dyDescent="0.25">
      <c r="A922">
        <v>20754</v>
      </c>
      <c r="B922" t="s">
        <v>36</v>
      </c>
      <c r="C922" t="s">
        <v>39</v>
      </c>
      <c r="D922" s="32">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2">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2">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2">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2">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2">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2">
        <v>40000</v>
      </c>
      <c r="E928">
        <v>2</v>
      </c>
      <c r="F928" t="s">
        <v>27</v>
      </c>
      <c r="G928" t="s">
        <v>21</v>
      </c>
      <c r="H928" t="s">
        <v>15</v>
      </c>
      <c r="I928">
        <v>2</v>
      </c>
      <c r="J928" t="s">
        <v>50</v>
      </c>
      <c r="K928" t="s">
        <v>32</v>
      </c>
      <c r="L928">
        <v>57</v>
      </c>
      <c r="M928" t="str">
        <f t="shared" si="14"/>
        <v>Old</v>
      </c>
      <c r="N928" t="s">
        <v>18</v>
      </c>
    </row>
    <row r="929" spans="1:14" x14ac:dyDescent="0.25">
      <c r="A929">
        <v>11823</v>
      </c>
      <c r="B929" t="s">
        <v>36</v>
      </c>
      <c r="C929" t="s">
        <v>38</v>
      </c>
      <c r="D929" s="32">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2">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2">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2">
        <v>70000</v>
      </c>
      <c r="E932">
        <v>5</v>
      </c>
      <c r="F932" t="s">
        <v>31</v>
      </c>
      <c r="G932" t="s">
        <v>21</v>
      </c>
      <c r="H932" t="s">
        <v>18</v>
      </c>
      <c r="I932">
        <v>3</v>
      </c>
      <c r="J932" t="s">
        <v>50</v>
      </c>
      <c r="K932" t="s">
        <v>32</v>
      </c>
      <c r="L932">
        <v>47</v>
      </c>
      <c r="M932" t="str">
        <f t="shared" si="14"/>
        <v>Middle Age</v>
      </c>
      <c r="N932" t="s">
        <v>18</v>
      </c>
    </row>
    <row r="933" spans="1:14" x14ac:dyDescent="0.25">
      <c r="A933">
        <v>14914</v>
      </c>
      <c r="B933" t="s">
        <v>36</v>
      </c>
      <c r="C933" t="s">
        <v>38</v>
      </c>
      <c r="D933" s="32">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2">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2">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2">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2">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2">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2">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2">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2">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2">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2">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2">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2">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2">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2">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2">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2">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2">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2">
        <v>70000</v>
      </c>
      <c r="E951">
        <v>2</v>
      </c>
      <c r="F951" t="s">
        <v>29</v>
      </c>
      <c r="G951" t="s">
        <v>14</v>
      </c>
      <c r="H951" t="s">
        <v>15</v>
      </c>
      <c r="I951">
        <v>2</v>
      </c>
      <c r="J951" t="s">
        <v>50</v>
      </c>
      <c r="K951" t="s">
        <v>32</v>
      </c>
      <c r="L951">
        <v>53</v>
      </c>
      <c r="M951" t="str">
        <f t="shared" si="14"/>
        <v>Middle Age</v>
      </c>
      <c r="N951" t="s">
        <v>18</v>
      </c>
    </row>
    <row r="952" spans="1:14" x14ac:dyDescent="0.25">
      <c r="A952">
        <v>11788</v>
      </c>
      <c r="B952" t="s">
        <v>37</v>
      </c>
      <c r="C952" t="s">
        <v>38</v>
      </c>
      <c r="D952" s="32">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2">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2">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2">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2">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2">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2">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2">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2">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2">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2">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2">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32">
        <v>60000</v>
      </c>
      <c r="E964">
        <v>2</v>
      </c>
      <c r="F964" t="s">
        <v>19</v>
      </c>
      <c r="G964" t="s">
        <v>21</v>
      </c>
      <c r="H964" t="s">
        <v>15</v>
      </c>
      <c r="I964">
        <v>2</v>
      </c>
      <c r="J964" t="s">
        <v>50</v>
      </c>
      <c r="K964" t="s">
        <v>32</v>
      </c>
      <c r="L964">
        <v>55</v>
      </c>
      <c r="M964" t="str">
        <f t="shared" si="15"/>
        <v>Old</v>
      </c>
      <c r="N964" t="s">
        <v>18</v>
      </c>
    </row>
    <row r="965" spans="1:14" x14ac:dyDescent="0.25">
      <c r="A965">
        <v>16007</v>
      </c>
      <c r="B965" t="s">
        <v>36</v>
      </c>
      <c r="C965" t="s">
        <v>38</v>
      </c>
      <c r="D965" s="32">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2">
        <v>70000</v>
      </c>
      <c r="E966">
        <v>4</v>
      </c>
      <c r="F966" t="s">
        <v>19</v>
      </c>
      <c r="G966" t="s">
        <v>21</v>
      </c>
      <c r="H966" t="s">
        <v>15</v>
      </c>
      <c r="I966">
        <v>1</v>
      </c>
      <c r="J966" t="s">
        <v>50</v>
      </c>
      <c r="K966" t="s">
        <v>32</v>
      </c>
      <c r="L966">
        <v>56</v>
      </c>
      <c r="M966" t="str">
        <f t="shared" si="15"/>
        <v>Old</v>
      </c>
      <c r="N966" t="s">
        <v>18</v>
      </c>
    </row>
    <row r="967" spans="1:14" x14ac:dyDescent="0.25">
      <c r="A967">
        <v>27756</v>
      </c>
      <c r="B967" t="s">
        <v>37</v>
      </c>
      <c r="C967" t="s">
        <v>38</v>
      </c>
      <c r="D967" s="32">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2">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2">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2">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2">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2">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2">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2">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2">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2">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2">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2">
        <v>60000</v>
      </c>
      <c r="E978">
        <v>3</v>
      </c>
      <c r="F978" t="s">
        <v>13</v>
      </c>
      <c r="G978" t="s">
        <v>28</v>
      </c>
      <c r="H978" t="s">
        <v>15</v>
      </c>
      <c r="I978">
        <v>2</v>
      </c>
      <c r="J978" t="s">
        <v>50</v>
      </c>
      <c r="K978" t="s">
        <v>32</v>
      </c>
      <c r="L978">
        <v>66</v>
      </c>
      <c r="M978" t="str">
        <f t="shared" si="15"/>
        <v>Old</v>
      </c>
      <c r="N978" t="s">
        <v>18</v>
      </c>
    </row>
    <row r="979" spans="1:14" x14ac:dyDescent="0.25">
      <c r="A979">
        <v>19741</v>
      </c>
      <c r="B979" t="s">
        <v>37</v>
      </c>
      <c r="C979" t="s">
        <v>38</v>
      </c>
      <c r="D979" s="32">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2">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2">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2">
        <v>80000</v>
      </c>
      <c r="E982">
        <v>3</v>
      </c>
      <c r="F982" t="s">
        <v>13</v>
      </c>
      <c r="G982" t="s">
        <v>14</v>
      </c>
      <c r="H982" t="s">
        <v>15</v>
      </c>
      <c r="I982">
        <v>3</v>
      </c>
      <c r="J982" t="s">
        <v>50</v>
      </c>
      <c r="K982" t="s">
        <v>32</v>
      </c>
      <c r="L982">
        <v>40</v>
      </c>
      <c r="M982" t="str">
        <f t="shared" si="15"/>
        <v>Middle Age</v>
      </c>
      <c r="N982" t="s">
        <v>15</v>
      </c>
    </row>
    <row r="983" spans="1:14" x14ac:dyDescent="0.25">
      <c r="A983">
        <v>15982</v>
      </c>
      <c r="B983" t="s">
        <v>36</v>
      </c>
      <c r="C983" t="s">
        <v>39</v>
      </c>
      <c r="D983" s="32">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2">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2">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2">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2">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2">
        <v>40000</v>
      </c>
      <c r="E988">
        <v>5</v>
      </c>
      <c r="F988" t="s">
        <v>27</v>
      </c>
      <c r="G988" t="s">
        <v>21</v>
      </c>
      <c r="H988" t="s">
        <v>15</v>
      </c>
      <c r="I988">
        <v>4</v>
      </c>
      <c r="J988" t="s">
        <v>50</v>
      </c>
      <c r="K988" t="s">
        <v>32</v>
      </c>
      <c r="L988">
        <v>60</v>
      </c>
      <c r="M988" t="str">
        <f t="shared" si="15"/>
        <v>Old</v>
      </c>
      <c r="N988" t="s">
        <v>15</v>
      </c>
    </row>
    <row r="989" spans="1:14" x14ac:dyDescent="0.25">
      <c r="A989">
        <v>28972</v>
      </c>
      <c r="B989" t="s">
        <v>37</v>
      </c>
      <c r="C989" t="s">
        <v>38</v>
      </c>
      <c r="D989" s="32">
        <v>60000</v>
      </c>
      <c r="E989">
        <v>3</v>
      </c>
      <c r="F989" t="s">
        <v>31</v>
      </c>
      <c r="G989" t="s">
        <v>28</v>
      </c>
      <c r="H989" t="s">
        <v>15</v>
      </c>
      <c r="I989">
        <v>2</v>
      </c>
      <c r="J989" t="s">
        <v>50</v>
      </c>
      <c r="K989" t="s">
        <v>32</v>
      </c>
      <c r="L989">
        <v>66</v>
      </c>
      <c r="M989" t="str">
        <f t="shared" si="15"/>
        <v>Old</v>
      </c>
      <c r="N989" t="s">
        <v>18</v>
      </c>
    </row>
    <row r="990" spans="1:14" x14ac:dyDescent="0.25">
      <c r="A990">
        <v>22730</v>
      </c>
      <c r="B990" t="s">
        <v>36</v>
      </c>
      <c r="C990" t="s">
        <v>39</v>
      </c>
      <c r="D990" s="32">
        <v>70000</v>
      </c>
      <c r="E990">
        <v>5</v>
      </c>
      <c r="F990" t="s">
        <v>13</v>
      </c>
      <c r="G990" t="s">
        <v>28</v>
      </c>
      <c r="H990" t="s">
        <v>15</v>
      </c>
      <c r="I990">
        <v>2</v>
      </c>
      <c r="J990" t="s">
        <v>50</v>
      </c>
      <c r="K990" t="s">
        <v>32</v>
      </c>
      <c r="L990">
        <v>63</v>
      </c>
      <c r="M990" t="str">
        <f t="shared" si="15"/>
        <v>Old</v>
      </c>
      <c r="N990" t="s">
        <v>18</v>
      </c>
    </row>
    <row r="991" spans="1:14" x14ac:dyDescent="0.25">
      <c r="A991">
        <v>29134</v>
      </c>
      <c r="B991" t="s">
        <v>36</v>
      </c>
      <c r="C991" t="s">
        <v>39</v>
      </c>
      <c r="D991" s="32">
        <v>60000</v>
      </c>
      <c r="E991">
        <v>4</v>
      </c>
      <c r="F991" t="s">
        <v>13</v>
      </c>
      <c r="G991" t="s">
        <v>14</v>
      </c>
      <c r="H991" t="s">
        <v>18</v>
      </c>
      <c r="I991">
        <v>3</v>
      </c>
      <c r="J991" t="s">
        <v>50</v>
      </c>
      <c r="K991" t="s">
        <v>32</v>
      </c>
      <c r="L991">
        <v>42</v>
      </c>
      <c r="M991" t="str">
        <f t="shared" si="15"/>
        <v>Middle Age</v>
      </c>
      <c r="N991" t="s">
        <v>18</v>
      </c>
    </row>
    <row r="992" spans="1:14" x14ac:dyDescent="0.25">
      <c r="A992">
        <v>14332</v>
      </c>
      <c r="B992" t="s">
        <v>37</v>
      </c>
      <c r="C992" t="s">
        <v>38</v>
      </c>
      <c r="D992" s="32">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2">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2">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2">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2">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2">
        <v>60000</v>
      </c>
      <c r="E997" s="1">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2">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2">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2">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2">
        <v>60000</v>
      </c>
      <c r="E1001">
        <v>3</v>
      </c>
      <c r="F1001" t="s">
        <v>27</v>
      </c>
      <c r="G1001" t="s">
        <v>21</v>
      </c>
      <c r="H1001" t="s">
        <v>15</v>
      </c>
      <c r="I1001">
        <v>2</v>
      </c>
      <c r="J1001" t="s">
        <v>50</v>
      </c>
      <c r="K1001" t="s">
        <v>32</v>
      </c>
      <c r="L1001">
        <v>53</v>
      </c>
      <c r="M1001" t="str">
        <f t="shared" si="15"/>
        <v>Middle Age</v>
      </c>
      <c r="N1001" t="s">
        <v>15</v>
      </c>
    </row>
  </sheetData>
  <autoFilter ref="A1:N1001" xr:uid="{5B5C9BE0-B3EA-4776-9B0A-D816A885939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45B0-B8C9-43BC-9821-5FF65CEF1A67}">
  <dimension ref="A1:D109"/>
  <sheetViews>
    <sheetView zoomScale="70" zoomScaleNormal="70" workbookViewId="0">
      <selection activeCell="G26" sqref="G26"/>
    </sheetView>
  </sheetViews>
  <sheetFormatPr defaultRowHeight="15" x14ac:dyDescent="0.25"/>
  <cols>
    <col min="1" max="1" width="22.85546875" bestFit="1" customWidth="1"/>
    <col min="2" max="2" width="16.28515625" bestFit="1" customWidth="1"/>
    <col min="3" max="3" width="8.140625" bestFit="1" customWidth="1"/>
    <col min="4" max="4" width="11.28515625" bestFit="1" customWidth="1"/>
  </cols>
  <sheetData>
    <row r="1" spans="1:4" x14ac:dyDescent="0.25">
      <c r="A1" s="3" t="s">
        <v>44</v>
      </c>
      <c r="B1" s="3" t="s">
        <v>45</v>
      </c>
    </row>
    <row r="2" spans="1:4" x14ac:dyDescent="0.25">
      <c r="A2" s="3" t="s">
        <v>42</v>
      </c>
      <c r="B2" t="s">
        <v>18</v>
      </c>
      <c r="C2" t="s">
        <v>15</v>
      </c>
      <c r="D2" t="s">
        <v>43</v>
      </c>
    </row>
    <row r="3" spans="1:4" x14ac:dyDescent="0.25">
      <c r="A3" s="4" t="s">
        <v>38</v>
      </c>
      <c r="B3" s="6">
        <v>53440</v>
      </c>
      <c r="C3" s="6">
        <v>55774.058577405856</v>
      </c>
      <c r="D3" s="6">
        <v>54580.777096114522</v>
      </c>
    </row>
    <row r="4" spans="1:4" x14ac:dyDescent="0.25">
      <c r="A4" s="4" t="s">
        <v>39</v>
      </c>
      <c r="B4" s="6">
        <v>56208.178438661707</v>
      </c>
      <c r="C4" s="6">
        <v>60123.966942148763</v>
      </c>
      <c r="D4" s="6">
        <v>58062.62230919765</v>
      </c>
    </row>
    <row r="5" spans="1:4" x14ac:dyDescent="0.25">
      <c r="A5" s="4" t="s">
        <v>43</v>
      </c>
      <c r="B5" s="5">
        <v>54874.759152215796</v>
      </c>
      <c r="C5" s="5">
        <v>57962.577962577961</v>
      </c>
      <c r="D5" s="5">
        <v>56360</v>
      </c>
    </row>
    <row r="18" spans="1:4" x14ac:dyDescent="0.25">
      <c r="A18" s="3" t="s">
        <v>49</v>
      </c>
      <c r="B18" s="3" t="s">
        <v>45</v>
      </c>
    </row>
    <row r="19" spans="1:4" x14ac:dyDescent="0.25">
      <c r="A19" s="3" t="s">
        <v>42</v>
      </c>
      <c r="B19" t="s">
        <v>18</v>
      </c>
      <c r="C19" t="s">
        <v>15</v>
      </c>
      <c r="D19" t="s">
        <v>43</v>
      </c>
    </row>
    <row r="20" spans="1:4" x14ac:dyDescent="0.25">
      <c r="A20" s="4" t="s">
        <v>16</v>
      </c>
      <c r="B20">
        <v>166</v>
      </c>
      <c r="C20">
        <v>200</v>
      </c>
      <c r="D20">
        <v>366</v>
      </c>
    </row>
    <row r="21" spans="1:4" x14ac:dyDescent="0.25">
      <c r="A21" s="4" t="s">
        <v>26</v>
      </c>
      <c r="B21">
        <v>92</v>
      </c>
      <c r="C21">
        <v>77</v>
      </c>
      <c r="D21">
        <v>169</v>
      </c>
    </row>
    <row r="22" spans="1:4" x14ac:dyDescent="0.25">
      <c r="A22" s="4" t="s">
        <v>22</v>
      </c>
      <c r="B22">
        <v>67</v>
      </c>
      <c r="C22">
        <v>95</v>
      </c>
      <c r="D22">
        <v>162</v>
      </c>
    </row>
    <row r="23" spans="1:4" x14ac:dyDescent="0.25">
      <c r="A23" s="4" t="s">
        <v>23</v>
      </c>
      <c r="B23">
        <v>116</v>
      </c>
      <c r="C23">
        <v>76</v>
      </c>
      <c r="D23">
        <v>192</v>
      </c>
    </row>
    <row r="24" spans="1:4" x14ac:dyDescent="0.25">
      <c r="A24" s="4" t="s">
        <v>50</v>
      </c>
      <c r="B24">
        <v>78</v>
      </c>
      <c r="C24">
        <v>33</v>
      </c>
      <c r="D24">
        <v>111</v>
      </c>
    </row>
    <row r="25" spans="1:4" x14ac:dyDescent="0.25">
      <c r="A25" s="4" t="s">
        <v>43</v>
      </c>
      <c r="B25">
        <v>519</v>
      </c>
      <c r="C25">
        <v>481</v>
      </c>
      <c r="D25">
        <v>1000</v>
      </c>
    </row>
    <row r="37" spans="1:4" x14ac:dyDescent="0.25">
      <c r="A37" s="3" t="s">
        <v>49</v>
      </c>
      <c r="B37" s="3" t="s">
        <v>45</v>
      </c>
    </row>
    <row r="38" spans="1:4" x14ac:dyDescent="0.25">
      <c r="A38" s="3" t="s">
        <v>42</v>
      </c>
      <c r="B38" t="s">
        <v>18</v>
      </c>
      <c r="C38" t="s">
        <v>15</v>
      </c>
      <c r="D38" t="s">
        <v>43</v>
      </c>
    </row>
    <row r="39" spans="1:4" x14ac:dyDescent="0.25">
      <c r="A39" s="4" t="s">
        <v>47</v>
      </c>
      <c r="B39">
        <v>71</v>
      </c>
      <c r="C39">
        <v>39</v>
      </c>
      <c r="D39">
        <v>110</v>
      </c>
    </row>
    <row r="40" spans="1:4" x14ac:dyDescent="0.25">
      <c r="A40" s="4" t="s">
        <v>46</v>
      </c>
      <c r="B40">
        <v>318</v>
      </c>
      <c r="C40">
        <v>383</v>
      </c>
      <c r="D40">
        <v>701</v>
      </c>
    </row>
    <row r="41" spans="1:4" x14ac:dyDescent="0.25">
      <c r="A41" s="4" t="s">
        <v>48</v>
      </c>
      <c r="B41">
        <v>130</v>
      </c>
      <c r="C41">
        <v>59</v>
      </c>
      <c r="D41">
        <v>189</v>
      </c>
    </row>
    <row r="42" spans="1:4" x14ac:dyDescent="0.25">
      <c r="A42" s="4" t="s">
        <v>43</v>
      </c>
      <c r="B42">
        <v>519</v>
      </c>
      <c r="C42">
        <v>481</v>
      </c>
      <c r="D42">
        <v>1000</v>
      </c>
    </row>
    <row r="54" spans="1:4" x14ac:dyDescent="0.25">
      <c r="A54" s="3" t="s">
        <v>49</v>
      </c>
      <c r="B54" s="3" t="s">
        <v>45</v>
      </c>
    </row>
    <row r="55" spans="1:4" x14ac:dyDescent="0.25">
      <c r="A55" s="3" t="s">
        <v>42</v>
      </c>
      <c r="B55" t="s">
        <v>18</v>
      </c>
      <c r="C55" t="s">
        <v>15</v>
      </c>
      <c r="D55" t="s">
        <v>43</v>
      </c>
    </row>
    <row r="56" spans="1:4" x14ac:dyDescent="0.25">
      <c r="A56" s="4">
        <v>25</v>
      </c>
      <c r="B56">
        <v>2</v>
      </c>
      <c r="C56">
        <v>4</v>
      </c>
      <c r="D56">
        <v>6</v>
      </c>
    </row>
    <row r="57" spans="1:4" x14ac:dyDescent="0.25">
      <c r="A57" s="4">
        <v>26</v>
      </c>
      <c r="B57">
        <v>8</v>
      </c>
      <c r="C57">
        <v>8</v>
      </c>
      <c r="D57">
        <v>16</v>
      </c>
    </row>
    <row r="58" spans="1:4" x14ac:dyDescent="0.25">
      <c r="A58" s="4">
        <v>27</v>
      </c>
      <c r="B58">
        <v>15</v>
      </c>
      <c r="C58">
        <v>8</v>
      </c>
      <c r="D58">
        <v>23</v>
      </c>
    </row>
    <row r="59" spans="1:4" x14ac:dyDescent="0.25">
      <c r="A59" s="4">
        <v>28</v>
      </c>
      <c r="B59">
        <v>12</v>
      </c>
      <c r="C59">
        <v>10</v>
      </c>
      <c r="D59">
        <v>22</v>
      </c>
    </row>
    <row r="60" spans="1:4" x14ac:dyDescent="0.25">
      <c r="A60" s="4">
        <v>29</v>
      </c>
      <c r="B60">
        <v>11</v>
      </c>
      <c r="C60">
        <v>5</v>
      </c>
      <c r="D60">
        <v>16</v>
      </c>
    </row>
    <row r="61" spans="1:4" x14ac:dyDescent="0.25">
      <c r="A61" s="4">
        <v>30</v>
      </c>
      <c r="B61">
        <v>23</v>
      </c>
      <c r="C61">
        <v>4</v>
      </c>
      <c r="D61">
        <v>27</v>
      </c>
    </row>
    <row r="62" spans="1:4" x14ac:dyDescent="0.25">
      <c r="A62" s="4">
        <v>31</v>
      </c>
      <c r="B62">
        <v>17</v>
      </c>
      <c r="C62">
        <v>8</v>
      </c>
      <c r="D62">
        <v>25</v>
      </c>
    </row>
    <row r="63" spans="1:4" x14ac:dyDescent="0.25">
      <c r="A63" s="4">
        <v>32</v>
      </c>
      <c r="B63">
        <v>19</v>
      </c>
      <c r="C63">
        <v>14</v>
      </c>
      <c r="D63">
        <v>33</v>
      </c>
    </row>
    <row r="64" spans="1:4" x14ac:dyDescent="0.25">
      <c r="A64" s="4">
        <v>33</v>
      </c>
      <c r="B64">
        <v>8</v>
      </c>
      <c r="C64">
        <v>13</v>
      </c>
      <c r="D64">
        <v>21</v>
      </c>
    </row>
    <row r="65" spans="1:4" x14ac:dyDescent="0.25">
      <c r="A65" s="4">
        <v>34</v>
      </c>
      <c r="B65">
        <v>12</v>
      </c>
      <c r="C65">
        <v>19</v>
      </c>
      <c r="D65">
        <v>31</v>
      </c>
    </row>
    <row r="66" spans="1:4" x14ac:dyDescent="0.25">
      <c r="A66" s="4">
        <v>35</v>
      </c>
      <c r="B66">
        <v>14</v>
      </c>
      <c r="C66">
        <v>22</v>
      </c>
      <c r="D66">
        <v>36</v>
      </c>
    </row>
    <row r="67" spans="1:4" x14ac:dyDescent="0.25">
      <c r="A67" s="4">
        <v>36</v>
      </c>
      <c r="B67">
        <v>7</v>
      </c>
      <c r="C67">
        <v>30</v>
      </c>
      <c r="D67">
        <v>37</v>
      </c>
    </row>
    <row r="68" spans="1:4" x14ac:dyDescent="0.25">
      <c r="A68" s="4">
        <v>37</v>
      </c>
      <c r="B68">
        <v>4</v>
      </c>
      <c r="C68">
        <v>28</v>
      </c>
      <c r="D68">
        <v>32</v>
      </c>
    </row>
    <row r="69" spans="1:4" x14ac:dyDescent="0.25">
      <c r="A69" s="4">
        <v>38</v>
      </c>
      <c r="B69">
        <v>8</v>
      </c>
      <c r="C69">
        <v>29</v>
      </c>
      <c r="D69">
        <v>37</v>
      </c>
    </row>
    <row r="70" spans="1:4" x14ac:dyDescent="0.25">
      <c r="A70" s="4">
        <v>39</v>
      </c>
      <c r="B70">
        <v>10</v>
      </c>
      <c r="C70">
        <v>12</v>
      </c>
      <c r="D70">
        <v>22</v>
      </c>
    </row>
    <row r="71" spans="1:4" x14ac:dyDescent="0.25">
      <c r="A71" s="4">
        <v>40</v>
      </c>
      <c r="B71">
        <v>24</v>
      </c>
      <c r="C71">
        <v>18</v>
      </c>
      <c r="D71">
        <v>42</v>
      </c>
    </row>
    <row r="72" spans="1:4" x14ac:dyDescent="0.25">
      <c r="A72" s="4">
        <v>41</v>
      </c>
      <c r="B72">
        <v>13</v>
      </c>
      <c r="C72">
        <v>15</v>
      </c>
      <c r="D72">
        <v>28</v>
      </c>
    </row>
    <row r="73" spans="1:4" x14ac:dyDescent="0.25">
      <c r="A73" s="4">
        <v>42</v>
      </c>
      <c r="B73">
        <v>22</v>
      </c>
      <c r="C73">
        <v>12</v>
      </c>
      <c r="D73">
        <v>34</v>
      </c>
    </row>
    <row r="74" spans="1:4" x14ac:dyDescent="0.25">
      <c r="A74" s="4">
        <v>43</v>
      </c>
      <c r="B74">
        <v>17</v>
      </c>
      <c r="C74">
        <v>19</v>
      </c>
      <c r="D74">
        <v>36</v>
      </c>
    </row>
    <row r="75" spans="1:4" x14ac:dyDescent="0.25">
      <c r="A75" s="4">
        <v>44</v>
      </c>
      <c r="B75">
        <v>15</v>
      </c>
      <c r="C75">
        <v>12</v>
      </c>
      <c r="D75">
        <v>27</v>
      </c>
    </row>
    <row r="76" spans="1:4" x14ac:dyDescent="0.25">
      <c r="A76" s="4">
        <v>45</v>
      </c>
      <c r="B76">
        <v>18</v>
      </c>
      <c r="C76">
        <v>13</v>
      </c>
      <c r="D76">
        <v>31</v>
      </c>
    </row>
    <row r="77" spans="1:4" x14ac:dyDescent="0.25">
      <c r="A77" s="4">
        <v>46</v>
      </c>
      <c r="B77">
        <v>12</v>
      </c>
      <c r="C77">
        <v>15</v>
      </c>
      <c r="D77">
        <v>27</v>
      </c>
    </row>
    <row r="78" spans="1:4" x14ac:dyDescent="0.25">
      <c r="A78" s="4">
        <v>47</v>
      </c>
      <c r="B78">
        <v>19</v>
      </c>
      <c r="C78">
        <v>20</v>
      </c>
      <c r="D78">
        <v>39</v>
      </c>
    </row>
    <row r="79" spans="1:4" x14ac:dyDescent="0.25">
      <c r="A79" s="4">
        <v>48</v>
      </c>
      <c r="B79">
        <v>16</v>
      </c>
      <c r="C79">
        <v>13</v>
      </c>
      <c r="D79">
        <v>29</v>
      </c>
    </row>
    <row r="80" spans="1:4" x14ac:dyDescent="0.25">
      <c r="A80" s="4">
        <v>49</v>
      </c>
      <c r="B80">
        <v>15</v>
      </c>
      <c r="C80">
        <v>8</v>
      </c>
      <c r="D80">
        <v>23</v>
      </c>
    </row>
    <row r="81" spans="1:4" x14ac:dyDescent="0.25">
      <c r="A81" s="4">
        <v>50</v>
      </c>
      <c r="B81">
        <v>12</v>
      </c>
      <c r="C81">
        <v>12</v>
      </c>
      <c r="D81">
        <v>24</v>
      </c>
    </row>
    <row r="82" spans="1:4" x14ac:dyDescent="0.25">
      <c r="A82" s="4">
        <v>51</v>
      </c>
      <c r="B82">
        <v>10</v>
      </c>
      <c r="C82">
        <v>12</v>
      </c>
      <c r="D82">
        <v>22</v>
      </c>
    </row>
    <row r="83" spans="1:4" x14ac:dyDescent="0.25">
      <c r="A83" s="4">
        <v>52</v>
      </c>
      <c r="B83">
        <v>10</v>
      </c>
      <c r="C83">
        <v>15</v>
      </c>
      <c r="D83">
        <v>25</v>
      </c>
    </row>
    <row r="84" spans="1:4" x14ac:dyDescent="0.25">
      <c r="A84" s="4">
        <v>53</v>
      </c>
      <c r="B84">
        <v>11</v>
      </c>
      <c r="C84">
        <v>13</v>
      </c>
      <c r="D84">
        <v>24</v>
      </c>
    </row>
    <row r="85" spans="1:4" x14ac:dyDescent="0.25">
      <c r="A85" s="4">
        <v>54</v>
      </c>
      <c r="B85">
        <v>5</v>
      </c>
      <c r="C85">
        <v>11</v>
      </c>
      <c r="D85">
        <v>16</v>
      </c>
    </row>
    <row r="86" spans="1:4" x14ac:dyDescent="0.25">
      <c r="A86" s="4">
        <v>55</v>
      </c>
      <c r="B86">
        <v>13</v>
      </c>
      <c r="C86">
        <v>5</v>
      </c>
      <c r="D86">
        <v>18</v>
      </c>
    </row>
    <row r="87" spans="1:4" x14ac:dyDescent="0.25">
      <c r="A87" s="4">
        <v>56</v>
      </c>
      <c r="B87">
        <v>13</v>
      </c>
      <c r="C87">
        <v>3</v>
      </c>
      <c r="D87">
        <v>16</v>
      </c>
    </row>
    <row r="88" spans="1:4" x14ac:dyDescent="0.25">
      <c r="A88" s="4">
        <v>57</v>
      </c>
      <c r="B88">
        <v>4</v>
      </c>
      <c r="C88">
        <v>4</v>
      </c>
      <c r="D88">
        <v>8</v>
      </c>
    </row>
    <row r="89" spans="1:4" x14ac:dyDescent="0.25">
      <c r="A89" s="4">
        <v>58</v>
      </c>
      <c r="B89">
        <v>8</v>
      </c>
      <c r="C89">
        <v>4</v>
      </c>
      <c r="D89">
        <v>12</v>
      </c>
    </row>
    <row r="90" spans="1:4" x14ac:dyDescent="0.25">
      <c r="A90" s="4">
        <v>59</v>
      </c>
      <c r="B90">
        <v>14</v>
      </c>
      <c r="C90">
        <v>6</v>
      </c>
      <c r="D90">
        <v>20</v>
      </c>
    </row>
    <row r="91" spans="1:4" x14ac:dyDescent="0.25">
      <c r="A91" s="4">
        <v>60</v>
      </c>
      <c r="B91">
        <v>8</v>
      </c>
      <c r="C91">
        <v>7</v>
      </c>
      <c r="D91">
        <v>15</v>
      </c>
    </row>
    <row r="92" spans="1:4" x14ac:dyDescent="0.25">
      <c r="A92" s="4">
        <v>61</v>
      </c>
      <c r="B92">
        <v>5</v>
      </c>
      <c r="C92">
        <v>4</v>
      </c>
      <c r="D92">
        <v>9</v>
      </c>
    </row>
    <row r="93" spans="1:4" x14ac:dyDescent="0.25">
      <c r="A93" s="4">
        <v>62</v>
      </c>
      <c r="B93">
        <v>9</v>
      </c>
      <c r="C93">
        <v>4</v>
      </c>
      <c r="D93">
        <v>13</v>
      </c>
    </row>
    <row r="94" spans="1:4" x14ac:dyDescent="0.25">
      <c r="A94" s="4">
        <v>63</v>
      </c>
      <c r="B94">
        <v>7</v>
      </c>
      <c r="C94">
        <v>2</v>
      </c>
      <c r="D94">
        <v>9</v>
      </c>
    </row>
    <row r="95" spans="1:4" x14ac:dyDescent="0.25">
      <c r="A95" s="4">
        <v>64</v>
      </c>
      <c r="B95">
        <v>7</v>
      </c>
      <c r="C95">
        <v>3</v>
      </c>
      <c r="D95">
        <v>10</v>
      </c>
    </row>
    <row r="96" spans="1:4" x14ac:dyDescent="0.25">
      <c r="A96" s="4">
        <v>65</v>
      </c>
      <c r="B96">
        <v>6</v>
      </c>
      <c r="C96">
        <v>3</v>
      </c>
      <c r="D96">
        <v>9</v>
      </c>
    </row>
    <row r="97" spans="1:4" x14ac:dyDescent="0.25">
      <c r="A97" s="4">
        <v>66</v>
      </c>
      <c r="B97">
        <v>8</v>
      </c>
      <c r="C97">
        <v>6</v>
      </c>
      <c r="D97">
        <v>14</v>
      </c>
    </row>
    <row r="98" spans="1:4" x14ac:dyDescent="0.25">
      <c r="A98" s="4">
        <v>67</v>
      </c>
      <c r="B98">
        <v>8</v>
      </c>
      <c r="C98">
        <v>2</v>
      </c>
      <c r="D98">
        <v>10</v>
      </c>
    </row>
    <row r="99" spans="1:4" x14ac:dyDescent="0.25">
      <c r="A99" s="4">
        <v>68</v>
      </c>
      <c r="B99">
        <v>3</v>
      </c>
      <c r="D99">
        <v>3</v>
      </c>
    </row>
    <row r="100" spans="1:4" x14ac:dyDescent="0.25">
      <c r="A100" s="4">
        <v>69</v>
      </c>
      <c r="B100">
        <v>8</v>
      </c>
      <c r="D100">
        <v>8</v>
      </c>
    </row>
    <row r="101" spans="1:4" x14ac:dyDescent="0.25">
      <c r="A101" s="4">
        <v>70</v>
      </c>
      <c r="B101">
        <v>3</v>
      </c>
      <c r="C101">
        <v>1</v>
      </c>
      <c r="D101">
        <v>4</v>
      </c>
    </row>
    <row r="102" spans="1:4" x14ac:dyDescent="0.25">
      <c r="A102" s="4">
        <v>71</v>
      </c>
      <c r="B102">
        <v>1</v>
      </c>
      <c r="D102">
        <v>1</v>
      </c>
    </row>
    <row r="103" spans="1:4" x14ac:dyDescent="0.25">
      <c r="A103" s="4">
        <v>72</v>
      </c>
      <c r="C103">
        <v>1</v>
      </c>
      <c r="D103">
        <v>1</v>
      </c>
    </row>
    <row r="104" spans="1:4" x14ac:dyDescent="0.25">
      <c r="A104" s="4">
        <v>73</v>
      </c>
      <c r="B104">
        <v>2</v>
      </c>
      <c r="C104">
        <v>2</v>
      </c>
      <c r="D104">
        <v>4</v>
      </c>
    </row>
    <row r="105" spans="1:4" x14ac:dyDescent="0.25">
      <c r="A105" s="4">
        <v>74</v>
      </c>
      <c r="C105">
        <v>1</v>
      </c>
      <c r="D105">
        <v>1</v>
      </c>
    </row>
    <row r="106" spans="1:4" x14ac:dyDescent="0.25">
      <c r="A106" s="4">
        <v>78</v>
      </c>
      <c r="B106">
        <v>1</v>
      </c>
      <c r="C106">
        <v>1</v>
      </c>
      <c r="D106">
        <v>2</v>
      </c>
    </row>
    <row r="107" spans="1:4" x14ac:dyDescent="0.25">
      <c r="A107" s="4">
        <v>80</v>
      </c>
      <c r="B107">
        <v>1</v>
      </c>
      <c r="D107">
        <v>1</v>
      </c>
    </row>
    <row r="108" spans="1:4" x14ac:dyDescent="0.25">
      <c r="A108" s="4">
        <v>89</v>
      </c>
      <c r="B108">
        <v>1</v>
      </c>
      <c r="D108">
        <v>1</v>
      </c>
    </row>
    <row r="109" spans="1:4" x14ac:dyDescent="0.25">
      <c r="A109" s="4" t="s">
        <v>43</v>
      </c>
      <c r="B109">
        <v>519</v>
      </c>
      <c r="C109">
        <v>481</v>
      </c>
      <c r="D109">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2" sqref="D2"/>
    </sheetView>
  </sheetViews>
  <sheetFormatPr defaultColWidth="11.85546875" defaultRowHeight="15" x14ac:dyDescent="0.25"/>
  <cols>
    <col min="4" max="4" width="13.140625"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32">
        <v>40000</v>
      </c>
      <c r="E2">
        <v>1</v>
      </c>
      <c r="F2" t="s">
        <v>13</v>
      </c>
      <c r="G2" t="s">
        <v>14</v>
      </c>
      <c r="H2" t="s">
        <v>15</v>
      </c>
      <c r="I2">
        <v>0</v>
      </c>
      <c r="J2" t="s">
        <v>16</v>
      </c>
      <c r="K2" t="s">
        <v>17</v>
      </c>
      <c r="L2">
        <v>42</v>
      </c>
      <c r="M2" t="s">
        <v>18</v>
      </c>
    </row>
    <row r="3" spans="1:13" x14ac:dyDescent="0.25">
      <c r="A3">
        <v>24107</v>
      </c>
      <c r="B3" t="s">
        <v>34</v>
      </c>
      <c r="C3" t="s">
        <v>34</v>
      </c>
      <c r="D3" s="32">
        <v>30000</v>
      </c>
      <c r="E3">
        <v>3</v>
      </c>
      <c r="F3" t="s">
        <v>19</v>
      </c>
      <c r="G3" t="s">
        <v>20</v>
      </c>
      <c r="H3" t="s">
        <v>15</v>
      </c>
      <c r="I3">
        <v>1</v>
      </c>
      <c r="J3" t="s">
        <v>16</v>
      </c>
      <c r="K3" t="s">
        <v>17</v>
      </c>
      <c r="L3">
        <v>43</v>
      </c>
      <c r="M3" t="s">
        <v>18</v>
      </c>
    </row>
    <row r="4" spans="1:13" x14ac:dyDescent="0.25">
      <c r="A4">
        <v>14177</v>
      </c>
      <c r="B4" t="s">
        <v>34</v>
      </c>
      <c r="C4" t="s">
        <v>34</v>
      </c>
      <c r="D4" s="32">
        <v>80000</v>
      </c>
      <c r="E4">
        <v>5</v>
      </c>
      <c r="F4" t="s">
        <v>19</v>
      </c>
      <c r="G4" t="s">
        <v>21</v>
      </c>
      <c r="H4" t="s">
        <v>18</v>
      </c>
      <c r="I4">
        <v>2</v>
      </c>
      <c r="J4" t="s">
        <v>22</v>
      </c>
      <c r="K4" t="s">
        <v>17</v>
      </c>
      <c r="L4">
        <v>60</v>
      </c>
      <c r="M4" t="s">
        <v>18</v>
      </c>
    </row>
    <row r="5" spans="1:13" x14ac:dyDescent="0.25">
      <c r="A5">
        <v>24381</v>
      </c>
      <c r="B5" t="s">
        <v>35</v>
      </c>
      <c r="C5" t="s">
        <v>34</v>
      </c>
      <c r="D5" s="32">
        <v>70000</v>
      </c>
      <c r="E5">
        <v>0</v>
      </c>
      <c r="F5" t="s">
        <v>13</v>
      </c>
      <c r="G5" t="s">
        <v>21</v>
      </c>
      <c r="H5" t="s">
        <v>15</v>
      </c>
      <c r="I5">
        <v>1</v>
      </c>
      <c r="J5" t="s">
        <v>23</v>
      </c>
      <c r="K5" t="s">
        <v>24</v>
      </c>
      <c r="L5">
        <v>41</v>
      </c>
      <c r="M5" t="s">
        <v>15</v>
      </c>
    </row>
    <row r="6" spans="1:13" x14ac:dyDescent="0.25">
      <c r="A6">
        <v>25597</v>
      </c>
      <c r="B6" t="s">
        <v>35</v>
      </c>
      <c r="C6" t="s">
        <v>34</v>
      </c>
      <c r="D6" s="32">
        <v>30000</v>
      </c>
      <c r="E6">
        <v>0</v>
      </c>
      <c r="F6" t="s">
        <v>13</v>
      </c>
      <c r="G6" t="s">
        <v>20</v>
      </c>
      <c r="H6" t="s">
        <v>18</v>
      </c>
      <c r="I6">
        <v>0</v>
      </c>
      <c r="J6" t="s">
        <v>16</v>
      </c>
      <c r="K6" t="s">
        <v>17</v>
      </c>
      <c r="L6">
        <v>36</v>
      </c>
      <c r="M6" t="s">
        <v>15</v>
      </c>
    </row>
    <row r="7" spans="1:13" x14ac:dyDescent="0.25">
      <c r="A7">
        <v>13507</v>
      </c>
      <c r="B7" t="s">
        <v>34</v>
      </c>
      <c r="C7" t="s">
        <v>33</v>
      </c>
      <c r="D7" s="32">
        <v>10000</v>
      </c>
      <c r="E7">
        <v>2</v>
      </c>
      <c r="F7" t="s">
        <v>19</v>
      </c>
      <c r="G7" t="s">
        <v>25</v>
      </c>
      <c r="H7" t="s">
        <v>15</v>
      </c>
      <c r="I7">
        <v>0</v>
      </c>
      <c r="J7" t="s">
        <v>26</v>
      </c>
      <c r="K7" t="s">
        <v>17</v>
      </c>
      <c r="L7">
        <v>50</v>
      </c>
      <c r="M7" t="s">
        <v>18</v>
      </c>
    </row>
    <row r="8" spans="1:13" x14ac:dyDescent="0.25">
      <c r="A8">
        <v>27974</v>
      </c>
      <c r="B8" t="s">
        <v>35</v>
      </c>
      <c r="C8" t="s">
        <v>34</v>
      </c>
      <c r="D8" s="32">
        <v>160000</v>
      </c>
      <c r="E8">
        <v>2</v>
      </c>
      <c r="F8" t="s">
        <v>27</v>
      </c>
      <c r="G8" t="s">
        <v>28</v>
      </c>
      <c r="H8" t="s">
        <v>15</v>
      </c>
      <c r="I8">
        <v>4</v>
      </c>
      <c r="J8" t="s">
        <v>16</v>
      </c>
      <c r="K8" t="s">
        <v>24</v>
      </c>
      <c r="L8">
        <v>33</v>
      </c>
      <c r="M8" t="s">
        <v>15</v>
      </c>
    </row>
    <row r="9" spans="1:13" x14ac:dyDescent="0.25">
      <c r="A9">
        <v>19364</v>
      </c>
      <c r="B9" t="s">
        <v>34</v>
      </c>
      <c r="C9" t="s">
        <v>34</v>
      </c>
      <c r="D9" s="32">
        <v>40000</v>
      </c>
      <c r="E9">
        <v>1</v>
      </c>
      <c r="F9" t="s">
        <v>13</v>
      </c>
      <c r="G9" t="s">
        <v>14</v>
      </c>
      <c r="H9" t="s">
        <v>15</v>
      </c>
      <c r="I9">
        <v>0</v>
      </c>
      <c r="J9" t="s">
        <v>16</v>
      </c>
      <c r="K9" t="s">
        <v>17</v>
      </c>
      <c r="L9">
        <v>43</v>
      </c>
      <c r="M9" t="s">
        <v>15</v>
      </c>
    </row>
    <row r="10" spans="1:13" x14ac:dyDescent="0.25">
      <c r="A10">
        <v>22155</v>
      </c>
      <c r="B10" t="s">
        <v>34</v>
      </c>
      <c r="C10" t="s">
        <v>34</v>
      </c>
      <c r="D10" s="32">
        <v>20000</v>
      </c>
      <c r="E10">
        <v>2</v>
      </c>
      <c r="F10" t="s">
        <v>29</v>
      </c>
      <c r="G10" t="s">
        <v>20</v>
      </c>
      <c r="H10" t="s">
        <v>15</v>
      </c>
      <c r="I10">
        <v>2</v>
      </c>
      <c r="J10" t="s">
        <v>23</v>
      </c>
      <c r="K10" t="s">
        <v>24</v>
      </c>
      <c r="L10">
        <v>58</v>
      </c>
      <c r="M10" t="s">
        <v>18</v>
      </c>
    </row>
    <row r="11" spans="1:13" x14ac:dyDescent="0.25">
      <c r="A11">
        <v>19280</v>
      </c>
      <c r="B11" t="s">
        <v>34</v>
      </c>
      <c r="C11" t="s">
        <v>34</v>
      </c>
      <c r="D11" s="32">
        <v>120000</v>
      </c>
      <c r="E11">
        <v>2</v>
      </c>
      <c r="F11" t="s">
        <v>19</v>
      </c>
      <c r="G11" t="s">
        <v>25</v>
      </c>
      <c r="H11" t="s">
        <v>15</v>
      </c>
      <c r="I11">
        <v>1</v>
      </c>
      <c r="J11" t="s">
        <v>16</v>
      </c>
      <c r="K11" t="s">
        <v>17</v>
      </c>
      <c r="L11">
        <v>40</v>
      </c>
      <c r="M11" t="s">
        <v>15</v>
      </c>
    </row>
    <row r="12" spans="1:13" x14ac:dyDescent="0.25">
      <c r="A12">
        <v>22173</v>
      </c>
      <c r="B12" t="s">
        <v>34</v>
      </c>
      <c r="C12" t="s">
        <v>33</v>
      </c>
      <c r="D12" s="32">
        <v>30000</v>
      </c>
      <c r="E12">
        <v>3</v>
      </c>
      <c r="F12" t="s">
        <v>27</v>
      </c>
      <c r="G12" t="s">
        <v>14</v>
      </c>
      <c r="H12" t="s">
        <v>18</v>
      </c>
      <c r="I12">
        <v>2</v>
      </c>
      <c r="J12" t="s">
        <v>26</v>
      </c>
      <c r="K12" t="s">
        <v>24</v>
      </c>
      <c r="L12">
        <v>54</v>
      </c>
      <c r="M12" t="s">
        <v>15</v>
      </c>
    </row>
    <row r="13" spans="1:13" x14ac:dyDescent="0.25">
      <c r="A13">
        <v>12697</v>
      </c>
      <c r="B13" t="s">
        <v>35</v>
      </c>
      <c r="C13" t="s">
        <v>33</v>
      </c>
      <c r="D13" s="32">
        <v>90000</v>
      </c>
      <c r="E13">
        <v>0</v>
      </c>
      <c r="F13" t="s">
        <v>13</v>
      </c>
      <c r="G13" t="s">
        <v>21</v>
      </c>
      <c r="H13" t="s">
        <v>18</v>
      </c>
      <c r="I13">
        <v>4</v>
      </c>
      <c r="J13" t="s">
        <v>30</v>
      </c>
      <c r="K13" t="s">
        <v>24</v>
      </c>
      <c r="L13">
        <v>36</v>
      </c>
      <c r="M13" t="s">
        <v>18</v>
      </c>
    </row>
    <row r="14" spans="1:13" x14ac:dyDescent="0.25">
      <c r="A14">
        <v>11434</v>
      </c>
      <c r="B14" t="s">
        <v>34</v>
      </c>
      <c r="C14" t="s">
        <v>34</v>
      </c>
      <c r="D14" s="32">
        <v>170000</v>
      </c>
      <c r="E14">
        <v>5</v>
      </c>
      <c r="F14" t="s">
        <v>19</v>
      </c>
      <c r="G14" t="s">
        <v>21</v>
      </c>
      <c r="H14" t="s">
        <v>15</v>
      </c>
      <c r="I14">
        <v>0</v>
      </c>
      <c r="J14" t="s">
        <v>16</v>
      </c>
      <c r="K14" t="s">
        <v>17</v>
      </c>
      <c r="L14">
        <v>55</v>
      </c>
      <c r="M14" t="s">
        <v>18</v>
      </c>
    </row>
    <row r="15" spans="1:13" x14ac:dyDescent="0.25">
      <c r="A15">
        <v>25323</v>
      </c>
      <c r="B15" t="s">
        <v>34</v>
      </c>
      <c r="C15" t="s">
        <v>34</v>
      </c>
      <c r="D15" s="32">
        <v>40000</v>
      </c>
      <c r="E15">
        <v>2</v>
      </c>
      <c r="F15" t="s">
        <v>19</v>
      </c>
      <c r="G15" t="s">
        <v>20</v>
      </c>
      <c r="H15" t="s">
        <v>15</v>
      </c>
      <c r="I15">
        <v>1</v>
      </c>
      <c r="J15" t="s">
        <v>26</v>
      </c>
      <c r="K15" t="s">
        <v>17</v>
      </c>
      <c r="L15">
        <v>35</v>
      </c>
      <c r="M15" t="s">
        <v>15</v>
      </c>
    </row>
    <row r="16" spans="1:13" x14ac:dyDescent="0.25">
      <c r="A16">
        <v>23542</v>
      </c>
      <c r="B16" t="s">
        <v>35</v>
      </c>
      <c r="C16" t="s">
        <v>34</v>
      </c>
      <c r="D16" s="32">
        <v>60000</v>
      </c>
      <c r="E16">
        <v>1</v>
      </c>
      <c r="F16" t="s">
        <v>19</v>
      </c>
      <c r="G16" t="s">
        <v>14</v>
      </c>
      <c r="H16" t="s">
        <v>18</v>
      </c>
      <c r="I16">
        <v>1</v>
      </c>
      <c r="J16" t="s">
        <v>16</v>
      </c>
      <c r="K16" t="s">
        <v>24</v>
      </c>
      <c r="L16">
        <v>45</v>
      </c>
      <c r="M16" t="s">
        <v>15</v>
      </c>
    </row>
    <row r="17" spans="1:13" x14ac:dyDescent="0.25">
      <c r="A17">
        <v>20870</v>
      </c>
      <c r="B17" t="s">
        <v>35</v>
      </c>
      <c r="C17" t="s">
        <v>33</v>
      </c>
      <c r="D17" s="32">
        <v>10000</v>
      </c>
      <c r="E17">
        <v>2</v>
      </c>
      <c r="F17" t="s">
        <v>27</v>
      </c>
      <c r="G17" t="s">
        <v>25</v>
      </c>
      <c r="H17" t="s">
        <v>15</v>
      </c>
      <c r="I17">
        <v>1</v>
      </c>
      <c r="J17" t="s">
        <v>16</v>
      </c>
      <c r="K17" t="s">
        <v>17</v>
      </c>
      <c r="L17">
        <v>38</v>
      </c>
      <c r="M17" t="s">
        <v>15</v>
      </c>
    </row>
    <row r="18" spans="1:13" x14ac:dyDescent="0.25">
      <c r="A18">
        <v>23316</v>
      </c>
      <c r="B18" t="s">
        <v>35</v>
      </c>
      <c r="C18" t="s">
        <v>34</v>
      </c>
      <c r="D18" s="32">
        <v>30000</v>
      </c>
      <c r="E18">
        <v>3</v>
      </c>
      <c r="F18" t="s">
        <v>19</v>
      </c>
      <c r="G18" t="s">
        <v>20</v>
      </c>
      <c r="H18" t="s">
        <v>18</v>
      </c>
      <c r="I18">
        <v>2</v>
      </c>
      <c r="J18" t="s">
        <v>26</v>
      </c>
      <c r="K18" t="s">
        <v>24</v>
      </c>
      <c r="L18">
        <v>59</v>
      </c>
      <c r="M18" t="s">
        <v>15</v>
      </c>
    </row>
    <row r="19" spans="1:13" x14ac:dyDescent="0.25">
      <c r="A19">
        <v>12610</v>
      </c>
      <c r="B19" t="s">
        <v>34</v>
      </c>
      <c r="C19" t="s">
        <v>33</v>
      </c>
      <c r="D19" s="32">
        <v>30000</v>
      </c>
      <c r="E19">
        <v>1</v>
      </c>
      <c r="F19" t="s">
        <v>13</v>
      </c>
      <c r="G19" t="s">
        <v>20</v>
      </c>
      <c r="H19" t="s">
        <v>15</v>
      </c>
      <c r="I19">
        <v>0</v>
      </c>
      <c r="J19" t="s">
        <v>16</v>
      </c>
      <c r="K19" t="s">
        <v>17</v>
      </c>
      <c r="L19">
        <v>47</v>
      </c>
      <c r="M19" t="s">
        <v>18</v>
      </c>
    </row>
    <row r="20" spans="1:13" x14ac:dyDescent="0.25">
      <c r="A20">
        <v>27183</v>
      </c>
      <c r="B20" t="s">
        <v>35</v>
      </c>
      <c r="C20" t="s">
        <v>34</v>
      </c>
      <c r="D20" s="32">
        <v>40000</v>
      </c>
      <c r="E20">
        <v>2</v>
      </c>
      <c r="F20" t="s">
        <v>19</v>
      </c>
      <c r="G20" t="s">
        <v>20</v>
      </c>
      <c r="H20" t="s">
        <v>15</v>
      </c>
      <c r="I20">
        <v>1</v>
      </c>
      <c r="J20" t="s">
        <v>26</v>
      </c>
      <c r="K20" t="s">
        <v>17</v>
      </c>
      <c r="L20">
        <v>35</v>
      </c>
      <c r="M20" t="s">
        <v>15</v>
      </c>
    </row>
    <row r="21" spans="1:13" x14ac:dyDescent="0.25">
      <c r="A21">
        <v>25940</v>
      </c>
      <c r="B21" t="s">
        <v>35</v>
      </c>
      <c r="C21" t="s">
        <v>34</v>
      </c>
      <c r="D21" s="32">
        <v>20000</v>
      </c>
      <c r="E21">
        <v>2</v>
      </c>
      <c r="F21" t="s">
        <v>29</v>
      </c>
      <c r="G21" t="s">
        <v>20</v>
      </c>
      <c r="H21" t="s">
        <v>15</v>
      </c>
      <c r="I21">
        <v>2</v>
      </c>
      <c r="J21" t="s">
        <v>23</v>
      </c>
      <c r="K21" t="s">
        <v>24</v>
      </c>
      <c r="L21">
        <v>55</v>
      </c>
      <c r="M21" t="s">
        <v>15</v>
      </c>
    </row>
    <row r="22" spans="1:13" x14ac:dyDescent="0.25">
      <c r="A22">
        <v>25598</v>
      </c>
      <c r="B22" t="s">
        <v>34</v>
      </c>
      <c r="C22" t="s">
        <v>33</v>
      </c>
      <c r="D22" s="32">
        <v>40000</v>
      </c>
      <c r="E22">
        <v>0</v>
      </c>
      <c r="F22" t="s">
        <v>31</v>
      </c>
      <c r="G22" t="s">
        <v>20</v>
      </c>
      <c r="H22" t="s">
        <v>15</v>
      </c>
      <c r="I22">
        <v>0</v>
      </c>
      <c r="J22" t="s">
        <v>16</v>
      </c>
      <c r="K22" t="s">
        <v>17</v>
      </c>
      <c r="L22">
        <v>36</v>
      </c>
      <c r="M22" t="s">
        <v>15</v>
      </c>
    </row>
    <row r="23" spans="1:13" x14ac:dyDescent="0.25">
      <c r="A23">
        <v>21564</v>
      </c>
      <c r="B23" t="s">
        <v>35</v>
      </c>
      <c r="C23" t="s">
        <v>33</v>
      </c>
      <c r="D23" s="32">
        <v>80000</v>
      </c>
      <c r="E23">
        <v>0</v>
      </c>
      <c r="F23" t="s">
        <v>13</v>
      </c>
      <c r="G23" t="s">
        <v>21</v>
      </c>
      <c r="H23" t="s">
        <v>15</v>
      </c>
      <c r="I23">
        <v>4</v>
      </c>
      <c r="J23" t="s">
        <v>30</v>
      </c>
      <c r="K23" t="s">
        <v>24</v>
      </c>
      <c r="L23">
        <v>35</v>
      </c>
      <c r="M23" t="s">
        <v>18</v>
      </c>
    </row>
    <row r="24" spans="1:13" x14ac:dyDescent="0.25">
      <c r="A24">
        <v>19193</v>
      </c>
      <c r="B24" t="s">
        <v>35</v>
      </c>
      <c r="C24" t="s">
        <v>34</v>
      </c>
      <c r="D24" s="32">
        <v>40000</v>
      </c>
      <c r="E24">
        <v>2</v>
      </c>
      <c r="F24" t="s">
        <v>19</v>
      </c>
      <c r="G24" t="s">
        <v>20</v>
      </c>
      <c r="H24" t="s">
        <v>15</v>
      </c>
      <c r="I24">
        <v>0</v>
      </c>
      <c r="J24" t="s">
        <v>26</v>
      </c>
      <c r="K24" t="s">
        <v>17</v>
      </c>
      <c r="L24">
        <v>35</v>
      </c>
      <c r="M24" t="s">
        <v>15</v>
      </c>
    </row>
    <row r="25" spans="1:13" x14ac:dyDescent="0.25">
      <c r="A25">
        <v>26412</v>
      </c>
      <c r="B25" t="s">
        <v>34</v>
      </c>
      <c r="C25" t="s">
        <v>33</v>
      </c>
      <c r="D25" s="32">
        <v>80000</v>
      </c>
      <c r="E25">
        <v>5</v>
      </c>
      <c r="F25" t="s">
        <v>27</v>
      </c>
      <c r="G25" t="s">
        <v>28</v>
      </c>
      <c r="H25" t="s">
        <v>18</v>
      </c>
      <c r="I25">
        <v>3</v>
      </c>
      <c r="J25" t="s">
        <v>23</v>
      </c>
      <c r="K25" t="s">
        <v>17</v>
      </c>
      <c r="L25">
        <v>56</v>
      </c>
      <c r="M25" t="s">
        <v>18</v>
      </c>
    </row>
    <row r="26" spans="1:13" x14ac:dyDescent="0.25">
      <c r="A26">
        <v>27184</v>
      </c>
      <c r="B26" t="s">
        <v>35</v>
      </c>
      <c r="C26" t="s">
        <v>34</v>
      </c>
      <c r="D26" s="32">
        <v>40000</v>
      </c>
      <c r="E26">
        <v>2</v>
      </c>
      <c r="F26" t="s">
        <v>19</v>
      </c>
      <c r="G26" t="s">
        <v>20</v>
      </c>
      <c r="H26" t="s">
        <v>18</v>
      </c>
      <c r="I26">
        <v>1</v>
      </c>
      <c r="J26" t="s">
        <v>16</v>
      </c>
      <c r="K26" t="s">
        <v>17</v>
      </c>
      <c r="L26">
        <v>34</v>
      </c>
      <c r="M26" t="s">
        <v>18</v>
      </c>
    </row>
    <row r="27" spans="1:13" x14ac:dyDescent="0.25">
      <c r="A27">
        <v>12590</v>
      </c>
      <c r="B27" t="s">
        <v>35</v>
      </c>
      <c r="C27" t="s">
        <v>34</v>
      </c>
      <c r="D27" s="32">
        <v>30000</v>
      </c>
      <c r="E27">
        <v>1</v>
      </c>
      <c r="F27" t="s">
        <v>13</v>
      </c>
      <c r="G27" t="s">
        <v>20</v>
      </c>
      <c r="H27" t="s">
        <v>15</v>
      </c>
      <c r="I27">
        <v>0</v>
      </c>
      <c r="J27" t="s">
        <v>16</v>
      </c>
      <c r="K27" t="s">
        <v>17</v>
      </c>
      <c r="L27">
        <v>63</v>
      </c>
      <c r="M27" t="s">
        <v>18</v>
      </c>
    </row>
    <row r="28" spans="1:13" x14ac:dyDescent="0.25">
      <c r="A28">
        <v>17841</v>
      </c>
      <c r="B28" t="s">
        <v>35</v>
      </c>
      <c r="C28" t="s">
        <v>34</v>
      </c>
      <c r="D28" s="32">
        <v>30000</v>
      </c>
      <c r="E28">
        <v>0</v>
      </c>
      <c r="F28" t="s">
        <v>19</v>
      </c>
      <c r="G28" t="s">
        <v>20</v>
      </c>
      <c r="H28" t="s">
        <v>18</v>
      </c>
      <c r="I28">
        <v>1</v>
      </c>
      <c r="J28" t="s">
        <v>16</v>
      </c>
      <c r="K28" t="s">
        <v>17</v>
      </c>
      <c r="L28">
        <v>29</v>
      </c>
      <c r="M28" t="s">
        <v>15</v>
      </c>
    </row>
    <row r="29" spans="1:13" x14ac:dyDescent="0.25">
      <c r="A29">
        <v>18283</v>
      </c>
      <c r="B29" t="s">
        <v>35</v>
      </c>
      <c r="C29" t="s">
        <v>33</v>
      </c>
      <c r="D29" s="32">
        <v>100000</v>
      </c>
      <c r="E29">
        <v>0</v>
      </c>
      <c r="F29" t="s">
        <v>13</v>
      </c>
      <c r="G29" t="s">
        <v>21</v>
      </c>
      <c r="H29" t="s">
        <v>18</v>
      </c>
      <c r="I29">
        <v>1</v>
      </c>
      <c r="J29" t="s">
        <v>23</v>
      </c>
      <c r="K29" t="s">
        <v>24</v>
      </c>
      <c r="L29">
        <v>40</v>
      </c>
      <c r="M29" t="s">
        <v>18</v>
      </c>
    </row>
    <row r="30" spans="1:13" x14ac:dyDescent="0.25">
      <c r="A30">
        <v>18299</v>
      </c>
      <c r="B30" t="s">
        <v>34</v>
      </c>
      <c r="C30" t="s">
        <v>34</v>
      </c>
      <c r="D30" s="32">
        <v>70000</v>
      </c>
      <c r="E30">
        <v>5</v>
      </c>
      <c r="F30" t="s">
        <v>19</v>
      </c>
      <c r="G30" t="s">
        <v>14</v>
      </c>
      <c r="H30" t="s">
        <v>15</v>
      </c>
      <c r="I30">
        <v>2</v>
      </c>
      <c r="J30" t="s">
        <v>23</v>
      </c>
      <c r="K30" t="s">
        <v>24</v>
      </c>
      <c r="L30">
        <v>44</v>
      </c>
      <c r="M30" t="s">
        <v>18</v>
      </c>
    </row>
    <row r="31" spans="1:13" x14ac:dyDescent="0.25">
      <c r="A31">
        <v>16466</v>
      </c>
      <c r="B31" t="s">
        <v>35</v>
      </c>
      <c r="C31" t="s">
        <v>33</v>
      </c>
      <c r="D31" s="32">
        <v>20000</v>
      </c>
      <c r="E31">
        <v>0</v>
      </c>
      <c r="F31" t="s">
        <v>29</v>
      </c>
      <c r="G31" t="s">
        <v>25</v>
      </c>
      <c r="H31" t="s">
        <v>18</v>
      </c>
      <c r="I31">
        <v>2</v>
      </c>
      <c r="J31" t="s">
        <v>16</v>
      </c>
      <c r="K31" t="s">
        <v>17</v>
      </c>
      <c r="L31">
        <v>32</v>
      </c>
      <c r="M31" t="s">
        <v>15</v>
      </c>
    </row>
    <row r="32" spans="1:13" x14ac:dyDescent="0.25">
      <c r="A32">
        <v>19273</v>
      </c>
      <c r="B32" t="s">
        <v>34</v>
      </c>
      <c r="C32" t="s">
        <v>33</v>
      </c>
      <c r="D32" s="32">
        <v>20000</v>
      </c>
      <c r="E32">
        <v>2</v>
      </c>
      <c r="F32" t="s">
        <v>19</v>
      </c>
      <c r="G32" t="s">
        <v>25</v>
      </c>
      <c r="H32" t="s">
        <v>15</v>
      </c>
      <c r="I32">
        <v>0</v>
      </c>
      <c r="J32" t="s">
        <v>16</v>
      </c>
      <c r="K32" t="s">
        <v>17</v>
      </c>
      <c r="L32">
        <v>63</v>
      </c>
      <c r="M32" t="s">
        <v>18</v>
      </c>
    </row>
    <row r="33" spans="1:13" x14ac:dyDescent="0.25">
      <c r="A33">
        <v>22400</v>
      </c>
      <c r="B33" t="s">
        <v>34</v>
      </c>
      <c r="C33" t="s">
        <v>34</v>
      </c>
      <c r="D33" s="32">
        <v>10000</v>
      </c>
      <c r="E33">
        <v>0</v>
      </c>
      <c r="F33" t="s">
        <v>19</v>
      </c>
      <c r="G33" t="s">
        <v>25</v>
      </c>
      <c r="H33" t="s">
        <v>18</v>
      </c>
      <c r="I33">
        <v>1</v>
      </c>
      <c r="J33" t="s">
        <v>16</v>
      </c>
      <c r="K33" t="s">
        <v>24</v>
      </c>
      <c r="L33">
        <v>26</v>
      </c>
      <c r="M33" t="s">
        <v>15</v>
      </c>
    </row>
    <row r="34" spans="1:13" x14ac:dyDescent="0.25">
      <c r="A34">
        <v>20942</v>
      </c>
      <c r="B34" t="s">
        <v>35</v>
      </c>
      <c r="C34" t="s">
        <v>33</v>
      </c>
      <c r="D34" s="32">
        <v>20000</v>
      </c>
      <c r="E34">
        <v>0</v>
      </c>
      <c r="F34" t="s">
        <v>27</v>
      </c>
      <c r="G34" t="s">
        <v>25</v>
      </c>
      <c r="H34" t="s">
        <v>18</v>
      </c>
      <c r="I34">
        <v>1</v>
      </c>
      <c r="J34" t="s">
        <v>23</v>
      </c>
      <c r="K34" t="s">
        <v>17</v>
      </c>
      <c r="L34">
        <v>31</v>
      </c>
      <c r="M34" t="s">
        <v>18</v>
      </c>
    </row>
    <row r="35" spans="1:13" x14ac:dyDescent="0.25">
      <c r="A35">
        <v>18484</v>
      </c>
      <c r="B35" t="s">
        <v>35</v>
      </c>
      <c r="C35" t="s">
        <v>34</v>
      </c>
      <c r="D35" s="32">
        <v>80000</v>
      </c>
      <c r="E35">
        <v>2</v>
      </c>
      <c r="F35" t="s">
        <v>27</v>
      </c>
      <c r="G35" t="s">
        <v>14</v>
      </c>
      <c r="H35" t="s">
        <v>18</v>
      </c>
      <c r="I35">
        <v>2</v>
      </c>
      <c r="J35" t="s">
        <v>26</v>
      </c>
      <c r="K35" t="s">
        <v>24</v>
      </c>
      <c r="L35">
        <v>50</v>
      </c>
      <c r="M35" t="s">
        <v>15</v>
      </c>
    </row>
    <row r="36" spans="1:13" x14ac:dyDescent="0.25">
      <c r="A36">
        <v>12291</v>
      </c>
      <c r="B36" t="s">
        <v>35</v>
      </c>
      <c r="C36" t="s">
        <v>34</v>
      </c>
      <c r="D36" s="32">
        <v>90000</v>
      </c>
      <c r="E36">
        <v>5</v>
      </c>
      <c r="F36" t="s">
        <v>19</v>
      </c>
      <c r="G36" t="s">
        <v>21</v>
      </c>
      <c r="H36" t="s">
        <v>18</v>
      </c>
      <c r="I36">
        <v>2</v>
      </c>
      <c r="J36" t="s">
        <v>22</v>
      </c>
      <c r="K36" t="s">
        <v>17</v>
      </c>
      <c r="L36">
        <v>62</v>
      </c>
      <c r="M36" t="s">
        <v>15</v>
      </c>
    </row>
    <row r="37" spans="1:13" x14ac:dyDescent="0.25">
      <c r="A37">
        <v>28380</v>
      </c>
      <c r="B37" t="s">
        <v>35</v>
      </c>
      <c r="C37" t="s">
        <v>33</v>
      </c>
      <c r="D37" s="32">
        <v>10000</v>
      </c>
      <c r="E37">
        <v>5</v>
      </c>
      <c r="F37" t="s">
        <v>29</v>
      </c>
      <c r="G37" t="s">
        <v>25</v>
      </c>
      <c r="H37" t="s">
        <v>18</v>
      </c>
      <c r="I37">
        <v>2</v>
      </c>
      <c r="J37" t="s">
        <v>16</v>
      </c>
      <c r="K37" t="s">
        <v>17</v>
      </c>
      <c r="L37">
        <v>41</v>
      </c>
      <c r="M37" t="s">
        <v>18</v>
      </c>
    </row>
    <row r="38" spans="1:13" x14ac:dyDescent="0.25">
      <c r="A38">
        <v>17891</v>
      </c>
      <c r="B38" t="s">
        <v>34</v>
      </c>
      <c r="C38" t="s">
        <v>33</v>
      </c>
      <c r="D38" s="32">
        <v>10000</v>
      </c>
      <c r="E38">
        <v>2</v>
      </c>
      <c r="F38" t="s">
        <v>19</v>
      </c>
      <c r="G38" t="s">
        <v>25</v>
      </c>
      <c r="H38" t="s">
        <v>15</v>
      </c>
      <c r="I38">
        <v>1</v>
      </c>
      <c r="J38" t="s">
        <v>16</v>
      </c>
      <c r="K38" t="s">
        <v>17</v>
      </c>
      <c r="L38">
        <v>50</v>
      </c>
      <c r="M38" t="s">
        <v>15</v>
      </c>
    </row>
    <row r="39" spans="1:13" x14ac:dyDescent="0.25">
      <c r="A39">
        <v>27832</v>
      </c>
      <c r="B39" t="s">
        <v>35</v>
      </c>
      <c r="C39" t="s">
        <v>33</v>
      </c>
      <c r="D39" s="32">
        <v>30000</v>
      </c>
      <c r="E39">
        <v>0</v>
      </c>
      <c r="F39" t="s">
        <v>19</v>
      </c>
      <c r="G39" t="s">
        <v>20</v>
      </c>
      <c r="H39" t="s">
        <v>18</v>
      </c>
      <c r="I39">
        <v>1</v>
      </c>
      <c r="J39" t="s">
        <v>22</v>
      </c>
      <c r="K39" t="s">
        <v>17</v>
      </c>
      <c r="L39">
        <v>30</v>
      </c>
      <c r="M39" t="s">
        <v>18</v>
      </c>
    </row>
    <row r="40" spans="1:13" x14ac:dyDescent="0.25">
      <c r="A40">
        <v>26863</v>
      </c>
      <c r="B40" t="s">
        <v>35</v>
      </c>
      <c r="C40" t="s">
        <v>34</v>
      </c>
      <c r="D40" s="32">
        <v>20000</v>
      </c>
      <c r="E40">
        <v>0</v>
      </c>
      <c r="F40" t="s">
        <v>27</v>
      </c>
      <c r="G40" t="s">
        <v>25</v>
      </c>
      <c r="H40" t="s">
        <v>18</v>
      </c>
      <c r="I40">
        <v>1</v>
      </c>
      <c r="J40" t="s">
        <v>22</v>
      </c>
      <c r="K40" t="s">
        <v>17</v>
      </c>
      <c r="L40">
        <v>28</v>
      </c>
      <c r="M40" t="s">
        <v>18</v>
      </c>
    </row>
    <row r="41" spans="1:13" x14ac:dyDescent="0.25">
      <c r="A41">
        <v>16259</v>
      </c>
      <c r="B41" t="s">
        <v>35</v>
      </c>
      <c r="C41" t="s">
        <v>33</v>
      </c>
      <c r="D41" s="32">
        <v>10000</v>
      </c>
      <c r="E41">
        <v>4</v>
      </c>
      <c r="F41" t="s">
        <v>29</v>
      </c>
      <c r="G41" t="s">
        <v>25</v>
      </c>
      <c r="H41" t="s">
        <v>15</v>
      </c>
      <c r="I41">
        <v>2</v>
      </c>
      <c r="J41" t="s">
        <v>16</v>
      </c>
      <c r="K41" t="s">
        <v>17</v>
      </c>
      <c r="L41">
        <v>40</v>
      </c>
      <c r="M41" t="s">
        <v>15</v>
      </c>
    </row>
    <row r="42" spans="1:13" x14ac:dyDescent="0.25">
      <c r="A42">
        <v>27803</v>
      </c>
      <c r="B42" t="s">
        <v>35</v>
      </c>
      <c r="C42" t="s">
        <v>33</v>
      </c>
      <c r="D42" s="32">
        <v>30000</v>
      </c>
      <c r="E42">
        <v>2</v>
      </c>
      <c r="F42" t="s">
        <v>19</v>
      </c>
      <c r="G42" t="s">
        <v>20</v>
      </c>
      <c r="H42" t="s">
        <v>18</v>
      </c>
      <c r="I42">
        <v>0</v>
      </c>
      <c r="J42" t="s">
        <v>16</v>
      </c>
      <c r="K42" t="s">
        <v>17</v>
      </c>
      <c r="L42">
        <v>43</v>
      </c>
      <c r="M42" t="s">
        <v>18</v>
      </c>
    </row>
    <row r="43" spans="1:13" x14ac:dyDescent="0.25">
      <c r="A43">
        <v>14347</v>
      </c>
      <c r="B43" t="s">
        <v>35</v>
      </c>
      <c r="C43" t="s">
        <v>33</v>
      </c>
      <c r="D43" s="32">
        <v>40000</v>
      </c>
      <c r="E43">
        <v>2</v>
      </c>
      <c r="F43" t="s">
        <v>13</v>
      </c>
      <c r="G43" t="s">
        <v>28</v>
      </c>
      <c r="H43" t="s">
        <v>15</v>
      </c>
      <c r="I43">
        <v>2</v>
      </c>
      <c r="J43" t="s">
        <v>23</v>
      </c>
      <c r="K43" t="s">
        <v>24</v>
      </c>
      <c r="L43">
        <v>65</v>
      </c>
      <c r="M43" t="s">
        <v>15</v>
      </c>
    </row>
    <row r="44" spans="1:13" x14ac:dyDescent="0.25">
      <c r="A44">
        <v>17703</v>
      </c>
      <c r="B44" t="s">
        <v>34</v>
      </c>
      <c r="C44" t="s">
        <v>33</v>
      </c>
      <c r="D44" s="32">
        <v>10000</v>
      </c>
      <c r="E44">
        <v>1</v>
      </c>
      <c r="F44" t="s">
        <v>31</v>
      </c>
      <c r="G44" t="s">
        <v>25</v>
      </c>
      <c r="H44" t="s">
        <v>15</v>
      </c>
      <c r="I44">
        <v>0</v>
      </c>
      <c r="J44" t="s">
        <v>16</v>
      </c>
      <c r="K44" t="s">
        <v>17</v>
      </c>
      <c r="L44">
        <v>40</v>
      </c>
      <c r="M44" t="s">
        <v>18</v>
      </c>
    </row>
    <row r="45" spans="1:13" x14ac:dyDescent="0.25">
      <c r="A45">
        <v>17185</v>
      </c>
      <c r="B45" t="s">
        <v>34</v>
      </c>
      <c r="C45" t="s">
        <v>33</v>
      </c>
      <c r="D45" s="32">
        <v>170000</v>
      </c>
      <c r="E45">
        <v>4</v>
      </c>
      <c r="F45" t="s">
        <v>19</v>
      </c>
      <c r="G45" t="s">
        <v>21</v>
      </c>
      <c r="H45" t="s">
        <v>18</v>
      </c>
      <c r="I45">
        <v>3</v>
      </c>
      <c r="J45" t="s">
        <v>23</v>
      </c>
      <c r="K45" t="s">
        <v>17</v>
      </c>
      <c r="L45">
        <v>48</v>
      </c>
      <c r="M45" t="s">
        <v>15</v>
      </c>
    </row>
    <row r="46" spans="1:13" x14ac:dyDescent="0.25">
      <c r="A46">
        <v>29380</v>
      </c>
      <c r="B46" t="s">
        <v>34</v>
      </c>
      <c r="C46" t="s">
        <v>33</v>
      </c>
      <c r="D46" s="32">
        <v>20000</v>
      </c>
      <c r="E46">
        <v>3</v>
      </c>
      <c r="F46" t="s">
        <v>27</v>
      </c>
      <c r="G46" t="s">
        <v>25</v>
      </c>
      <c r="H46" t="s">
        <v>15</v>
      </c>
      <c r="I46">
        <v>0</v>
      </c>
      <c r="J46" t="s">
        <v>16</v>
      </c>
      <c r="K46" t="s">
        <v>17</v>
      </c>
      <c r="L46">
        <v>41</v>
      </c>
      <c r="M46" t="s">
        <v>15</v>
      </c>
    </row>
    <row r="47" spans="1:13" x14ac:dyDescent="0.25">
      <c r="A47">
        <v>23986</v>
      </c>
      <c r="B47" t="s">
        <v>34</v>
      </c>
      <c r="C47" t="s">
        <v>33</v>
      </c>
      <c r="D47" s="32">
        <v>20000</v>
      </c>
      <c r="E47">
        <v>1</v>
      </c>
      <c r="F47" t="s">
        <v>13</v>
      </c>
      <c r="G47" t="s">
        <v>20</v>
      </c>
      <c r="H47" t="s">
        <v>15</v>
      </c>
      <c r="I47">
        <v>0</v>
      </c>
      <c r="J47" t="s">
        <v>16</v>
      </c>
      <c r="K47" t="s">
        <v>17</v>
      </c>
      <c r="L47">
        <v>66</v>
      </c>
      <c r="M47" t="s">
        <v>15</v>
      </c>
    </row>
    <row r="48" spans="1:13" x14ac:dyDescent="0.25">
      <c r="A48">
        <v>24466</v>
      </c>
      <c r="B48" t="s">
        <v>34</v>
      </c>
      <c r="C48" t="s">
        <v>33</v>
      </c>
      <c r="D48" s="32">
        <v>60000</v>
      </c>
      <c r="E48">
        <v>1</v>
      </c>
      <c r="F48" t="s">
        <v>19</v>
      </c>
      <c r="G48" t="s">
        <v>14</v>
      </c>
      <c r="H48" t="s">
        <v>15</v>
      </c>
      <c r="I48">
        <v>1</v>
      </c>
      <c r="J48" t="s">
        <v>23</v>
      </c>
      <c r="K48" t="s">
        <v>24</v>
      </c>
      <c r="L48">
        <v>46</v>
      </c>
      <c r="M48" t="s">
        <v>15</v>
      </c>
    </row>
    <row r="49" spans="1:13" x14ac:dyDescent="0.25">
      <c r="A49">
        <v>29097</v>
      </c>
      <c r="B49" t="s">
        <v>35</v>
      </c>
      <c r="C49" t="s">
        <v>33</v>
      </c>
      <c r="D49" s="32">
        <v>40000</v>
      </c>
      <c r="E49">
        <v>2</v>
      </c>
      <c r="F49" t="s">
        <v>19</v>
      </c>
      <c r="G49" t="s">
        <v>14</v>
      </c>
      <c r="H49" t="s">
        <v>15</v>
      </c>
      <c r="I49">
        <v>2</v>
      </c>
      <c r="J49" t="s">
        <v>23</v>
      </c>
      <c r="K49" t="s">
        <v>24</v>
      </c>
      <c r="L49">
        <v>52</v>
      </c>
      <c r="M49" t="s">
        <v>15</v>
      </c>
    </row>
    <row r="50" spans="1:13" x14ac:dyDescent="0.25">
      <c r="A50">
        <v>19487</v>
      </c>
      <c r="B50" t="s">
        <v>34</v>
      </c>
      <c r="C50" t="s">
        <v>34</v>
      </c>
      <c r="D50" s="32">
        <v>30000</v>
      </c>
      <c r="E50">
        <v>2</v>
      </c>
      <c r="F50" t="s">
        <v>19</v>
      </c>
      <c r="G50" t="s">
        <v>20</v>
      </c>
      <c r="H50" t="s">
        <v>18</v>
      </c>
      <c r="I50">
        <v>2</v>
      </c>
      <c r="J50" t="s">
        <v>16</v>
      </c>
      <c r="K50" t="s">
        <v>17</v>
      </c>
      <c r="L50">
        <v>42</v>
      </c>
      <c r="M50" t="s">
        <v>18</v>
      </c>
    </row>
    <row r="51" spans="1:13" x14ac:dyDescent="0.25">
      <c r="A51">
        <v>14939</v>
      </c>
      <c r="B51" t="s">
        <v>35</v>
      </c>
      <c r="C51" t="s">
        <v>34</v>
      </c>
      <c r="D51" s="32">
        <v>40000</v>
      </c>
      <c r="E51">
        <v>0</v>
      </c>
      <c r="F51" t="s">
        <v>13</v>
      </c>
      <c r="G51" t="s">
        <v>20</v>
      </c>
      <c r="H51" t="s">
        <v>15</v>
      </c>
      <c r="I51">
        <v>0</v>
      </c>
      <c r="J51" t="s">
        <v>16</v>
      </c>
      <c r="K51" t="s">
        <v>17</v>
      </c>
      <c r="L51">
        <v>39</v>
      </c>
      <c r="M51" t="s">
        <v>15</v>
      </c>
    </row>
    <row r="52" spans="1:13" x14ac:dyDescent="0.25">
      <c r="A52">
        <v>13826</v>
      </c>
      <c r="B52" t="s">
        <v>35</v>
      </c>
      <c r="C52" t="s">
        <v>33</v>
      </c>
      <c r="D52" s="32">
        <v>30000</v>
      </c>
      <c r="E52">
        <v>0</v>
      </c>
      <c r="F52" t="s">
        <v>19</v>
      </c>
      <c r="G52" t="s">
        <v>20</v>
      </c>
      <c r="H52" t="s">
        <v>18</v>
      </c>
      <c r="I52">
        <v>1</v>
      </c>
      <c r="J52" t="s">
        <v>16</v>
      </c>
      <c r="K52" t="s">
        <v>17</v>
      </c>
      <c r="L52">
        <v>28</v>
      </c>
      <c r="M52" t="s">
        <v>18</v>
      </c>
    </row>
    <row r="53" spans="1:13" x14ac:dyDescent="0.25">
      <c r="A53">
        <v>20619</v>
      </c>
      <c r="B53" t="s">
        <v>35</v>
      </c>
      <c r="C53" t="s">
        <v>34</v>
      </c>
      <c r="D53" s="32">
        <v>80000</v>
      </c>
      <c r="E53">
        <v>0</v>
      </c>
      <c r="F53" t="s">
        <v>13</v>
      </c>
      <c r="G53" t="s">
        <v>21</v>
      </c>
      <c r="H53" t="s">
        <v>18</v>
      </c>
      <c r="I53">
        <v>4</v>
      </c>
      <c r="J53" t="s">
        <v>30</v>
      </c>
      <c r="K53" t="s">
        <v>24</v>
      </c>
      <c r="L53">
        <v>35</v>
      </c>
      <c r="M53" t="s">
        <v>18</v>
      </c>
    </row>
    <row r="54" spans="1:13" x14ac:dyDescent="0.25">
      <c r="A54">
        <v>12558</v>
      </c>
      <c r="B54" t="s">
        <v>34</v>
      </c>
      <c r="C54" t="s">
        <v>33</v>
      </c>
      <c r="D54" s="32">
        <v>20000</v>
      </c>
      <c r="E54">
        <v>1</v>
      </c>
      <c r="F54" t="s">
        <v>13</v>
      </c>
      <c r="G54" t="s">
        <v>20</v>
      </c>
      <c r="H54" t="s">
        <v>15</v>
      </c>
      <c r="I54">
        <v>0</v>
      </c>
      <c r="J54" t="s">
        <v>16</v>
      </c>
      <c r="K54" t="s">
        <v>17</v>
      </c>
      <c r="L54">
        <v>65</v>
      </c>
      <c r="M54" t="s">
        <v>18</v>
      </c>
    </row>
    <row r="55" spans="1:13" x14ac:dyDescent="0.25">
      <c r="A55">
        <v>24871</v>
      </c>
      <c r="B55" t="s">
        <v>35</v>
      </c>
      <c r="C55" t="s">
        <v>33</v>
      </c>
      <c r="D55" s="32">
        <v>90000</v>
      </c>
      <c r="E55">
        <v>4</v>
      </c>
      <c r="F55" t="s">
        <v>27</v>
      </c>
      <c r="G55" t="s">
        <v>28</v>
      </c>
      <c r="H55" t="s">
        <v>18</v>
      </c>
      <c r="I55">
        <v>3</v>
      </c>
      <c r="J55" t="s">
        <v>23</v>
      </c>
      <c r="K55" t="s">
        <v>17</v>
      </c>
      <c r="L55">
        <v>56</v>
      </c>
      <c r="M55" t="s">
        <v>18</v>
      </c>
    </row>
    <row r="56" spans="1:13" x14ac:dyDescent="0.25">
      <c r="A56">
        <v>17319</v>
      </c>
      <c r="B56" t="s">
        <v>35</v>
      </c>
      <c r="C56" t="s">
        <v>33</v>
      </c>
      <c r="D56" s="32">
        <v>70000</v>
      </c>
      <c r="E56">
        <v>0</v>
      </c>
      <c r="F56" t="s">
        <v>13</v>
      </c>
      <c r="G56" t="s">
        <v>21</v>
      </c>
      <c r="H56" t="s">
        <v>18</v>
      </c>
      <c r="I56">
        <v>1</v>
      </c>
      <c r="J56" t="s">
        <v>23</v>
      </c>
      <c r="K56" t="s">
        <v>24</v>
      </c>
      <c r="L56">
        <v>42</v>
      </c>
      <c r="M56" t="s">
        <v>18</v>
      </c>
    </row>
    <row r="57" spans="1:13" x14ac:dyDescent="0.25">
      <c r="A57">
        <v>28906</v>
      </c>
      <c r="B57" t="s">
        <v>34</v>
      </c>
      <c r="C57" t="s">
        <v>34</v>
      </c>
      <c r="D57" s="32">
        <v>80000</v>
      </c>
      <c r="E57">
        <v>4</v>
      </c>
      <c r="F57" t="s">
        <v>27</v>
      </c>
      <c r="G57" t="s">
        <v>21</v>
      </c>
      <c r="H57" t="s">
        <v>15</v>
      </c>
      <c r="I57">
        <v>2</v>
      </c>
      <c r="J57" t="s">
        <v>30</v>
      </c>
      <c r="K57" t="s">
        <v>17</v>
      </c>
      <c r="L57">
        <v>54</v>
      </c>
      <c r="M57" t="s">
        <v>18</v>
      </c>
    </row>
    <row r="58" spans="1:13" x14ac:dyDescent="0.25">
      <c r="A58">
        <v>12808</v>
      </c>
      <c r="B58" t="s">
        <v>34</v>
      </c>
      <c r="C58" t="s">
        <v>34</v>
      </c>
      <c r="D58" s="32">
        <v>40000</v>
      </c>
      <c r="E58">
        <v>0</v>
      </c>
      <c r="F58" t="s">
        <v>13</v>
      </c>
      <c r="G58" t="s">
        <v>20</v>
      </c>
      <c r="H58" t="s">
        <v>15</v>
      </c>
      <c r="I58">
        <v>0</v>
      </c>
      <c r="J58" t="s">
        <v>16</v>
      </c>
      <c r="K58" t="s">
        <v>17</v>
      </c>
      <c r="L58">
        <v>38</v>
      </c>
      <c r="M58" t="s">
        <v>15</v>
      </c>
    </row>
    <row r="59" spans="1:13" x14ac:dyDescent="0.25">
      <c r="A59">
        <v>20567</v>
      </c>
      <c r="B59" t="s">
        <v>34</v>
      </c>
      <c r="C59" t="s">
        <v>34</v>
      </c>
      <c r="D59" s="32">
        <v>130000</v>
      </c>
      <c r="E59">
        <v>4</v>
      </c>
      <c r="F59" t="s">
        <v>19</v>
      </c>
      <c r="G59" t="s">
        <v>21</v>
      </c>
      <c r="H59" t="s">
        <v>18</v>
      </c>
      <c r="I59">
        <v>4</v>
      </c>
      <c r="J59" t="s">
        <v>23</v>
      </c>
      <c r="K59" t="s">
        <v>17</v>
      </c>
      <c r="L59">
        <v>61</v>
      </c>
      <c r="M59" t="s">
        <v>15</v>
      </c>
    </row>
    <row r="60" spans="1:13" x14ac:dyDescent="0.25">
      <c r="A60">
        <v>25502</v>
      </c>
      <c r="B60" t="s">
        <v>34</v>
      </c>
      <c r="C60" t="s">
        <v>33</v>
      </c>
      <c r="D60" s="32">
        <v>40000</v>
      </c>
      <c r="E60">
        <v>1</v>
      </c>
      <c r="F60" t="s">
        <v>13</v>
      </c>
      <c r="G60" t="s">
        <v>14</v>
      </c>
      <c r="H60" t="s">
        <v>15</v>
      </c>
      <c r="I60">
        <v>0</v>
      </c>
      <c r="J60" t="s">
        <v>16</v>
      </c>
      <c r="K60" t="s">
        <v>17</v>
      </c>
      <c r="L60">
        <v>43</v>
      </c>
      <c r="M60" t="s">
        <v>15</v>
      </c>
    </row>
    <row r="61" spans="1:13" x14ac:dyDescent="0.25">
      <c r="A61">
        <v>15580</v>
      </c>
      <c r="B61" t="s">
        <v>34</v>
      </c>
      <c r="C61" t="s">
        <v>34</v>
      </c>
      <c r="D61" s="32">
        <v>60000</v>
      </c>
      <c r="E61">
        <v>2</v>
      </c>
      <c r="F61" t="s">
        <v>13</v>
      </c>
      <c r="G61" t="s">
        <v>21</v>
      </c>
      <c r="H61" t="s">
        <v>15</v>
      </c>
      <c r="I61">
        <v>1</v>
      </c>
      <c r="J61" t="s">
        <v>22</v>
      </c>
      <c r="K61" t="s">
        <v>24</v>
      </c>
      <c r="L61">
        <v>38</v>
      </c>
      <c r="M61" t="s">
        <v>15</v>
      </c>
    </row>
    <row r="62" spans="1:13" x14ac:dyDescent="0.25">
      <c r="A62">
        <v>24185</v>
      </c>
      <c r="B62" t="s">
        <v>35</v>
      </c>
      <c r="C62" t="s">
        <v>33</v>
      </c>
      <c r="D62" s="32">
        <v>10000</v>
      </c>
      <c r="E62">
        <v>1</v>
      </c>
      <c r="F62" t="s">
        <v>27</v>
      </c>
      <c r="G62" t="s">
        <v>25</v>
      </c>
      <c r="H62" t="s">
        <v>18</v>
      </c>
      <c r="I62">
        <v>1</v>
      </c>
      <c r="J62" t="s">
        <v>26</v>
      </c>
      <c r="K62" t="s">
        <v>17</v>
      </c>
      <c r="L62">
        <v>45</v>
      </c>
      <c r="M62" t="s">
        <v>18</v>
      </c>
    </row>
    <row r="63" spans="1:13" x14ac:dyDescent="0.25">
      <c r="A63">
        <v>19291</v>
      </c>
      <c r="B63" t="s">
        <v>35</v>
      </c>
      <c r="C63" t="s">
        <v>33</v>
      </c>
      <c r="D63" s="32">
        <v>10000</v>
      </c>
      <c r="E63">
        <v>2</v>
      </c>
      <c r="F63" t="s">
        <v>27</v>
      </c>
      <c r="G63" t="s">
        <v>25</v>
      </c>
      <c r="H63" t="s">
        <v>15</v>
      </c>
      <c r="I63">
        <v>0</v>
      </c>
      <c r="J63" t="s">
        <v>16</v>
      </c>
      <c r="K63" t="s">
        <v>17</v>
      </c>
      <c r="L63">
        <v>35</v>
      </c>
      <c r="M63" t="s">
        <v>18</v>
      </c>
    </row>
    <row r="64" spans="1:13" x14ac:dyDescent="0.25">
      <c r="A64">
        <v>16713</v>
      </c>
      <c r="B64" t="s">
        <v>34</v>
      </c>
      <c r="C64" t="s">
        <v>34</v>
      </c>
      <c r="D64" s="32">
        <v>40000</v>
      </c>
      <c r="E64">
        <v>2</v>
      </c>
      <c r="F64" t="s">
        <v>13</v>
      </c>
      <c r="G64" t="s">
        <v>28</v>
      </c>
      <c r="H64" t="s">
        <v>15</v>
      </c>
      <c r="I64">
        <v>1</v>
      </c>
      <c r="J64" t="s">
        <v>16</v>
      </c>
      <c r="K64" t="s">
        <v>24</v>
      </c>
      <c r="L64">
        <v>52</v>
      </c>
      <c r="M64" t="s">
        <v>15</v>
      </c>
    </row>
    <row r="65" spans="1:13" x14ac:dyDescent="0.25">
      <c r="A65">
        <v>16185</v>
      </c>
      <c r="B65" t="s">
        <v>35</v>
      </c>
      <c r="C65" t="s">
        <v>34</v>
      </c>
      <c r="D65" s="32">
        <v>60000</v>
      </c>
      <c r="E65">
        <v>4</v>
      </c>
      <c r="F65" t="s">
        <v>13</v>
      </c>
      <c r="G65" t="s">
        <v>21</v>
      </c>
      <c r="H65" t="s">
        <v>15</v>
      </c>
      <c r="I65">
        <v>3</v>
      </c>
      <c r="J65" t="s">
        <v>30</v>
      </c>
      <c r="K65" t="s">
        <v>24</v>
      </c>
      <c r="L65">
        <v>41</v>
      </c>
      <c r="M65" t="s">
        <v>18</v>
      </c>
    </row>
    <row r="66" spans="1:13" x14ac:dyDescent="0.25">
      <c r="A66">
        <v>14927</v>
      </c>
      <c r="B66" t="s">
        <v>34</v>
      </c>
      <c r="C66" t="s">
        <v>33</v>
      </c>
      <c r="D66" s="32">
        <v>30000</v>
      </c>
      <c r="E66">
        <v>1</v>
      </c>
      <c r="F66" t="s">
        <v>13</v>
      </c>
      <c r="G66" t="s">
        <v>20</v>
      </c>
      <c r="H66" t="s">
        <v>15</v>
      </c>
      <c r="I66">
        <v>0</v>
      </c>
      <c r="J66" t="s">
        <v>16</v>
      </c>
      <c r="K66" t="s">
        <v>17</v>
      </c>
      <c r="L66">
        <v>37</v>
      </c>
      <c r="M66" t="s">
        <v>15</v>
      </c>
    </row>
    <row r="67" spans="1:13" x14ac:dyDescent="0.25">
      <c r="A67">
        <v>29337</v>
      </c>
      <c r="B67" t="s">
        <v>35</v>
      </c>
      <c r="C67" t="s">
        <v>34</v>
      </c>
      <c r="D67" s="32">
        <v>30000</v>
      </c>
      <c r="E67">
        <v>2</v>
      </c>
      <c r="F67" t="s">
        <v>19</v>
      </c>
      <c r="G67" t="s">
        <v>20</v>
      </c>
      <c r="H67" t="s">
        <v>15</v>
      </c>
      <c r="I67">
        <v>2</v>
      </c>
      <c r="J67" t="s">
        <v>23</v>
      </c>
      <c r="K67" t="s">
        <v>24</v>
      </c>
      <c r="L67">
        <v>68</v>
      </c>
      <c r="M67" t="s">
        <v>18</v>
      </c>
    </row>
    <row r="68" spans="1:13" x14ac:dyDescent="0.25">
      <c r="A68">
        <v>29355</v>
      </c>
      <c r="B68" t="s">
        <v>34</v>
      </c>
      <c r="C68" t="s">
        <v>33</v>
      </c>
      <c r="D68" s="32">
        <v>40000</v>
      </c>
      <c r="E68">
        <v>0</v>
      </c>
      <c r="F68" t="s">
        <v>31</v>
      </c>
      <c r="G68" t="s">
        <v>20</v>
      </c>
      <c r="H68" t="s">
        <v>15</v>
      </c>
      <c r="I68">
        <v>0</v>
      </c>
      <c r="J68" t="s">
        <v>16</v>
      </c>
      <c r="K68" t="s">
        <v>17</v>
      </c>
      <c r="L68">
        <v>37</v>
      </c>
      <c r="M68" t="s">
        <v>15</v>
      </c>
    </row>
    <row r="69" spans="1:13" x14ac:dyDescent="0.25">
      <c r="A69">
        <v>25303</v>
      </c>
      <c r="B69" t="s">
        <v>35</v>
      </c>
      <c r="C69" t="s">
        <v>34</v>
      </c>
      <c r="D69" s="32">
        <v>30000</v>
      </c>
      <c r="E69">
        <v>0</v>
      </c>
      <c r="F69" t="s">
        <v>27</v>
      </c>
      <c r="G69" t="s">
        <v>25</v>
      </c>
      <c r="H69" t="s">
        <v>15</v>
      </c>
      <c r="I69">
        <v>1</v>
      </c>
      <c r="J69" t="s">
        <v>22</v>
      </c>
      <c r="K69" t="s">
        <v>17</v>
      </c>
      <c r="L69">
        <v>33</v>
      </c>
      <c r="M69" t="s">
        <v>15</v>
      </c>
    </row>
    <row r="70" spans="1:13" x14ac:dyDescent="0.25">
      <c r="A70">
        <v>14813</v>
      </c>
      <c r="B70" t="s">
        <v>35</v>
      </c>
      <c r="C70" t="s">
        <v>33</v>
      </c>
      <c r="D70" s="32">
        <v>20000</v>
      </c>
      <c r="E70">
        <v>4</v>
      </c>
      <c r="F70" t="s">
        <v>27</v>
      </c>
      <c r="G70" t="s">
        <v>25</v>
      </c>
      <c r="H70" t="s">
        <v>15</v>
      </c>
      <c r="I70">
        <v>1</v>
      </c>
      <c r="J70" t="s">
        <v>16</v>
      </c>
      <c r="K70" t="s">
        <v>17</v>
      </c>
      <c r="L70">
        <v>43</v>
      </c>
      <c r="M70" t="s">
        <v>15</v>
      </c>
    </row>
    <row r="71" spans="1:13" x14ac:dyDescent="0.25">
      <c r="A71">
        <v>16438</v>
      </c>
      <c r="B71" t="s">
        <v>34</v>
      </c>
      <c r="C71" t="s">
        <v>33</v>
      </c>
      <c r="D71" s="32">
        <v>10000</v>
      </c>
      <c r="E71">
        <v>0</v>
      </c>
      <c r="F71" t="s">
        <v>29</v>
      </c>
      <c r="G71" t="s">
        <v>25</v>
      </c>
      <c r="H71" t="s">
        <v>18</v>
      </c>
      <c r="I71">
        <v>2</v>
      </c>
      <c r="J71" t="s">
        <v>16</v>
      </c>
      <c r="K71" t="s">
        <v>17</v>
      </c>
      <c r="L71">
        <v>30</v>
      </c>
      <c r="M71" t="s">
        <v>18</v>
      </c>
    </row>
    <row r="72" spans="1:13" x14ac:dyDescent="0.25">
      <c r="A72">
        <v>14238</v>
      </c>
      <c r="B72" t="s">
        <v>34</v>
      </c>
      <c r="C72" t="s">
        <v>34</v>
      </c>
      <c r="D72" s="32">
        <v>120000</v>
      </c>
      <c r="E72">
        <v>0</v>
      </c>
      <c r="F72" t="s">
        <v>29</v>
      </c>
      <c r="G72" t="s">
        <v>21</v>
      </c>
      <c r="H72" t="s">
        <v>15</v>
      </c>
      <c r="I72">
        <v>4</v>
      </c>
      <c r="J72" t="s">
        <v>30</v>
      </c>
      <c r="K72" t="s">
        <v>24</v>
      </c>
      <c r="L72">
        <v>36</v>
      </c>
      <c r="M72" t="s">
        <v>15</v>
      </c>
    </row>
    <row r="73" spans="1:13" x14ac:dyDescent="0.25">
      <c r="A73">
        <v>16200</v>
      </c>
      <c r="B73" t="s">
        <v>35</v>
      </c>
      <c r="C73" t="s">
        <v>33</v>
      </c>
      <c r="D73" s="32">
        <v>10000</v>
      </c>
      <c r="E73">
        <v>0</v>
      </c>
      <c r="F73" t="s">
        <v>29</v>
      </c>
      <c r="G73" t="s">
        <v>25</v>
      </c>
      <c r="H73" t="s">
        <v>18</v>
      </c>
      <c r="I73">
        <v>2</v>
      </c>
      <c r="J73" t="s">
        <v>16</v>
      </c>
      <c r="K73" t="s">
        <v>17</v>
      </c>
      <c r="L73">
        <v>35</v>
      </c>
      <c r="M73" t="s">
        <v>18</v>
      </c>
    </row>
    <row r="74" spans="1:13" x14ac:dyDescent="0.25">
      <c r="A74">
        <v>24857</v>
      </c>
      <c r="B74" t="s">
        <v>34</v>
      </c>
      <c r="C74" t="s">
        <v>33</v>
      </c>
      <c r="D74" s="32">
        <v>130000</v>
      </c>
      <c r="E74">
        <v>3</v>
      </c>
      <c r="F74" t="s">
        <v>27</v>
      </c>
      <c r="G74" t="s">
        <v>21</v>
      </c>
      <c r="H74" t="s">
        <v>15</v>
      </c>
      <c r="I74">
        <v>4</v>
      </c>
      <c r="J74" t="s">
        <v>16</v>
      </c>
      <c r="K74" t="s">
        <v>17</v>
      </c>
      <c r="L74">
        <v>52</v>
      </c>
      <c r="M74" t="s">
        <v>18</v>
      </c>
    </row>
    <row r="75" spans="1:13" x14ac:dyDescent="0.25">
      <c r="A75">
        <v>26956</v>
      </c>
      <c r="B75" t="s">
        <v>35</v>
      </c>
      <c r="C75" t="s">
        <v>33</v>
      </c>
      <c r="D75" s="32">
        <v>20000</v>
      </c>
      <c r="E75">
        <v>0</v>
      </c>
      <c r="F75" t="s">
        <v>19</v>
      </c>
      <c r="G75" t="s">
        <v>25</v>
      </c>
      <c r="H75" t="s">
        <v>18</v>
      </c>
      <c r="I75">
        <v>1</v>
      </c>
      <c r="J75" t="s">
        <v>22</v>
      </c>
      <c r="K75" t="s">
        <v>17</v>
      </c>
      <c r="L75">
        <v>36</v>
      </c>
      <c r="M75" t="s">
        <v>15</v>
      </c>
    </row>
    <row r="76" spans="1:13" x14ac:dyDescent="0.25">
      <c r="A76">
        <v>14517</v>
      </c>
      <c r="B76" t="s">
        <v>34</v>
      </c>
      <c r="C76" t="s">
        <v>33</v>
      </c>
      <c r="D76" s="32">
        <v>20000</v>
      </c>
      <c r="E76">
        <v>3</v>
      </c>
      <c r="F76" t="s">
        <v>27</v>
      </c>
      <c r="G76" t="s">
        <v>14</v>
      </c>
      <c r="H76" t="s">
        <v>18</v>
      </c>
      <c r="I76">
        <v>2</v>
      </c>
      <c r="J76" t="s">
        <v>26</v>
      </c>
      <c r="K76" t="s">
        <v>24</v>
      </c>
      <c r="L76">
        <v>62</v>
      </c>
      <c r="M76" t="s">
        <v>18</v>
      </c>
    </row>
    <row r="77" spans="1:13" x14ac:dyDescent="0.25">
      <c r="A77">
        <v>12678</v>
      </c>
      <c r="B77" t="s">
        <v>35</v>
      </c>
      <c r="C77" t="s">
        <v>33</v>
      </c>
      <c r="D77" s="32">
        <v>130000</v>
      </c>
      <c r="E77">
        <v>4</v>
      </c>
      <c r="F77" t="s">
        <v>27</v>
      </c>
      <c r="G77" t="s">
        <v>28</v>
      </c>
      <c r="H77" t="s">
        <v>15</v>
      </c>
      <c r="I77">
        <v>4</v>
      </c>
      <c r="J77" t="s">
        <v>16</v>
      </c>
      <c r="K77" t="s">
        <v>24</v>
      </c>
      <c r="L77">
        <v>31</v>
      </c>
      <c r="M77" t="s">
        <v>18</v>
      </c>
    </row>
    <row r="78" spans="1:13" x14ac:dyDescent="0.25">
      <c r="A78">
        <v>16188</v>
      </c>
      <c r="B78" t="s">
        <v>35</v>
      </c>
      <c r="C78" t="s">
        <v>33</v>
      </c>
      <c r="D78" s="32">
        <v>20000</v>
      </c>
      <c r="E78">
        <v>0</v>
      </c>
      <c r="F78" t="s">
        <v>29</v>
      </c>
      <c r="G78" t="s">
        <v>25</v>
      </c>
      <c r="H78" t="s">
        <v>18</v>
      </c>
      <c r="I78">
        <v>2</v>
      </c>
      <c r="J78" t="s">
        <v>26</v>
      </c>
      <c r="K78" t="s">
        <v>17</v>
      </c>
      <c r="L78">
        <v>26</v>
      </c>
      <c r="M78" t="s">
        <v>18</v>
      </c>
    </row>
    <row r="79" spans="1:13" x14ac:dyDescent="0.25">
      <c r="A79">
        <v>27969</v>
      </c>
      <c r="B79" t="s">
        <v>34</v>
      </c>
      <c r="C79" t="s">
        <v>34</v>
      </c>
      <c r="D79" s="32">
        <v>80000</v>
      </c>
      <c r="E79">
        <v>0</v>
      </c>
      <c r="F79" t="s">
        <v>13</v>
      </c>
      <c r="G79" t="s">
        <v>21</v>
      </c>
      <c r="H79" t="s">
        <v>15</v>
      </c>
      <c r="I79">
        <v>2</v>
      </c>
      <c r="J79" t="s">
        <v>30</v>
      </c>
      <c r="K79" t="s">
        <v>24</v>
      </c>
      <c r="L79">
        <v>29</v>
      </c>
      <c r="M79" t="s">
        <v>15</v>
      </c>
    </row>
    <row r="80" spans="1:13" x14ac:dyDescent="0.25">
      <c r="A80">
        <v>15752</v>
      </c>
      <c r="B80" t="s">
        <v>34</v>
      </c>
      <c r="C80" t="s">
        <v>34</v>
      </c>
      <c r="D80" s="32">
        <v>80000</v>
      </c>
      <c r="E80">
        <v>2</v>
      </c>
      <c r="F80" t="s">
        <v>27</v>
      </c>
      <c r="G80" t="s">
        <v>14</v>
      </c>
      <c r="H80" t="s">
        <v>18</v>
      </c>
      <c r="I80">
        <v>2</v>
      </c>
      <c r="J80" t="s">
        <v>26</v>
      </c>
      <c r="K80" t="s">
        <v>24</v>
      </c>
      <c r="L80">
        <v>50</v>
      </c>
      <c r="M80" t="s">
        <v>15</v>
      </c>
    </row>
    <row r="81" spans="1:13" x14ac:dyDescent="0.25">
      <c r="A81">
        <v>27745</v>
      </c>
      <c r="B81" t="s">
        <v>35</v>
      </c>
      <c r="C81" t="s">
        <v>34</v>
      </c>
      <c r="D81" s="32">
        <v>40000</v>
      </c>
      <c r="E81">
        <v>2</v>
      </c>
      <c r="F81" t="s">
        <v>13</v>
      </c>
      <c r="G81" t="s">
        <v>28</v>
      </c>
      <c r="H81" t="s">
        <v>15</v>
      </c>
      <c r="I81">
        <v>2</v>
      </c>
      <c r="J81" t="s">
        <v>23</v>
      </c>
      <c r="K81" t="s">
        <v>24</v>
      </c>
      <c r="L81">
        <v>63</v>
      </c>
      <c r="M81" t="s">
        <v>15</v>
      </c>
    </row>
    <row r="82" spans="1:13" x14ac:dyDescent="0.25">
      <c r="A82">
        <v>20828</v>
      </c>
      <c r="B82" t="s">
        <v>34</v>
      </c>
      <c r="C82" t="s">
        <v>33</v>
      </c>
      <c r="D82" s="32">
        <v>30000</v>
      </c>
      <c r="E82">
        <v>4</v>
      </c>
      <c r="F82" t="s">
        <v>31</v>
      </c>
      <c r="G82" t="s">
        <v>20</v>
      </c>
      <c r="H82" t="s">
        <v>15</v>
      </c>
      <c r="I82">
        <v>0</v>
      </c>
      <c r="J82" t="s">
        <v>16</v>
      </c>
      <c r="K82" t="s">
        <v>17</v>
      </c>
      <c r="L82">
        <v>45</v>
      </c>
      <c r="M82" t="s">
        <v>15</v>
      </c>
    </row>
    <row r="83" spans="1:13" x14ac:dyDescent="0.25">
      <c r="A83">
        <v>19461</v>
      </c>
      <c r="B83" t="s">
        <v>35</v>
      </c>
      <c r="C83" t="s">
        <v>33</v>
      </c>
      <c r="D83" s="32">
        <v>10000</v>
      </c>
      <c r="E83">
        <v>4</v>
      </c>
      <c r="F83" t="s">
        <v>29</v>
      </c>
      <c r="G83" t="s">
        <v>25</v>
      </c>
      <c r="H83" t="s">
        <v>15</v>
      </c>
      <c r="I83">
        <v>2</v>
      </c>
      <c r="J83" t="s">
        <v>16</v>
      </c>
      <c r="K83" t="s">
        <v>17</v>
      </c>
      <c r="L83">
        <v>40</v>
      </c>
      <c r="M83" t="s">
        <v>18</v>
      </c>
    </row>
    <row r="84" spans="1:13" x14ac:dyDescent="0.25">
      <c r="A84">
        <v>26941</v>
      </c>
      <c r="B84" t="s">
        <v>34</v>
      </c>
      <c r="C84" t="s">
        <v>34</v>
      </c>
      <c r="D84" s="32">
        <v>30000</v>
      </c>
      <c r="E84">
        <v>0</v>
      </c>
      <c r="F84" t="s">
        <v>13</v>
      </c>
      <c r="G84" t="s">
        <v>20</v>
      </c>
      <c r="H84" t="s">
        <v>15</v>
      </c>
      <c r="I84">
        <v>0</v>
      </c>
      <c r="J84" t="s">
        <v>16</v>
      </c>
      <c r="K84" t="s">
        <v>17</v>
      </c>
      <c r="L84">
        <v>47</v>
      </c>
      <c r="M84" t="s">
        <v>15</v>
      </c>
    </row>
    <row r="85" spans="1:13" x14ac:dyDescent="0.25">
      <c r="A85">
        <v>28412</v>
      </c>
      <c r="B85" t="s">
        <v>35</v>
      </c>
      <c r="C85" t="s">
        <v>34</v>
      </c>
      <c r="D85" s="32">
        <v>20000</v>
      </c>
      <c r="E85">
        <v>0</v>
      </c>
      <c r="F85" t="s">
        <v>27</v>
      </c>
      <c r="G85" t="s">
        <v>25</v>
      </c>
      <c r="H85" t="s">
        <v>18</v>
      </c>
      <c r="I85">
        <v>1</v>
      </c>
      <c r="J85" t="s">
        <v>22</v>
      </c>
      <c r="K85" t="s">
        <v>17</v>
      </c>
      <c r="L85">
        <v>29</v>
      </c>
      <c r="M85" t="s">
        <v>18</v>
      </c>
    </row>
    <row r="86" spans="1:13" x14ac:dyDescent="0.25">
      <c r="A86">
        <v>24485</v>
      </c>
      <c r="B86" t="s">
        <v>35</v>
      </c>
      <c r="C86" t="s">
        <v>34</v>
      </c>
      <c r="D86" s="32">
        <v>40000</v>
      </c>
      <c r="E86">
        <v>2</v>
      </c>
      <c r="F86" t="s">
        <v>13</v>
      </c>
      <c r="G86" t="s">
        <v>28</v>
      </c>
      <c r="H86" t="s">
        <v>18</v>
      </c>
      <c r="I86">
        <v>1</v>
      </c>
      <c r="J86" t="s">
        <v>23</v>
      </c>
      <c r="K86" t="s">
        <v>24</v>
      </c>
      <c r="L86">
        <v>52</v>
      </c>
      <c r="M86" t="s">
        <v>15</v>
      </c>
    </row>
    <row r="87" spans="1:13" x14ac:dyDescent="0.25">
      <c r="A87">
        <v>16514</v>
      </c>
      <c r="B87" t="s">
        <v>35</v>
      </c>
      <c r="C87" t="s">
        <v>34</v>
      </c>
      <c r="D87" s="32">
        <v>10000</v>
      </c>
      <c r="E87">
        <v>0</v>
      </c>
      <c r="F87" t="s">
        <v>19</v>
      </c>
      <c r="G87" t="s">
        <v>25</v>
      </c>
      <c r="H87" t="s">
        <v>15</v>
      </c>
      <c r="I87">
        <v>1</v>
      </c>
      <c r="J87" t="s">
        <v>26</v>
      </c>
      <c r="K87" t="s">
        <v>24</v>
      </c>
      <c r="L87">
        <v>26</v>
      </c>
      <c r="M87" t="s">
        <v>15</v>
      </c>
    </row>
    <row r="88" spans="1:13" x14ac:dyDescent="0.25">
      <c r="A88">
        <v>17191</v>
      </c>
      <c r="B88" t="s">
        <v>35</v>
      </c>
      <c r="C88" t="s">
        <v>34</v>
      </c>
      <c r="D88" s="32">
        <v>130000</v>
      </c>
      <c r="E88">
        <v>3</v>
      </c>
      <c r="F88" t="s">
        <v>19</v>
      </c>
      <c r="G88" t="s">
        <v>21</v>
      </c>
      <c r="H88" t="s">
        <v>18</v>
      </c>
      <c r="I88">
        <v>3</v>
      </c>
      <c r="J88" t="s">
        <v>16</v>
      </c>
      <c r="K88" t="s">
        <v>17</v>
      </c>
      <c r="L88">
        <v>51</v>
      </c>
      <c r="M88" t="s">
        <v>15</v>
      </c>
    </row>
    <row r="89" spans="1:13" x14ac:dyDescent="0.25">
      <c r="A89">
        <v>19608</v>
      </c>
      <c r="B89" t="s">
        <v>34</v>
      </c>
      <c r="C89" t="s">
        <v>34</v>
      </c>
      <c r="D89" s="32">
        <v>80000</v>
      </c>
      <c r="E89">
        <v>5</v>
      </c>
      <c r="F89" t="s">
        <v>13</v>
      </c>
      <c r="G89" t="s">
        <v>21</v>
      </c>
      <c r="H89" t="s">
        <v>15</v>
      </c>
      <c r="I89">
        <v>4</v>
      </c>
      <c r="J89" t="s">
        <v>26</v>
      </c>
      <c r="K89" t="s">
        <v>24</v>
      </c>
      <c r="L89">
        <v>40</v>
      </c>
      <c r="M89" t="s">
        <v>18</v>
      </c>
    </row>
    <row r="90" spans="1:13" x14ac:dyDescent="0.25">
      <c r="A90">
        <v>24119</v>
      </c>
      <c r="B90" t="s">
        <v>35</v>
      </c>
      <c r="C90" t="s">
        <v>34</v>
      </c>
      <c r="D90" s="32">
        <v>30000</v>
      </c>
      <c r="E90">
        <v>0</v>
      </c>
      <c r="F90" t="s">
        <v>19</v>
      </c>
      <c r="G90" t="s">
        <v>20</v>
      </c>
      <c r="H90" t="s">
        <v>18</v>
      </c>
      <c r="I90">
        <v>1</v>
      </c>
      <c r="J90" t="s">
        <v>22</v>
      </c>
      <c r="K90" t="s">
        <v>17</v>
      </c>
      <c r="L90">
        <v>29</v>
      </c>
      <c r="M90" t="s">
        <v>18</v>
      </c>
    </row>
    <row r="91" spans="1:13" x14ac:dyDescent="0.25">
      <c r="A91">
        <v>25458</v>
      </c>
      <c r="B91" t="s">
        <v>34</v>
      </c>
      <c r="C91" t="s">
        <v>34</v>
      </c>
      <c r="D91" s="32">
        <v>20000</v>
      </c>
      <c r="E91">
        <v>1</v>
      </c>
      <c r="F91" t="s">
        <v>27</v>
      </c>
      <c r="G91" t="s">
        <v>25</v>
      </c>
      <c r="H91" t="s">
        <v>18</v>
      </c>
      <c r="I91">
        <v>1</v>
      </c>
      <c r="J91" t="s">
        <v>26</v>
      </c>
      <c r="K91" t="s">
        <v>17</v>
      </c>
      <c r="L91">
        <v>40</v>
      </c>
      <c r="M91" t="s">
        <v>15</v>
      </c>
    </row>
    <row r="92" spans="1:13" x14ac:dyDescent="0.25">
      <c r="A92">
        <v>26886</v>
      </c>
      <c r="B92" t="s">
        <v>35</v>
      </c>
      <c r="C92" t="s">
        <v>33</v>
      </c>
      <c r="D92" s="32">
        <v>30000</v>
      </c>
      <c r="E92">
        <v>0</v>
      </c>
      <c r="F92" t="s">
        <v>19</v>
      </c>
      <c r="G92" t="s">
        <v>20</v>
      </c>
      <c r="H92" t="s">
        <v>18</v>
      </c>
      <c r="I92">
        <v>1</v>
      </c>
      <c r="J92" t="s">
        <v>16</v>
      </c>
      <c r="K92" t="s">
        <v>17</v>
      </c>
      <c r="L92">
        <v>29</v>
      </c>
      <c r="M92" t="s">
        <v>15</v>
      </c>
    </row>
    <row r="93" spans="1:13" x14ac:dyDescent="0.25">
      <c r="A93">
        <v>28436</v>
      </c>
      <c r="B93" t="s">
        <v>35</v>
      </c>
      <c r="C93" t="s">
        <v>34</v>
      </c>
      <c r="D93" s="32">
        <v>30000</v>
      </c>
      <c r="E93">
        <v>0</v>
      </c>
      <c r="F93" t="s">
        <v>19</v>
      </c>
      <c r="G93" t="s">
        <v>20</v>
      </c>
      <c r="H93" t="s">
        <v>18</v>
      </c>
      <c r="I93">
        <v>1</v>
      </c>
      <c r="J93" t="s">
        <v>16</v>
      </c>
      <c r="K93" t="s">
        <v>17</v>
      </c>
      <c r="L93">
        <v>30</v>
      </c>
      <c r="M93" t="s">
        <v>15</v>
      </c>
    </row>
    <row r="94" spans="1:13" x14ac:dyDescent="0.25">
      <c r="A94">
        <v>19562</v>
      </c>
      <c r="B94" t="s">
        <v>35</v>
      </c>
      <c r="C94" t="s">
        <v>33</v>
      </c>
      <c r="D94" s="32">
        <v>60000</v>
      </c>
      <c r="E94">
        <v>2</v>
      </c>
      <c r="F94" t="s">
        <v>13</v>
      </c>
      <c r="G94" t="s">
        <v>21</v>
      </c>
      <c r="H94" t="s">
        <v>15</v>
      </c>
      <c r="I94">
        <v>1</v>
      </c>
      <c r="J94" t="s">
        <v>22</v>
      </c>
      <c r="K94" t="s">
        <v>24</v>
      </c>
      <c r="L94">
        <v>37</v>
      </c>
      <c r="M94" t="s">
        <v>15</v>
      </c>
    </row>
    <row r="95" spans="1:13" x14ac:dyDescent="0.25">
      <c r="A95">
        <v>15608</v>
      </c>
      <c r="B95" t="s">
        <v>35</v>
      </c>
      <c r="C95" t="s">
        <v>33</v>
      </c>
      <c r="D95" s="32">
        <v>30000</v>
      </c>
      <c r="E95">
        <v>0</v>
      </c>
      <c r="F95" t="s">
        <v>19</v>
      </c>
      <c r="G95" t="s">
        <v>20</v>
      </c>
      <c r="H95" t="s">
        <v>18</v>
      </c>
      <c r="I95">
        <v>1</v>
      </c>
      <c r="J95" t="s">
        <v>22</v>
      </c>
      <c r="K95" t="s">
        <v>17</v>
      </c>
      <c r="L95">
        <v>33</v>
      </c>
      <c r="M95" t="s">
        <v>18</v>
      </c>
    </row>
    <row r="96" spans="1:13" x14ac:dyDescent="0.25">
      <c r="A96">
        <v>16487</v>
      </c>
      <c r="B96" t="s">
        <v>35</v>
      </c>
      <c r="C96" t="s">
        <v>33</v>
      </c>
      <c r="D96" s="32">
        <v>30000</v>
      </c>
      <c r="E96">
        <v>3</v>
      </c>
      <c r="F96" t="s">
        <v>27</v>
      </c>
      <c r="G96" t="s">
        <v>14</v>
      </c>
      <c r="H96" t="s">
        <v>15</v>
      </c>
      <c r="I96">
        <v>2</v>
      </c>
      <c r="J96" t="s">
        <v>23</v>
      </c>
      <c r="K96" t="s">
        <v>24</v>
      </c>
      <c r="L96">
        <v>55</v>
      </c>
      <c r="M96" t="s">
        <v>18</v>
      </c>
    </row>
    <row r="97" spans="1:13" x14ac:dyDescent="0.25">
      <c r="A97">
        <v>17197</v>
      </c>
      <c r="B97" t="s">
        <v>35</v>
      </c>
      <c r="C97" t="s">
        <v>33</v>
      </c>
      <c r="D97" s="32">
        <v>90000</v>
      </c>
      <c r="E97">
        <v>5</v>
      </c>
      <c r="F97" t="s">
        <v>19</v>
      </c>
      <c r="G97" t="s">
        <v>21</v>
      </c>
      <c r="H97" t="s">
        <v>15</v>
      </c>
      <c r="I97">
        <v>2</v>
      </c>
      <c r="J97" t="s">
        <v>30</v>
      </c>
      <c r="K97" t="s">
        <v>17</v>
      </c>
      <c r="L97">
        <v>62</v>
      </c>
      <c r="M97" t="s">
        <v>18</v>
      </c>
    </row>
    <row r="98" spans="1:13" x14ac:dyDescent="0.25">
      <c r="A98">
        <v>12507</v>
      </c>
      <c r="B98" t="s">
        <v>34</v>
      </c>
      <c r="C98" t="s">
        <v>34</v>
      </c>
      <c r="D98" s="32">
        <v>30000</v>
      </c>
      <c r="E98">
        <v>1</v>
      </c>
      <c r="F98" t="s">
        <v>19</v>
      </c>
      <c r="G98" t="s">
        <v>20</v>
      </c>
      <c r="H98" t="s">
        <v>15</v>
      </c>
      <c r="I98">
        <v>1</v>
      </c>
      <c r="J98" t="s">
        <v>16</v>
      </c>
      <c r="K98" t="s">
        <v>17</v>
      </c>
      <c r="L98">
        <v>43</v>
      </c>
      <c r="M98" t="s">
        <v>18</v>
      </c>
    </row>
    <row r="99" spans="1:13" x14ac:dyDescent="0.25">
      <c r="A99">
        <v>23940</v>
      </c>
      <c r="B99" t="s">
        <v>34</v>
      </c>
      <c r="C99" t="s">
        <v>34</v>
      </c>
      <c r="D99" s="32">
        <v>40000</v>
      </c>
      <c r="E99">
        <v>1</v>
      </c>
      <c r="F99" t="s">
        <v>13</v>
      </c>
      <c r="G99" t="s">
        <v>14</v>
      </c>
      <c r="H99" t="s">
        <v>15</v>
      </c>
      <c r="I99">
        <v>1</v>
      </c>
      <c r="J99" t="s">
        <v>16</v>
      </c>
      <c r="K99" t="s">
        <v>17</v>
      </c>
      <c r="L99">
        <v>44</v>
      </c>
      <c r="M99" t="s">
        <v>15</v>
      </c>
    </row>
    <row r="100" spans="1:13" x14ac:dyDescent="0.25">
      <c r="A100">
        <v>19441</v>
      </c>
      <c r="B100" t="s">
        <v>34</v>
      </c>
      <c r="C100" t="s">
        <v>34</v>
      </c>
      <c r="D100" s="32">
        <v>40000</v>
      </c>
      <c r="E100">
        <v>0</v>
      </c>
      <c r="F100" t="s">
        <v>31</v>
      </c>
      <c r="G100" t="s">
        <v>20</v>
      </c>
      <c r="H100" t="s">
        <v>15</v>
      </c>
      <c r="I100">
        <v>0</v>
      </c>
      <c r="J100" t="s">
        <v>16</v>
      </c>
      <c r="K100" t="s">
        <v>17</v>
      </c>
      <c r="L100">
        <v>25</v>
      </c>
      <c r="M100" t="s">
        <v>15</v>
      </c>
    </row>
    <row r="101" spans="1:13" x14ac:dyDescent="0.25">
      <c r="A101">
        <v>26852</v>
      </c>
      <c r="B101" t="s">
        <v>34</v>
      </c>
      <c r="C101" t="s">
        <v>33</v>
      </c>
      <c r="D101" s="32">
        <v>20000</v>
      </c>
      <c r="E101">
        <v>3</v>
      </c>
      <c r="F101" t="s">
        <v>27</v>
      </c>
      <c r="G101" t="s">
        <v>25</v>
      </c>
      <c r="H101" t="s">
        <v>15</v>
      </c>
      <c r="I101">
        <v>2</v>
      </c>
      <c r="J101" t="s">
        <v>16</v>
      </c>
      <c r="K101" t="s">
        <v>17</v>
      </c>
      <c r="L101">
        <v>43</v>
      </c>
      <c r="M101" t="s">
        <v>18</v>
      </c>
    </row>
    <row r="102" spans="1:13" x14ac:dyDescent="0.25">
      <c r="A102">
        <v>12274</v>
      </c>
      <c r="B102" t="s">
        <v>35</v>
      </c>
      <c r="C102" t="s">
        <v>34</v>
      </c>
      <c r="D102" s="32">
        <v>10000</v>
      </c>
      <c r="E102">
        <v>2</v>
      </c>
      <c r="F102" t="s">
        <v>27</v>
      </c>
      <c r="G102" t="s">
        <v>25</v>
      </c>
      <c r="H102" t="s">
        <v>15</v>
      </c>
      <c r="I102">
        <v>0</v>
      </c>
      <c r="J102" t="s">
        <v>16</v>
      </c>
      <c r="K102" t="s">
        <v>17</v>
      </c>
      <c r="L102">
        <v>35</v>
      </c>
      <c r="M102" t="s">
        <v>18</v>
      </c>
    </row>
    <row r="103" spans="1:13" x14ac:dyDescent="0.25">
      <c r="A103">
        <v>20236</v>
      </c>
      <c r="B103" t="s">
        <v>35</v>
      </c>
      <c r="C103" t="s">
        <v>34</v>
      </c>
      <c r="D103" s="32">
        <v>60000</v>
      </c>
      <c r="E103">
        <v>3</v>
      </c>
      <c r="F103" t="s">
        <v>13</v>
      </c>
      <c r="G103" t="s">
        <v>21</v>
      </c>
      <c r="H103" t="s">
        <v>18</v>
      </c>
      <c r="I103">
        <v>2</v>
      </c>
      <c r="J103" t="s">
        <v>16</v>
      </c>
      <c r="K103" t="s">
        <v>24</v>
      </c>
      <c r="L103">
        <v>43</v>
      </c>
      <c r="M103" t="s">
        <v>15</v>
      </c>
    </row>
    <row r="104" spans="1:13" x14ac:dyDescent="0.25">
      <c r="A104">
        <v>24149</v>
      </c>
      <c r="B104" t="s">
        <v>34</v>
      </c>
      <c r="C104" t="s">
        <v>34</v>
      </c>
      <c r="D104" s="32">
        <v>10000</v>
      </c>
      <c r="E104">
        <v>2</v>
      </c>
      <c r="F104" t="s">
        <v>19</v>
      </c>
      <c r="G104" t="s">
        <v>25</v>
      </c>
      <c r="H104" t="s">
        <v>15</v>
      </c>
      <c r="I104">
        <v>0</v>
      </c>
      <c r="J104" t="s">
        <v>26</v>
      </c>
      <c r="K104" t="s">
        <v>17</v>
      </c>
      <c r="L104">
        <v>49</v>
      </c>
      <c r="M104" t="s">
        <v>18</v>
      </c>
    </row>
    <row r="105" spans="1:13" x14ac:dyDescent="0.25">
      <c r="A105">
        <v>26139</v>
      </c>
      <c r="B105" t="s">
        <v>35</v>
      </c>
      <c r="C105" t="s">
        <v>34</v>
      </c>
      <c r="D105" s="32">
        <v>60000</v>
      </c>
      <c r="E105">
        <v>1</v>
      </c>
      <c r="F105" t="s">
        <v>19</v>
      </c>
      <c r="G105" t="s">
        <v>14</v>
      </c>
      <c r="H105" t="s">
        <v>15</v>
      </c>
      <c r="I105">
        <v>1</v>
      </c>
      <c r="J105" t="s">
        <v>23</v>
      </c>
      <c r="K105" t="s">
        <v>24</v>
      </c>
      <c r="L105">
        <v>45</v>
      </c>
      <c r="M105" t="s">
        <v>18</v>
      </c>
    </row>
    <row r="106" spans="1:13" x14ac:dyDescent="0.25">
      <c r="A106">
        <v>18491</v>
      </c>
      <c r="B106" t="s">
        <v>35</v>
      </c>
      <c r="C106" t="s">
        <v>33</v>
      </c>
      <c r="D106" s="32">
        <v>70000</v>
      </c>
      <c r="E106">
        <v>2</v>
      </c>
      <c r="F106" t="s">
        <v>27</v>
      </c>
      <c r="G106" t="s">
        <v>21</v>
      </c>
      <c r="H106" t="s">
        <v>15</v>
      </c>
      <c r="I106">
        <v>2</v>
      </c>
      <c r="J106" t="s">
        <v>23</v>
      </c>
      <c r="K106" t="s">
        <v>24</v>
      </c>
      <c r="L106">
        <v>49</v>
      </c>
      <c r="M106" t="s">
        <v>15</v>
      </c>
    </row>
    <row r="107" spans="1:13" x14ac:dyDescent="0.25">
      <c r="A107">
        <v>22707</v>
      </c>
      <c r="B107" t="s">
        <v>35</v>
      </c>
      <c r="C107" t="s">
        <v>33</v>
      </c>
      <c r="D107" s="32">
        <v>30000</v>
      </c>
      <c r="E107">
        <v>0</v>
      </c>
      <c r="F107" t="s">
        <v>19</v>
      </c>
      <c r="G107" t="s">
        <v>20</v>
      </c>
      <c r="H107" t="s">
        <v>18</v>
      </c>
      <c r="I107">
        <v>1</v>
      </c>
      <c r="J107" t="s">
        <v>22</v>
      </c>
      <c r="K107" t="s">
        <v>17</v>
      </c>
      <c r="L107">
        <v>30</v>
      </c>
      <c r="M107" t="s">
        <v>18</v>
      </c>
    </row>
    <row r="108" spans="1:13" x14ac:dyDescent="0.25">
      <c r="A108">
        <v>20430</v>
      </c>
      <c r="B108" t="s">
        <v>34</v>
      </c>
      <c r="C108" t="s">
        <v>34</v>
      </c>
      <c r="D108" s="32">
        <v>70000</v>
      </c>
      <c r="E108">
        <v>2</v>
      </c>
      <c r="F108" t="s">
        <v>19</v>
      </c>
      <c r="G108" t="s">
        <v>14</v>
      </c>
      <c r="H108" t="s">
        <v>15</v>
      </c>
      <c r="I108">
        <v>2</v>
      </c>
      <c r="J108" t="s">
        <v>23</v>
      </c>
      <c r="K108" t="s">
        <v>24</v>
      </c>
      <c r="L108">
        <v>52</v>
      </c>
      <c r="M108" t="s">
        <v>15</v>
      </c>
    </row>
    <row r="109" spans="1:13" x14ac:dyDescent="0.25">
      <c r="A109">
        <v>27494</v>
      </c>
      <c r="B109" t="s">
        <v>35</v>
      </c>
      <c r="C109" t="s">
        <v>33</v>
      </c>
      <c r="D109" s="32">
        <v>40000</v>
      </c>
      <c r="E109">
        <v>2</v>
      </c>
      <c r="F109" t="s">
        <v>19</v>
      </c>
      <c r="G109" t="s">
        <v>14</v>
      </c>
      <c r="H109" t="s">
        <v>18</v>
      </c>
      <c r="I109">
        <v>2</v>
      </c>
      <c r="J109" t="s">
        <v>26</v>
      </c>
      <c r="K109" t="s">
        <v>24</v>
      </c>
      <c r="L109">
        <v>53</v>
      </c>
      <c r="M109" t="s">
        <v>15</v>
      </c>
    </row>
    <row r="110" spans="1:13" x14ac:dyDescent="0.25">
      <c r="A110">
        <v>26829</v>
      </c>
      <c r="B110" t="s">
        <v>34</v>
      </c>
      <c r="C110" t="s">
        <v>33</v>
      </c>
      <c r="D110" s="32">
        <v>40000</v>
      </c>
      <c r="E110">
        <v>0</v>
      </c>
      <c r="F110" t="s">
        <v>13</v>
      </c>
      <c r="G110" t="s">
        <v>20</v>
      </c>
      <c r="H110" t="s">
        <v>15</v>
      </c>
      <c r="I110">
        <v>0</v>
      </c>
      <c r="J110" t="s">
        <v>16</v>
      </c>
      <c r="K110" t="s">
        <v>17</v>
      </c>
      <c r="L110">
        <v>38</v>
      </c>
      <c r="M110" t="s">
        <v>15</v>
      </c>
    </row>
    <row r="111" spans="1:13" x14ac:dyDescent="0.25">
      <c r="A111">
        <v>28395</v>
      </c>
      <c r="B111" t="s">
        <v>35</v>
      </c>
      <c r="C111" t="s">
        <v>34</v>
      </c>
      <c r="D111" s="32">
        <v>40000</v>
      </c>
      <c r="E111">
        <v>0</v>
      </c>
      <c r="F111" t="s">
        <v>13</v>
      </c>
      <c r="G111" t="s">
        <v>21</v>
      </c>
      <c r="H111" t="s">
        <v>18</v>
      </c>
      <c r="I111">
        <v>0</v>
      </c>
      <c r="J111" t="s">
        <v>16</v>
      </c>
      <c r="K111" t="s">
        <v>17</v>
      </c>
      <c r="L111">
        <v>39</v>
      </c>
      <c r="M111" t="s">
        <v>15</v>
      </c>
    </row>
    <row r="112" spans="1:13" x14ac:dyDescent="0.25">
      <c r="A112">
        <v>21006</v>
      </c>
      <c r="B112" t="s">
        <v>35</v>
      </c>
      <c r="C112" t="s">
        <v>33</v>
      </c>
      <c r="D112" s="32">
        <v>30000</v>
      </c>
      <c r="E112">
        <v>1</v>
      </c>
      <c r="F112" t="s">
        <v>19</v>
      </c>
      <c r="G112" t="s">
        <v>25</v>
      </c>
      <c r="H112" t="s">
        <v>18</v>
      </c>
      <c r="I112">
        <v>0</v>
      </c>
      <c r="J112" t="s">
        <v>16</v>
      </c>
      <c r="K112" t="s">
        <v>17</v>
      </c>
      <c r="L112">
        <v>46</v>
      </c>
      <c r="M112" t="s">
        <v>15</v>
      </c>
    </row>
    <row r="113" spans="1:13" x14ac:dyDescent="0.25">
      <c r="A113">
        <v>14682</v>
      </c>
      <c r="B113" t="s">
        <v>35</v>
      </c>
      <c r="C113" t="s">
        <v>33</v>
      </c>
      <c r="D113" s="32">
        <v>70000</v>
      </c>
      <c r="E113">
        <v>0</v>
      </c>
      <c r="F113" t="s">
        <v>13</v>
      </c>
      <c r="G113" t="s">
        <v>21</v>
      </c>
      <c r="H113" t="s">
        <v>18</v>
      </c>
      <c r="I113">
        <v>1</v>
      </c>
      <c r="J113" t="s">
        <v>23</v>
      </c>
      <c r="K113" t="s">
        <v>24</v>
      </c>
      <c r="L113">
        <v>38</v>
      </c>
      <c r="M113" t="s">
        <v>18</v>
      </c>
    </row>
    <row r="114" spans="1:13" x14ac:dyDescent="0.25">
      <c r="A114">
        <v>17650</v>
      </c>
      <c r="B114" t="s">
        <v>35</v>
      </c>
      <c r="C114" t="s">
        <v>33</v>
      </c>
      <c r="D114" s="32">
        <v>40000</v>
      </c>
      <c r="E114">
        <v>2</v>
      </c>
      <c r="F114" t="s">
        <v>19</v>
      </c>
      <c r="G114" t="s">
        <v>20</v>
      </c>
      <c r="H114" t="s">
        <v>15</v>
      </c>
      <c r="I114">
        <v>2</v>
      </c>
      <c r="J114" t="s">
        <v>26</v>
      </c>
      <c r="K114" t="s">
        <v>17</v>
      </c>
      <c r="L114">
        <v>35</v>
      </c>
      <c r="M114" t="s">
        <v>18</v>
      </c>
    </row>
    <row r="115" spans="1:13" x14ac:dyDescent="0.25">
      <c r="A115">
        <v>29191</v>
      </c>
      <c r="B115" t="s">
        <v>35</v>
      </c>
      <c r="C115" t="s">
        <v>33</v>
      </c>
      <c r="D115" s="32">
        <v>130000</v>
      </c>
      <c r="E115">
        <v>1</v>
      </c>
      <c r="F115" t="s">
        <v>31</v>
      </c>
      <c r="G115" t="s">
        <v>28</v>
      </c>
      <c r="H115" t="s">
        <v>18</v>
      </c>
      <c r="I115">
        <v>1</v>
      </c>
      <c r="J115" t="s">
        <v>16</v>
      </c>
      <c r="K115" t="s">
        <v>24</v>
      </c>
      <c r="L115">
        <v>36</v>
      </c>
      <c r="M115" t="s">
        <v>15</v>
      </c>
    </row>
    <row r="116" spans="1:13" x14ac:dyDescent="0.25">
      <c r="A116">
        <v>15030</v>
      </c>
      <c r="B116" t="s">
        <v>34</v>
      </c>
      <c r="C116" t="s">
        <v>34</v>
      </c>
      <c r="D116" s="32">
        <v>20000</v>
      </c>
      <c r="E116">
        <v>0</v>
      </c>
      <c r="F116" t="s">
        <v>13</v>
      </c>
      <c r="G116" t="s">
        <v>20</v>
      </c>
      <c r="H116" t="s">
        <v>15</v>
      </c>
      <c r="I116">
        <v>0</v>
      </c>
      <c r="J116" t="s">
        <v>16</v>
      </c>
      <c r="K116" t="s">
        <v>24</v>
      </c>
      <c r="L116">
        <v>26</v>
      </c>
      <c r="M116" t="s">
        <v>15</v>
      </c>
    </row>
    <row r="117" spans="1:13" x14ac:dyDescent="0.25">
      <c r="A117">
        <v>24140</v>
      </c>
      <c r="B117" t="s">
        <v>35</v>
      </c>
      <c r="C117" t="s">
        <v>34</v>
      </c>
      <c r="D117" s="32">
        <v>10000</v>
      </c>
      <c r="E117">
        <v>0</v>
      </c>
      <c r="F117" t="s">
        <v>31</v>
      </c>
      <c r="G117" t="s">
        <v>25</v>
      </c>
      <c r="H117" t="s">
        <v>18</v>
      </c>
      <c r="I117">
        <v>0</v>
      </c>
      <c r="J117" t="s">
        <v>16</v>
      </c>
      <c r="K117" t="s">
        <v>17</v>
      </c>
      <c r="L117">
        <v>30</v>
      </c>
      <c r="M117" t="s">
        <v>15</v>
      </c>
    </row>
    <row r="118" spans="1:13" x14ac:dyDescent="0.25">
      <c r="A118">
        <v>22496</v>
      </c>
      <c r="B118" t="s">
        <v>34</v>
      </c>
      <c r="C118" t="s">
        <v>33</v>
      </c>
      <c r="D118" s="32">
        <v>30000</v>
      </c>
      <c r="E118">
        <v>1</v>
      </c>
      <c r="F118" t="s">
        <v>13</v>
      </c>
      <c r="G118" t="s">
        <v>14</v>
      </c>
      <c r="H118" t="s">
        <v>15</v>
      </c>
      <c r="I118">
        <v>2</v>
      </c>
      <c r="J118" t="s">
        <v>16</v>
      </c>
      <c r="K118" t="s">
        <v>17</v>
      </c>
      <c r="L118">
        <v>42</v>
      </c>
      <c r="M118" t="s">
        <v>18</v>
      </c>
    </row>
    <row r="119" spans="1:13" x14ac:dyDescent="0.25">
      <c r="A119">
        <v>24065</v>
      </c>
      <c r="B119" t="s">
        <v>35</v>
      </c>
      <c r="C119" t="s">
        <v>33</v>
      </c>
      <c r="D119" s="32">
        <v>20000</v>
      </c>
      <c r="E119">
        <v>0</v>
      </c>
      <c r="F119" t="s">
        <v>27</v>
      </c>
      <c r="G119" t="s">
        <v>25</v>
      </c>
      <c r="H119" t="s">
        <v>15</v>
      </c>
      <c r="I119">
        <v>0</v>
      </c>
      <c r="J119" t="s">
        <v>16</v>
      </c>
      <c r="K119" t="s">
        <v>17</v>
      </c>
      <c r="L119">
        <v>40</v>
      </c>
      <c r="M119" t="s">
        <v>15</v>
      </c>
    </row>
    <row r="120" spans="1:13" x14ac:dyDescent="0.25">
      <c r="A120">
        <v>19914</v>
      </c>
      <c r="B120" t="s">
        <v>34</v>
      </c>
      <c r="C120" t="s">
        <v>34</v>
      </c>
      <c r="D120" s="32">
        <v>80000</v>
      </c>
      <c r="E120">
        <v>5</v>
      </c>
      <c r="F120" t="s">
        <v>13</v>
      </c>
      <c r="G120" t="s">
        <v>28</v>
      </c>
      <c r="H120" t="s">
        <v>15</v>
      </c>
      <c r="I120">
        <v>2</v>
      </c>
      <c r="J120" t="s">
        <v>22</v>
      </c>
      <c r="K120" t="s">
        <v>17</v>
      </c>
      <c r="L120">
        <v>62</v>
      </c>
      <c r="M120" t="s">
        <v>18</v>
      </c>
    </row>
    <row r="121" spans="1:13" x14ac:dyDescent="0.25">
      <c r="A121">
        <v>12871</v>
      </c>
      <c r="B121" t="s">
        <v>35</v>
      </c>
      <c r="C121" t="s">
        <v>33</v>
      </c>
      <c r="D121" s="32">
        <v>30000</v>
      </c>
      <c r="E121">
        <v>0</v>
      </c>
      <c r="F121" t="s">
        <v>19</v>
      </c>
      <c r="G121" t="s">
        <v>20</v>
      </c>
      <c r="H121" t="s">
        <v>18</v>
      </c>
      <c r="I121">
        <v>1</v>
      </c>
      <c r="J121" t="s">
        <v>22</v>
      </c>
      <c r="K121" t="s">
        <v>17</v>
      </c>
      <c r="L121">
        <v>29</v>
      </c>
      <c r="M121" t="s">
        <v>18</v>
      </c>
    </row>
    <row r="122" spans="1:13" x14ac:dyDescent="0.25">
      <c r="A122">
        <v>22988</v>
      </c>
      <c r="B122" t="s">
        <v>34</v>
      </c>
      <c r="C122" t="s">
        <v>33</v>
      </c>
      <c r="D122" s="32">
        <v>40000</v>
      </c>
      <c r="E122">
        <v>2</v>
      </c>
      <c r="F122" t="s">
        <v>13</v>
      </c>
      <c r="G122" t="s">
        <v>28</v>
      </c>
      <c r="H122" t="s">
        <v>15</v>
      </c>
      <c r="I122">
        <v>2</v>
      </c>
      <c r="J122" t="s">
        <v>23</v>
      </c>
      <c r="K122" t="s">
        <v>24</v>
      </c>
      <c r="L122">
        <v>66</v>
      </c>
      <c r="M122" t="s">
        <v>15</v>
      </c>
    </row>
    <row r="123" spans="1:13" x14ac:dyDescent="0.25">
      <c r="A123">
        <v>15922</v>
      </c>
      <c r="B123" t="s">
        <v>34</v>
      </c>
      <c r="C123" t="s">
        <v>34</v>
      </c>
      <c r="D123" s="32">
        <v>150000</v>
      </c>
      <c r="E123">
        <v>2</v>
      </c>
      <c r="F123" t="s">
        <v>27</v>
      </c>
      <c r="G123" t="s">
        <v>21</v>
      </c>
      <c r="H123" t="s">
        <v>15</v>
      </c>
      <c r="I123">
        <v>4</v>
      </c>
      <c r="J123" t="s">
        <v>16</v>
      </c>
      <c r="K123" t="s">
        <v>17</v>
      </c>
      <c r="L123">
        <v>48</v>
      </c>
      <c r="M123" t="s">
        <v>18</v>
      </c>
    </row>
    <row r="124" spans="1:13" x14ac:dyDescent="0.25">
      <c r="A124">
        <v>12344</v>
      </c>
      <c r="B124" t="s">
        <v>35</v>
      </c>
      <c r="C124" t="s">
        <v>33</v>
      </c>
      <c r="D124" s="32">
        <v>80000</v>
      </c>
      <c r="E124">
        <v>0</v>
      </c>
      <c r="F124" t="s">
        <v>13</v>
      </c>
      <c r="G124" t="s">
        <v>21</v>
      </c>
      <c r="H124" t="s">
        <v>18</v>
      </c>
      <c r="I124">
        <v>3</v>
      </c>
      <c r="J124" t="s">
        <v>30</v>
      </c>
      <c r="K124" t="s">
        <v>24</v>
      </c>
      <c r="L124">
        <v>31</v>
      </c>
      <c r="M124" t="s">
        <v>18</v>
      </c>
    </row>
    <row r="125" spans="1:13" x14ac:dyDescent="0.25">
      <c r="A125">
        <v>23627</v>
      </c>
      <c r="B125" t="s">
        <v>35</v>
      </c>
      <c r="C125" t="s">
        <v>33</v>
      </c>
      <c r="D125" s="32">
        <v>100000</v>
      </c>
      <c r="E125">
        <v>3</v>
      </c>
      <c r="F125" t="s">
        <v>19</v>
      </c>
      <c r="G125" t="s">
        <v>28</v>
      </c>
      <c r="H125" t="s">
        <v>18</v>
      </c>
      <c r="I125">
        <v>4</v>
      </c>
      <c r="J125" t="s">
        <v>23</v>
      </c>
      <c r="K125" t="s">
        <v>17</v>
      </c>
      <c r="L125">
        <v>56</v>
      </c>
      <c r="M125" t="s">
        <v>18</v>
      </c>
    </row>
    <row r="126" spans="1:13" x14ac:dyDescent="0.25">
      <c r="A126">
        <v>27775</v>
      </c>
      <c r="B126" t="s">
        <v>35</v>
      </c>
      <c r="C126" t="s">
        <v>33</v>
      </c>
      <c r="D126" s="32">
        <v>40000</v>
      </c>
      <c r="E126">
        <v>0</v>
      </c>
      <c r="F126" t="s">
        <v>13</v>
      </c>
      <c r="G126" t="s">
        <v>20</v>
      </c>
      <c r="H126" t="s">
        <v>18</v>
      </c>
      <c r="I126">
        <v>0</v>
      </c>
      <c r="J126" t="s">
        <v>16</v>
      </c>
      <c r="K126" t="s">
        <v>17</v>
      </c>
      <c r="L126">
        <v>38</v>
      </c>
      <c r="M126" t="s">
        <v>15</v>
      </c>
    </row>
    <row r="127" spans="1:13" x14ac:dyDescent="0.25">
      <c r="A127">
        <v>29301</v>
      </c>
      <c r="B127" t="s">
        <v>34</v>
      </c>
      <c r="C127" t="s">
        <v>34</v>
      </c>
      <c r="D127" s="32">
        <v>80000</v>
      </c>
      <c r="E127">
        <v>5</v>
      </c>
      <c r="F127" t="s">
        <v>13</v>
      </c>
      <c r="G127" t="s">
        <v>21</v>
      </c>
      <c r="H127" t="s">
        <v>15</v>
      </c>
      <c r="I127">
        <v>4</v>
      </c>
      <c r="J127" t="s">
        <v>26</v>
      </c>
      <c r="K127" t="s">
        <v>24</v>
      </c>
      <c r="L127">
        <v>40</v>
      </c>
      <c r="M127" t="s">
        <v>18</v>
      </c>
    </row>
    <row r="128" spans="1:13" x14ac:dyDescent="0.25">
      <c r="A128">
        <v>12716</v>
      </c>
      <c r="B128" t="s">
        <v>35</v>
      </c>
      <c r="C128" t="s">
        <v>34</v>
      </c>
      <c r="D128" s="32">
        <v>30000</v>
      </c>
      <c r="E128">
        <v>0</v>
      </c>
      <c r="F128" t="s">
        <v>19</v>
      </c>
      <c r="G128" t="s">
        <v>20</v>
      </c>
      <c r="H128" t="s">
        <v>15</v>
      </c>
      <c r="I128">
        <v>1</v>
      </c>
      <c r="J128" t="s">
        <v>22</v>
      </c>
      <c r="K128" t="s">
        <v>17</v>
      </c>
      <c r="L128">
        <v>32</v>
      </c>
      <c r="M128" t="s">
        <v>18</v>
      </c>
    </row>
    <row r="129" spans="1:13" x14ac:dyDescent="0.25">
      <c r="A129">
        <v>12472</v>
      </c>
      <c r="B129" t="s">
        <v>34</v>
      </c>
      <c r="C129" t="s">
        <v>34</v>
      </c>
      <c r="D129" s="32">
        <v>30000</v>
      </c>
      <c r="E129">
        <v>1</v>
      </c>
      <c r="F129" t="s">
        <v>13</v>
      </c>
      <c r="G129" t="s">
        <v>20</v>
      </c>
      <c r="H129" t="s">
        <v>15</v>
      </c>
      <c r="I129">
        <v>1</v>
      </c>
      <c r="J129" t="s">
        <v>22</v>
      </c>
      <c r="K129" t="s">
        <v>17</v>
      </c>
      <c r="L129">
        <v>39</v>
      </c>
      <c r="M129" t="s">
        <v>18</v>
      </c>
    </row>
    <row r="130" spans="1:13" x14ac:dyDescent="0.25">
      <c r="A130">
        <v>20970</v>
      </c>
      <c r="B130" t="s">
        <v>35</v>
      </c>
      <c r="C130" t="s">
        <v>34</v>
      </c>
      <c r="D130" s="32">
        <v>10000</v>
      </c>
      <c r="E130">
        <v>2</v>
      </c>
      <c r="F130" t="s">
        <v>19</v>
      </c>
      <c r="G130" t="s">
        <v>25</v>
      </c>
      <c r="H130" t="s">
        <v>15</v>
      </c>
      <c r="I130">
        <v>1</v>
      </c>
      <c r="J130" t="s">
        <v>16</v>
      </c>
      <c r="K130" t="s">
        <v>17</v>
      </c>
      <c r="L130">
        <v>52</v>
      </c>
      <c r="M130" t="s">
        <v>15</v>
      </c>
    </row>
    <row r="131" spans="1:13" x14ac:dyDescent="0.25">
      <c r="A131">
        <v>26818</v>
      </c>
      <c r="B131" t="s">
        <v>35</v>
      </c>
      <c r="C131" t="s">
        <v>34</v>
      </c>
      <c r="D131" s="32">
        <v>10000</v>
      </c>
      <c r="E131">
        <v>3</v>
      </c>
      <c r="F131" t="s">
        <v>27</v>
      </c>
      <c r="G131" t="s">
        <v>25</v>
      </c>
      <c r="H131" t="s">
        <v>15</v>
      </c>
      <c r="I131">
        <v>1</v>
      </c>
      <c r="J131" t="s">
        <v>16</v>
      </c>
      <c r="K131" t="s">
        <v>17</v>
      </c>
      <c r="L131">
        <v>39</v>
      </c>
      <c r="M131" t="s">
        <v>15</v>
      </c>
    </row>
    <row r="132" spans="1:13" x14ac:dyDescent="0.25">
      <c r="A132">
        <v>12993</v>
      </c>
      <c r="B132" t="s">
        <v>34</v>
      </c>
      <c r="C132" t="s">
        <v>34</v>
      </c>
      <c r="D132" s="32">
        <v>60000</v>
      </c>
      <c r="E132">
        <v>2</v>
      </c>
      <c r="F132" t="s">
        <v>13</v>
      </c>
      <c r="G132" t="s">
        <v>21</v>
      </c>
      <c r="H132" t="s">
        <v>15</v>
      </c>
      <c r="I132">
        <v>1</v>
      </c>
      <c r="J132" t="s">
        <v>22</v>
      </c>
      <c r="K132" t="s">
        <v>24</v>
      </c>
      <c r="L132">
        <v>37</v>
      </c>
      <c r="M132" t="s">
        <v>18</v>
      </c>
    </row>
    <row r="133" spans="1:13" x14ac:dyDescent="0.25">
      <c r="A133">
        <v>14192</v>
      </c>
      <c r="B133" t="s">
        <v>34</v>
      </c>
      <c r="C133" t="s">
        <v>34</v>
      </c>
      <c r="D133" s="32">
        <v>90000</v>
      </c>
      <c r="E133">
        <v>4</v>
      </c>
      <c r="F133" t="s">
        <v>27</v>
      </c>
      <c r="G133" t="s">
        <v>28</v>
      </c>
      <c r="H133" t="s">
        <v>15</v>
      </c>
      <c r="I133">
        <v>3</v>
      </c>
      <c r="J133" t="s">
        <v>23</v>
      </c>
      <c r="K133" t="s">
        <v>17</v>
      </c>
      <c r="L133">
        <v>56</v>
      </c>
      <c r="M133" t="s">
        <v>15</v>
      </c>
    </row>
    <row r="134" spans="1:13" x14ac:dyDescent="0.25">
      <c r="A134">
        <v>19477</v>
      </c>
      <c r="B134" t="s">
        <v>34</v>
      </c>
      <c r="C134" t="s">
        <v>34</v>
      </c>
      <c r="D134" s="32">
        <v>40000</v>
      </c>
      <c r="E134">
        <v>0</v>
      </c>
      <c r="F134" t="s">
        <v>13</v>
      </c>
      <c r="G134" t="s">
        <v>21</v>
      </c>
      <c r="H134" t="s">
        <v>15</v>
      </c>
      <c r="I134">
        <v>0</v>
      </c>
      <c r="J134" t="s">
        <v>16</v>
      </c>
      <c r="K134" t="s">
        <v>17</v>
      </c>
      <c r="L134">
        <v>40</v>
      </c>
      <c r="M134" t="s">
        <v>15</v>
      </c>
    </row>
    <row r="135" spans="1:13" x14ac:dyDescent="0.25">
      <c r="A135">
        <v>26796</v>
      </c>
      <c r="B135" t="s">
        <v>35</v>
      </c>
      <c r="C135" t="s">
        <v>34</v>
      </c>
      <c r="D135" s="32">
        <v>40000</v>
      </c>
      <c r="E135">
        <v>2</v>
      </c>
      <c r="F135" t="s">
        <v>13</v>
      </c>
      <c r="G135" t="s">
        <v>28</v>
      </c>
      <c r="H135" t="s">
        <v>15</v>
      </c>
      <c r="I135">
        <v>2</v>
      </c>
      <c r="J135" t="s">
        <v>23</v>
      </c>
      <c r="K135" t="s">
        <v>24</v>
      </c>
      <c r="L135">
        <v>65</v>
      </c>
      <c r="M135" t="s">
        <v>15</v>
      </c>
    </row>
    <row r="136" spans="1:13" x14ac:dyDescent="0.25">
      <c r="A136">
        <v>21094</v>
      </c>
      <c r="B136" t="s">
        <v>35</v>
      </c>
      <c r="C136" t="s">
        <v>33</v>
      </c>
      <c r="D136" s="32">
        <v>30000</v>
      </c>
      <c r="E136">
        <v>2</v>
      </c>
      <c r="F136" t="s">
        <v>19</v>
      </c>
      <c r="G136" t="s">
        <v>20</v>
      </c>
      <c r="H136" t="s">
        <v>15</v>
      </c>
      <c r="I136">
        <v>2</v>
      </c>
      <c r="J136" t="s">
        <v>16</v>
      </c>
      <c r="K136" t="s">
        <v>17</v>
      </c>
      <c r="L136">
        <v>42</v>
      </c>
      <c r="M136" t="s">
        <v>18</v>
      </c>
    </row>
    <row r="137" spans="1:13" x14ac:dyDescent="0.25">
      <c r="A137">
        <v>12234</v>
      </c>
      <c r="B137" t="s">
        <v>34</v>
      </c>
      <c r="C137" t="s">
        <v>34</v>
      </c>
      <c r="D137" s="32">
        <v>10000</v>
      </c>
      <c r="E137">
        <v>2</v>
      </c>
      <c r="F137" t="s">
        <v>19</v>
      </c>
      <c r="G137" t="s">
        <v>25</v>
      </c>
      <c r="H137" t="s">
        <v>15</v>
      </c>
      <c r="I137">
        <v>1</v>
      </c>
      <c r="J137" t="s">
        <v>22</v>
      </c>
      <c r="K137" t="s">
        <v>17</v>
      </c>
      <c r="L137">
        <v>52</v>
      </c>
      <c r="M137" t="s">
        <v>18</v>
      </c>
    </row>
    <row r="138" spans="1:13" x14ac:dyDescent="0.25">
      <c r="A138">
        <v>28683</v>
      </c>
      <c r="B138" t="s">
        <v>35</v>
      </c>
      <c r="C138" t="s">
        <v>33</v>
      </c>
      <c r="D138" s="32">
        <v>10000</v>
      </c>
      <c r="E138">
        <v>1</v>
      </c>
      <c r="F138" t="s">
        <v>27</v>
      </c>
      <c r="G138" t="s">
        <v>25</v>
      </c>
      <c r="H138" t="s">
        <v>18</v>
      </c>
      <c r="I138">
        <v>1</v>
      </c>
      <c r="J138" t="s">
        <v>23</v>
      </c>
      <c r="K138" t="s">
        <v>17</v>
      </c>
      <c r="L138">
        <v>35</v>
      </c>
      <c r="M138" t="s">
        <v>15</v>
      </c>
    </row>
    <row r="139" spans="1:13" x14ac:dyDescent="0.25">
      <c r="A139">
        <v>17994</v>
      </c>
      <c r="B139" t="s">
        <v>35</v>
      </c>
      <c r="C139" t="s">
        <v>34</v>
      </c>
      <c r="D139" s="32">
        <v>20000</v>
      </c>
      <c r="E139">
        <v>2</v>
      </c>
      <c r="F139" t="s">
        <v>27</v>
      </c>
      <c r="G139" t="s">
        <v>25</v>
      </c>
      <c r="H139" t="s">
        <v>15</v>
      </c>
      <c r="I139">
        <v>2</v>
      </c>
      <c r="J139" t="s">
        <v>16</v>
      </c>
      <c r="K139" t="s">
        <v>17</v>
      </c>
      <c r="L139">
        <v>42</v>
      </c>
      <c r="M139" t="s">
        <v>18</v>
      </c>
    </row>
    <row r="140" spans="1:13" x14ac:dyDescent="0.25">
      <c r="A140">
        <v>24273</v>
      </c>
      <c r="B140" t="s">
        <v>34</v>
      </c>
      <c r="C140" t="s">
        <v>33</v>
      </c>
      <c r="D140" s="32">
        <v>20000</v>
      </c>
      <c r="E140">
        <v>2</v>
      </c>
      <c r="F140" t="s">
        <v>29</v>
      </c>
      <c r="G140" t="s">
        <v>20</v>
      </c>
      <c r="H140" t="s">
        <v>15</v>
      </c>
      <c r="I140">
        <v>2</v>
      </c>
      <c r="J140" t="s">
        <v>23</v>
      </c>
      <c r="K140" t="s">
        <v>24</v>
      </c>
      <c r="L140">
        <v>55</v>
      </c>
      <c r="M140" t="s">
        <v>15</v>
      </c>
    </row>
    <row r="141" spans="1:13" x14ac:dyDescent="0.25">
      <c r="A141">
        <v>26547</v>
      </c>
      <c r="B141" t="s">
        <v>35</v>
      </c>
      <c r="C141" t="s">
        <v>33</v>
      </c>
      <c r="D141" s="32">
        <v>30000</v>
      </c>
      <c r="E141">
        <v>2</v>
      </c>
      <c r="F141" t="s">
        <v>19</v>
      </c>
      <c r="G141" t="s">
        <v>20</v>
      </c>
      <c r="H141" t="s">
        <v>18</v>
      </c>
      <c r="I141">
        <v>2</v>
      </c>
      <c r="J141" t="s">
        <v>23</v>
      </c>
      <c r="K141" t="s">
        <v>24</v>
      </c>
      <c r="L141">
        <v>60</v>
      </c>
      <c r="M141" t="s">
        <v>15</v>
      </c>
    </row>
    <row r="142" spans="1:13" x14ac:dyDescent="0.25">
      <c r="A142">
        <v>22500</v>
      </c>
      <c r="B142" t="s">
        <v>35</v>
      </c>
      <c r="C142" t="s">
        <v>34</v>
      </c>
      <c r="D142" s="32">
        <v>40000</v>
      </c>
      <c r="E142">
        <v>0</v>
      </c>
      <c r="F142" t="s">
        <v>13</v>
      </c>
      <c r="G142" t="s">
        <v>21</v>
      </c>
      <c r="H142" t="s">
        <v>18</v>
      </c>
      <c r="I142">
        <v>0</v>
      </c>
      <c r="J142" t="s">
        <v>16</v>
      </c>
      <c r="K142" t="s">
        <v>17</v>
      </c>
      <c r="L142">
        <v>40</v>
      </c>
      <c r="M142" t="s">
        <v>15</v>
      </c>
    </row>
    <row r="143" spans="1:13" x14ac:dyDescent="0.25">
      <c r="A143">
        <v>23993</v>
      </c>
      <c r="B143" t="s">
        <v>35</v>
      </c>
      <c r="C143" t="s">
        <v>33</v>
      </c>
      <c r="D143" s="32">
        <v>10000</v>
      </c>
      <c r="E143">
        <v>0</v>
      </c>
      <c r="F143" t="s">
        <v>19</v>
      </c>
      <c r="G143" t="s">
        <v>25</v>
      </c>
      <c r="H143" t="s">
        <v>18</v>
      </c>
      <c r="I143">
        <v>1</v>
      </c>
      <c r="J143" t="s">
        <v>16</v>
      </c>
      <c r="K143" t="s">
        <v>24</v>
      </c>
      <c r="L143">
        <v>26</v>
      </c>
      <c r="M143" t="s">
        <v>15</v>
      </c>
    </row>
    <row r="144" spans="1:13" x14ac:dyDescent="0.25">
      <c r="A144">
        <v>14832</v>
      </c>
      <c r="B144" t="s">
        <v>34</v>
      </c>
      <c r="C144" t="s">
        <v>34</v>
      </c>
      <c r="D144" s="32">
        <v>40000</v>
      </c>
      <c r="E144">
        <v>1</v>
      </c>
      <c r="F144" t="s">
        <v>13</v>
      </c>
      <c r="G144" t="s">
        <v>14</v>
      </c>
      <c r="H144" t="s">
        <v>15</v>
      </c>
      <c r="I144">
        <v>0</v>
      </c>
      <c r="J144" t="s">
        <v>16</v>
      </c>
      <c r="K144" t="s">
        <v>17</v>
      </c>
      <c r="L144">
        <v>42</v>
      </c>
      <c r="M144" t="s">
        <v>15</v>
      </c>
    </row>
    <row r="145" spans="1:13" x14ac:dyDescent="0.25">
      <c r="A145">
        <v>16614</v>
      </c>
      <c r="B145" t="s">
        <v>34</v>
      </c>
      <c r="C145" t="s">
        <v>33</v>
      </c>
      <c r="D145" s="32">
        <v>80000</v>
      </c>
      <c r="E145">
        <v>0</v>
      </c>
      <c r="F145" t="s">
        <v>13</v>
      </c>
      <c r="G145" t="s">
        <v>21</v>
      </c>
      <c r="H145" t="s">
        <v>15</v>
      </c>
      <c r="I145">
        <v>3</v>
      </c>
      <c r="J145" t="s">
        <v>30</v>
      </c>
      <c r="K145" t="s">
        <v>24</v>
      </c>
      <c r="L145">
        <v>32</v>
      </c>
      <c r="M145" t="s">
        <v>18</v>
      </c>
    </row>
    <row r="146" spans="1:13" x14ac:dyDescent="0.25">
      <c r="A146">
        <v>20877</v>
      </c>
      <c r="B146" t="s">
        <v>35</v>
      </c>
      <c r="C146" t="s">
        <v>34</v>
      </c>
      <c r="D146" s="32">
        <v>30000</v>
      </c>
      <c r="E146">
        <v>1</v>
      </c>
      <c r="F146" t="s">
        <v>13</v>
      </c>
      <c r="G146" t="s">
        <v>20</v>
      </c>
      <c r="H146" t="s">
        <v>15</v>
      </c>
      <c r="I146">
        <v>0</v>
      </c>
      <c r="J146" t="s">
        <v>26</v>
      </c>
      <c r="K146" t="s">
        <v>17</v>
      </c>
      <c r="L146">
        <v>37</v>
      </c>
      <c r="M146" t="s">
        <v>15</v>
      </c>
    </row>
    <row r="147" spans="1:13" x14ac:dyDescent="0.25">
      <c r="A147">
        <v>20729</v>
      </c>
      <c r="B147" t="s">
        <v>34</v>
      </c>
      <c r="C147" t="s">
        <v>33</v>
      </c>
      <c r="D147" s="32">
        <v>40000</v>
      </c>
      <c r="E147">
        <v>2</v>
      </c>
      <c r="F147" t="s">
        <v>19</v>
      </c>
      <c r="G147" t="s">
        <v>20</v>
      </c>
      <c r="H147" t="s">
        <v>18</v>
      </c>
      <c r="I147">
        <v>1</v>
      </c>
      <c r="J147" t="s">
        <v>16</v>
      </c>
      <c r="K147" t="s">
        <v>17</v>
      </c>
      <c r="L147">
        <v>34</v>
      </c>
      <c r="M147" t="s">
        <v>18</v>
      </c>
    </row>
    <row r="148" spans="1:13" x14ac:dyDescent="0.25">
      <c r="A148">
        <v>22464</v>
      </c>
      <c r="B148" t="s">
        <v>34</v>
      </c>
      <c r="C148" t="s">
        <v>34</v>
      </c>
      <c r="D148" s="32">
        <v>40000</v>
      </c>
      <c r="E148">
        <v>0</v>
      </c>
      <c r="F148" t="s">
        <v>31</v>
      </c>
      <c r="G148" t="s">
        <v>20</v>
      </c>
      <c r="H148" t="s">
        <v>15</v>
      </c>
      <c r="I148">
        <v>0</v>
      </c>
      <c r="J148" t="s">
        <v>16</v>
      </c>
      <c r="K148" t="s">
        <v>17</v>
      </c>
      <c r="L148">
        <v>37</v>
      </c>
      <c r="M148" t="s">
        <v>15</v>
      </c>
    </row>
    <row r="149" spans="1:13" x14ac:dyDescent="0.25">
      <c r="A149">
        <v>19475</v>
      </c>
      <c r="B149" t="s">
        <v>34</v>
      </c>
      <c r="C149" t="s">
        <v>33</v>
      </c>
      <c r="D149" s="32">
        <v>40000</v>
      </c>
      <c r="E149">
        <v>0</v>
      </c>
      <c r="F149" t="s">
        <v>13</v>
      </c>
      <c r="G149" t="s">
        <v>21</v>
      </c>
      <c r="H149" t="s">
        <v>18</v>
      </c>
      <c r="I149">
        <v>0</v>
      </c>
      <c r="J149" t="s">
        <v>16</v>
      </c>
      <c r="K149" t="s">
        <v>17</v>
      </c>
      <c r="L149">
        <v>40</v>
      </c>
      <c r="M149" t="s">
        <v>15</v>
      </c>
    </row>
    <row r="150" spans="1:13" x14ac:dyDescent="0.25">
      <c r="A150">
        <v>19675</v>
      </c>
      <c r="B150" t="s">
        <v>34</v>
      </c>
      <c r="C150" t="s">
        <v>34</v>
      </c>
      <c r="D150" s="32">
        <v>20000</v>
      </c>
      <c r="E150">
        <v>4</v>
      </c>
      <c r="F150" t="s">
        <v>27</v>
      </c>
      <c r="G150" t="s">
        <v>14</v>
      </c>
      <c r="H150" t="s">
        <v>15</v>
      </c>
      <c r="I150">
        <v>2</v>
      </c>
      <c r="J150" t="s">
        <v>23</v>
      </c>
      <c r="K150" t="s">
        <v>24</v>
      </c>
      <c r="L150">
        <v>60</v>
      </c>
      <c r="M150" t="s">
        <v>18</v>
      </c>
    </row>
    <row r="151" spans="1:13" x14ac:dyDescent="0.25">
      <c r="A151">
        <v>12728</v>
      </c>
      <c r="B151" t="s">
        <v>35</v>
      </c>
      <c r="C151" t="s">
        <v>34</v>
      </c>
      <c r="D151" s="32">
        <v>30000</v>
      </c>
      <c r="E151">
        <v>0</v>
      </c>
      <c r="F151" t="s">
        <v>19</v>
      </c>
      <c r="G151" t="s">
        <v>20</v>
      </c>
      <c r="H151" t="s">
        <v>18</v>
      </c>
      <c r="I151">
        <v>1</v>
      </c>
      <c r="J151" t="s">
        <v>26</v>
      </c>
      <c r="K151" t="s">
        <v>17</v>
      </c>
      <c r="L151">
        <v>27</v>
      </c>
      <c r="M151" t="s">
        <v>18</v>
      </c>
    </row>
    <row r="152" spans="1:13" x14ac:dyDescent="0.25">
      <c r="A152">
        <v>26154</v>
      </c>
      <c r="B152" t="s">
        <v>34</v>
      </c>
      <c r="C152" t="s">
        <v>34</v>
      </c>
      <c r="D152" s="32">
        <v>60000</v>
      </c>
      <c r="E152">
        <v>1</v>
      </c>
      <c r="F152" t="s">
        <v>19</v>
      </c>
      <c r="G152" t="s">
        <v>14</v>
      </c>
      <c r="H152" t="s">
        <v>15</v>
      </c>
      <c r="I152">
        <v>1</v>
      </c>
      <c r="J152" t="s">
        <v>23</v>
      </c>
      <c r="K152" t="s">
        <v>24</v>
      </c>
      <c r="L152">
        <v>43</v>
      </c>
      <c r="M152" t="s">
        <v>15</v>
      </c>
    </row>
    <row r="153" spans="1:13" x14ac:dyDescent="0.25">
      <c r="A153">
        <v>29117</v>
      </c>
      <c r="B153" t="s">
        <v>35</v>
      </c>
      <c r="C153" t="s">
        <v>34</v>
      </c>
      <c r="D153" s="32">
        <v>100000</v>
      </c>
      <c r="E153">
        <v>1</v>
      </c>
      <c r="F153" t="s">
        <v>13</v>
      </c>
      <c r="G153" t="s">
        <v>28</v>
      </c>
      <c r="H153" t="s">
        <v>18</v>
      </c>
      <c r="I153">
        <v>3</v>
      </c>
      <c r="J153" t="s">
        <v>16</v>
      </c>
      <c r="K153" t="s">
        <v>24</v>
      </c>
      <c r="L153">
        <v>48</v>
      </c>
      <c r="M153" t="s">
        <v>18</v>
      </c>
    </row>
    <row r="154" spans="1:13" x14ac:dyDescent="0.25">
      <c r="A154">
        <v>17845</v>
      </c>
      <c r="B154" t="s">
        <v>35</v>
      </c>
      <c r="C154" t="s">
        <v>33</v>
      </c>
      <c r="D154" s="32">
        <v>20000</v>
      </c>
      <c r="E154">
        <v>0</v>
      </c>
      <c r="F154" t="s">
        <v>29</v>
      </c>
      <c r="G154" t="s">
        <v>25</v>
      </c>
      <c r="H154" t="s">
        <v>18</v>
      </c>
      <c r="I154">
        <v>2</v>
      </c>
      <c r="J154" t="s">
        <v>26</v>
      </c>
      <c r="K154" t="s">
        <v>17</v>
      </c>
      <c r="L154">
        <v>32</v>
      </c>
      <c r="M154" t="s">
        <v>18</v>
      </c>
    </row>
    <row r="155" spans="1:13" x14ac:dyDescent="0.25">
      <c r="A155">
        <v>25058</v>
      </c>
      <c r="B155" t="s">
        <v>34</v>
      </c>
      <c r="C155" t="s">
        <v>34</v>
      </c>
      <c r="D155" s="32">
        <v>100000</v>
      </c>
      <c r="E155">
        <v>1</v>
      </c>
      <c r="F155" t="s">
        <v>13</v>
      </c>
      <c r="G155" t="s">
        <v>28</v>
      </c>
      <c r="H155" t="s">
        <v>15</v>
      </c>
      <c r="I155">
        <v>3</v>
      </c>
      <c r="J155" t="s">
        <v>22</v>
      </c>
      <c r="K155" t="s">
        <v>24</v>
      </c>
      <c r="L155">
        <v>47</v>
      </c>
      <c r="M155" t="s">
        <v>18</v>
      </c>
    </row>
    <row r="156" spans="1:13" x14ac:dyDescent="0.25">
      <c r="A156">
        <v>23426</v>
      </c>
      <c r="B156" t="s">
        <v>35</v>
      </c>
      <c r="C156" t="s">
        <v>34</v>
      </c>
      <c r="D156" s="32">
        <v>80000</v>
      </c>
      <c r="E156">
        <v>5</v>
      </c>
      <c r="F156" t="s">
        <v>31</v>
      </c>
      <c r="G156" t="s">
        <v>28</v>
      </c>
      <c r="H156" t="s">
        <v>15</v>
      </c>
      <c r="I156">
        <v>3</v>
      </c>
      <c r="J156" t="s">
        <v>16</v>
      </c>
      <c r="K156" t="s">
        <v>24</v>
      </c>
      <c r="L156">
        <v>40</v>
      </c>
      <c r="M156" t="s">
        <v>18</v>
      </c>
    </row>
    <row r="157" spans="1:13" x14ac:dyDescent="0.25">
      <c r="A157">
        <v>14798</v>
      </c>
      <c r="B157" t="s">
        <v>35</v>
      </c>
      <c r="C157" t="s">
        <v>33</v>
      </c>
      <c r="D157" s="32">
        <v>10000</v>
      </c>
      <c r="E157">
        <v>4</v>
      </c>
      <c r="F157" t="s">
        <v>29</v>
      </c>
      <c r="G157" t="s">
        <v>25</v>
      </c>
      <c r="H157" t="s">
        <v>15</v>
      </c>
      <c r="I157">
        <v>2</v>
      </c>
      <c r="J157" t="s">
        <v>16</v>
      </c>
      <c r="K157" t="s">
        <v>17</v>
      </c>
      <c r="L157">
        <v>41</v>
      </c>
      <c r="M157" t="s">
        <v>15</v>
      </c>
    </row>
    <row r="158" spans="1:13" x14ac:dyDescent="0.25">
      <c r="A158">
        <v>12664</v>
      </c>
      <c r="B158" t="s">
        <v>34</v>
      </c>
      <c r="C158" t="s">
        <v>33</v>
      </c>
      <c r="D158" s="32">
        <v>130000</v>
      </c>
      <c r="E158">
        <v>5</v>
      </c>
      <c r="F158" t="s">
        <v>19</v>
      </c>
      <c r="G158" t="s">
        <v>21</v>
      </c>
      <c r="H158" t="s">
        <v>15</v>
      </c>
      <c r="I158">
        <v>4</v>
      </c>
      <c r="J158" t="s">
        <v>16</v>
      </c>
      <c r="K158" t="s">
        <v>17</v>
      </c>
      <c r="L158">
        <v>59</v>
      </c>
      <c r="M158" t="s">
        <v>18</v>
      </c>
    </row>
    <row r="159" spans="1:13" x14ac:dyDescent="0.25">
      <c r="A159">
        <v>23979</v>
      </c>
      <c r="B159" t="s">
        <v>35</v>
      </c>
      <c r="C159" t="s">
        <v>34</v>
      </c>
      <c r="D159" s="32">
        <v>10000</v>
      </c>
      <c r="E159">
        <v>2</v>
      </c>
      <c r="F159" t="s">
        <v>19</v>
      </c>
      <c r="G159" t="s">
        <v>25</v>
      </c>
      <c r="H159" t="s">
        <v>18</v>
      </c>
      <c r="I159">
        <v>0</v>
      </c>
      <c r="J159" t="s">
        <v>16</v>
      </c>
      <c r="K159" t="s">
        <v>17</v>
      </c>
      <c r="L159">
        <v>50</v>
      </c>
      <c r="M159" t="s">
        <v>18</v>
      </c>
    </row>
    <row r="160" spans="1:13" x14ac:dyDescent="0.25">
      <c r="A160">
        <v>25605</v>
      </c>
      <c r="B160" t="s">
        <v>35</v>
      </c>
      <c r="C160" t="s">
        <v>33</v>
      </c>
      <c r="D160" s="32">
        <v>20000</v>
      </c>
      <c r="E160">
        <v>2</v>
      </c>
      <c r="F160" t="s">
        <v>19</v>
      </c>
      <c r="G160" t="s">
        <v>25</v>
      </c>
      <c r="H160" t="s">
        <v>18</v>
      </c>
      <c r="I160">
        <v>1</v>
      </c>
      <c r="J160" t="s">
        <v>16</v>
      </c>
      <c r="K160" t="s">
        <v>17</v>
      </c>
      <c r="L160">
        <v>54</v>
      </c>
      <c r="M160" t="s">
        <v>15</v>
      </c>
    </row>
    <row r="161" spans="1:13" x14ac:dyDescent="0.25">
      <c r="A161">
        <v>20797</v>
      </c>
      <c r="B161" t="s">
        <v>34</v>
      </c>
      <c r="C161" t="s">
        <v>33</v>
      </c>
      <c r="D161" s="32">
        <v>10000</v>
      </c>
      <c r="E161">
        <v>1</v>
      </c>
      <c r="F161" t="s">
        <v>13</v>
      </c>
      <c r="G161" t="s">
        <v>25</v>
      </c>
      <c r="H161" t="s">
        <v>15</v>
      </c>
      <c r="I161">
        <v>0</v>
      </c>
      <c r="J161" t="s">
        <v>16</v>
      </c>
      <c r="K161" t="s">
        <v>17</v>
      </c>
      <c r="L161">
        <v>48</v>
      </c>
      <c r="M161" t="s">
        <v>18</v>
      </c>
    </row>
    <row r="162" spans="1:13" x14ac:dyDescent="0.25">
      <c r="A162">
        <v>21980</v>
      </c>
      <c r="B162" t="s">
        <v>35</v>
      </c>
      <c r="C162" t="s">
        <v>33</v>
      </c>
      <c r="D162" s="32">
        <v>60000</v>
      </c>
      <c r="E162">
        <v>1</v>
      </c>
      <c r="F162" t="s">
        <v>13</v>
      </c>
      <c r="G162" t="s">
        <v>21</v>
      </c>
      <c r="H162" t="s">
        <v>15</v>
      </c>
      <c r="I162">
        <v>1</v>
      </c>
      <c r="J162" t="s">
        <v>23</v>
      </c>
      <c r="K162" t="s">
        <v>24</v>
      </c>
      <c r="L162">
        <v>44</v>
      </c>
      <c r="M162" t="s">
        <v>15</v>
      </c>
    </row>
    <row r="163" spans="1:13" x14ac:dyDescent="0.25">
      <c r="A163">
        <v>25460</v>
      </c>
      <c r="B163" t="s">
        <v>34</v>
      </c>
      <c r="C163" t="s">
        <v>33</v>
      </c>
      <c r="D163" s="32">
        <v>20000</v>
      </c>
      <c r="E163">
        <v>2</v>
      </c>
      <c r="F163" t="s">
        <v>27</v>
      </c>
      <c r="G163" t="s">
        <v>25</v>
      </c>
      <c r="H163" t="s">
        <v>15</v>
      </c>
      <c r="I163">
        <v>0</v>
      </c>
      <c r="J163" t="s">
        <v>16</v>
      </c>
      <c r="K163" t="s">
        <v>17</v>
      </c>
      <c r="L163">
        <v>40</v>
      </c>
      <c r="M163" t="s">
        <v>15</v>
      </c>
    </row>
    <row r="164" spans="1:13" x14ac:dyDescent="0.25">
      <c r="A164">
        <v>29181</v>
      </c>
      <c r="B164" t="s">
        <v>35</v>
      </c>
      <c r="C164" t="s">
        <v>33</v>
      </c>
      <c r="D164" s="32">
        <v>60000</v>
      </c>
      <c r="E164">
        <v>2</v>
      </c>
      <c r="F164" t="s">
        <v>13</v>
      </c>
      <c r="G164" t="s">
        <v>21</v>
      </c>
      <c r="H164" t="s">
        <v>18</v>
      </c>
      <c r="I164">
        <v>1</v>
      </c>
      <c r="J164" t="s">
        <v>16</v>
      </c>
      <c r="K164" t="s">
        <v>24</v>
      </c>
      <c r="L164">
        <v>38</v>
      </c>
      <c r="M164" t="s">
        <v>15</v>
      </c>
    </row>
    <row r="165" spans="1:13" x14ac:dyDescent="0.25">
      <c r="A165">
        <v>24279</v>
      </c>
      <c r="B165" t="s">
        <v>35</v>
      </c>
      <c r="C165" t="s">
        <v>34</v>
      </c>
      <c r="D165" s="32">
        <v>40000</v>
      </c>
      <c r="E165">
        <v>2</v>
      </c>
      <c r="F165" t="s">
        <v>19</v>
      </c>
      <c r="G165" t="s">
        <v>14</v>
      </c>
      <c r="H165" t="s">
        <v>18</v>
      </c>
      <c r="I165">
        <v>2</v>
      </c>
      <c r="J165" t="s">
        <v>26</v>
      </c>
      <c r="K165" t="s">
        <v>24</v>
      </c>
      <c r="L165">
        <v>52</v>
      </c>
      <c r="M165" t="s">
        <v>18</v>
      </c>
    </row>
    <row r="166" spans="1:13" x14ac:dyDescent="0.25">
      <c r="A166">
        <v>22402</v>
      </c>
      <c r="B166" t="s">
        <v>34</v>
      </c>
      <c r="C166" t="s">
        <v>34</v>
      </c>
      <c r="D166" s="32">
        <v>10000</v>
      </c>
      <c r="E166">
        <v>0</v>
      </c>
      <c r="F166" t="s">
        <v>19</v>
      </c>
      <c r="G166" t="s">
        <v>25</v>
      </c>
      <c r="H166" t="s">
        <v>15</v>
      </c>
      <c r="I166">
        <v>1</v>
      </c>
      <c r="J166" t="s">
        <v>22</v>
      </c>
      <c r="K166" t="s">
        <v>24</v>
      </c>
      <c r="L166">
        <v>25</v>
      </c>
      <c r="M166" t="s">
        <v>15</v>
      </c>
    </row>
    <row r="167" spans="1:13" x14ac:dyDescent="0.25">
      <c r="A167">
        <v>15465</v>
      </c>
      <c r="B167" t="s">
        <v>34</v>
      </c>
      <c r="C167" t="s">
        <v>33</v>
      </c>
      <c r="D167" s="32">
        <v>10000</v>
      </c>
      <c r="E167">
        <v>0</v>
      </c>
      <c r="F167" t="s">
        <v>19</v>
      </c>
      <c r="G167" t="s">
        <v>25</v>
      </c>
      <c r="H167" t="s">
        <v>18</v>
      </c>
      <c r="I167">
        <v>1</v>
      </c>
      <c r="J167" t="s">
        <v>16</v>
      </c>
      <c r="K167" t="s">
        <v>24</v>
      </c>
      <c r="L167">
        <v>25</v>
      </c>
      <c r="M167" t="s">
        <v>18</v>
      </c>
    </row>
    <row r="168" spans="1:13" x14ac:dyDescent="0.25">
      <c r="A168">
        <v>26757</v>
      </c>
      <c r="B168" t="s">
        <v>35</v>
      </c>
      <c r="C168" t="s">
        <v>34</v>
      </c>
      <c r="D168" s="32">
        <v>90000</v>
      </c>
      <c r="E168">
        <v>1</v>
      </c>
      <c r="F168" t="s">
        <v>13</v>
      </c>
      <c r="G168" t="s">
        <v>21</v>
      </c>
      <c r="H168" t="s">
        <v>15</v>
      </c>
      <c r="I168">
        <v>1</v>
      </c>
      <c r="J168" t="s">
        <v>22</v>
      </c>
      <c r="K168" t="s">
        <v>24</v>
      </c>
      <c r="L168">
        <v>47</v>
      </c>
      <c r="M168" t="s">
        <v>15</v>
      </c>
    </row>
    <row r="169" spans="1:13" x14ac:dyDescent="0.25">
      <c r="A169">
        <v>14233</v>
      </c>
      <c r="B169" t="s">
        <v>35</v>
      </c>
      <c r="C169" t="s">
        <v>34</v>
      </c>
      <c r="D169" s="32">
        <v>100000</v>
      </c>
      <c r="E169">
        <v>0</v>
      </c>
      <c r="F169" t="s">
        <v>27</v>
      </c>
      <c r="G169" t="s">
        <v>28</v>
      </c>
      <c r="H169" t="s">
        <v>15</v>
      </c>
      <c r="I169">
        <v>3</v>
      </c>
      <c r="J169" t="s">
        <v>30</v>
      </c>
      <c r="K169" t="s">
        <v>24</v>
      </c>
      <c r="L169">
        <v>35</v>
      </c>
      <c r="M169" t="s">
        <v>18</v>
      </c>
    </row>
    <row r="170" spans="1:13" x14ac:dyDescent="0.25">
      <c r="A170">
        <v>14058</v>
      </c>
      <c r="B170" t="s">
        <v>35</v>
      </c>
      <c r="C170" t="s">
        <v>34</v>
      </c>
      <c r="D170" s="32">
        <v>70000</v>
      </c>
      <c r="E170">
        <v>0</v>
      </c>
      <c r="F170" t="s">
        <v>13</v>
      </c>
      <c r="G170" t="s">
        <v>21</v>
      </c>
      <c r="H170" t="s">
        <v>18</v>
      </c>
      <c r="I170">
        <v>1</v>
      </c>
      <c r="J170" t="s">
        <v>23</v>
      </c>
      <c r="K170" t="s">
        <v>24</v>
      </c>
      <c r="L170">
        <v>41</v>
      </c>
      <c r="M170" t="s">
        <v>15</v>
      </c>
    </row>
    <row r="171" spans="1:13" x14ac:dyDescent="0.25">
      <c r="A171">
        <v>12273</v>
      </c>
      <c r="B171" t="s">
        <v>34</v>
      </c>
      <c r="C171" t="s">
        <v>34</v>
      </c>
      <c r="D171" s="32">
        <v>30000</v>
      </c>
      <c r="E171">
        <v>1</v>
      </c>
      <c r="F171" t="s">
        <v>13</v>
      </c>
      <c r="G171" t="s">
        <v>20</v>
      </c>
      <c r="H171" t="s">
        <v>15</v>
      </c>
      <c r="I171">
        <v>0</v>
      </c>
      <c r="J171" t="s">
        <v>16</v>
      </c>
      <c r="K171" t="s">
        <v>17</v>
      </c>
      <c r="L171">
        <v>47</v>
      </c>
      <c r="M171" t="s">
        <v>18</v>
      </c>
    </row>
    <row r="172" spans="1:13" x14ac:dyDescent="0.25">
      <c r="A172">
        <v>17203</v>
      </c>
      <c r="B172" t="s">
        <v>34</v>
      </c>
      <c r="C172" t="s">
        <v>33</v>
      </c>
      <c r="D172" s="32">
        <v>130000</v>
      </c>
      <c r="E172">
        <v>4</v>
      </c>
      <c r="F172" t="s">
        <v>19</v>
      </c>
      <c r="G172" t="s">
        <v>21</v>
      </c>
      <c r="H172" t="s">
        <v>15</v>
      </c>
      <c r="I172">
        <v>4</v>
      </c>
      <c r="J172" t="s">
        <v>23</v>
      </c>
      <c r="K172" t="s">
        <v>17</v>
      </c>
      <c r="L172">
        <v>61</v>
      </c>
      <c r="M172" t="s">
        <v>15</v>
      </c>
    </row>
    <row r="173" spans="1:13" x14ac:dyDescent="0.25">
      <c r="A173">
        <v>18144</v>
      </c>
      <c r="B173" t="s">
        <v>34</v>
      </c>
      <c r="C173" t="s">
        <v>33</v>
      </c>
      <c r="D173" s="32">
        <v>80000</v>
      </c>
      <c r="E173">
        <v>5</v>
      </c>
      <c r="F173" t="s">
        <v>13</v>
      </c>
      <c r="G173" t="s">
        <v>28</v>
      </c>
      <c r="H173" t="s">
        <v>15</v>
      </c>
      <c r="I173">
        <v>2</v>
      </c>
      <c r="J173" t="s">
        <v>22</v>
      </c>
      <c r="K173" t="s">
        <v>17</v>
      </c>
      <c r="L173">
        <v>61</v>
      </c>
      <c r="M173" t="s">
        <v>18</v>
      </c>
    </row>
    <row r="174" spans="1:13" x14ac:dyDescent="0.25">
      <c r="A174">
        <v>23963</v>
      </c>
      <c r="B174" t="s">
        <v>34</v>
      </c>
      <c r="C174" t="s">
        <v>34</v>
      </c>
      <c r="D174" s="32">
        <v>10000</v>
      </c>
      <c r="E174">
        <v>0</v>
      </c>
      <c r="F174" t="s">
        <v>29</v>
      </c>
      <c r="G174" t="s">
        <v>25</v>
      </c>
      <c r="H174" t="s">
        <v>18</v>
      </c>
      <c r="I174">
        <v>2</v>
      </c>
      <c r="J174" t="s">
        <v>16</v>
      </c>
      <c r="K174" t="s">
        <v>17</v>
      </c>
      <c r="L174">
        <v>33</v>
      </c>
      <c r="M174" t="s">
        <v>18</v>
      </c>
    </row>
    <row r="175" spans="1:13" x14ac:dyDescent="0.25">
      <c r="A175">
        <v>17907</v>
      </c>
      <c r="B175" t="s">
        <v>34</v>
      </c>
      <c r="C175" t="s">
        <v>33</v>
      </c>
      <c r="D175" s="32">
        <v>10000</v>
      </c>
      <c r="E175">
        <v>0</v>
      </c>
      <c r="F175" t="s">
        <v>19</v>
      </c>
      <c r="G175" t="s">
        <v>25</v>
      </c>
      <c r="H175" t="s">
        <v>15</v>
      </c>
      <c r="I175">
        <v>1</v>
      </c>
      <c r="J175" t="s">
        <v>22</v>
      </c>
      <c r="K175" t="s">
        <v>24</v>
      </c>
      <c r="L175">
        <v>27</v>
      </c>
      <c r="M175" t="s">
        <v>18</v>
      </c>
    </row>
    <row r="176" spans="1:13" x14ac:dyDescent="0.25">
      <c r="A176">
        <v>19442</v>
      </c>
      <c r="B176" t="s">
        <v>35</v>
      </c>
      <c r="C176" t="s">
        <v>34</v>
      </c>
      <c r="D176" s="32">
        <v>50000</v>
      </c>
      <c r="E176">
        <v>0</v>
      </c>
      <c r="F176" t="s">
        <v>31</v>
      </c>
      <c r="G176" t="s">
        <v>14</v>
      </c>
      <c r="H176" t="s">
        <v>15</v>
      </c>
      <c r="I176">
        <v>0</v>
      </c>
      <c r="J176" t="s">
        <v>16</v>
      </c>
      <c r="K176" t="s">
        <v>17</v>
      </c>
      <c r="L176">
        <v>37</v>
      </c>
      <c r="M176" t="s">
        <v>15</v>
      </c>
    </row>
    <row r="177" spans="1:13" x14ac:dyDescent="0.25">
      <c r="A177">
        <v>17504</v>
      </c>
      <c r="B177" t="s">
        <v>35</v>
      </c>
      <c r="C177" t="s">
        <v>33</v>
      </c>
      <c r="D177" s="32">
        <v>80000</v>
      </c>
      <c r="E177">
        <v>2</v>
      </c>
      <c r="F177" t="s">
        <v>19</v>
      </c>
      <c r="G177" t="s">
        <v>14</v>
      </c>
      <c r="H177" t="s">
        <v>15</v>
      </c>
      <c r="I177">
        <v>2</v>
      </c>
      <c r="J177" t="s">
        <v>23</v>
      </c>
      <c r="K177" t="s">
        <v>24</v>
      </c>
      <c r="L177">
        <v>52</v>
      </c>
      <c r="M177" t="s">
        <v>15</v>
      </c>
    </row>
    <row r="178" spans="1:13" x14ac:dyDescent="0.25">
      <c r="A178">
        <v>12253</v>
      </c>
      <c r="B178" t="s">
        <v>35</v>
      </c>
      <c r="C178" t="s">
        <v>33</v>
      </c>
      <c r="D178" s="32">
        <v>20000</v>
      </c>
      <c r="E178">
        <v>0</v>
      </c>
      <c r="F178" t="s">
        <v>19</v>
      </c>
      <c r="G178" t="s">
        <v>25</v>
      </c>
      <c r="H178" t="s">
        <v>15</v>
      </c>
      <c r="I178">
        <v>0</v>
      </c>
      <c r="J178" t="s">
        <v>16</v>
      </c>
      <c r="K178" t="s">
        <v>24</v>
      </c>
      <c r="L178">
        <v>29</v>
      </c>
      <c r="M178" t="s">
        <v>15</v>
      </c>
    </row>
    <row r="179" spans="1:13" x14ac:dyDescent="0.25">
      <c r="A179">
        <v>27304</v>
      </c>
      <c r="B179" t="s">
        <v>35</v>
      </c>
      <c r="C179" t="s">
        <v>33</v>
      </c>
      <c r="D179" s="32">
        <v>110000</v>
      </c>
      <c r="E179">
        <v>2</v>
      </c>
      <c r="F179" t="s">
        <v>19</v>
      </c>
      <c r="G179" t="s">
        <v>21</v>
      </c>
      <c r="H179" t="s">
        <v>18</v>
      </c>
      <c r="I179">
        <v>3</v>
      </c>
      <c r="J179" t="s">
        <v>23</v>
      </c>
      <c r="K179" t="s">
        <v>17</v>
      </c>
      <c r="L179">
        <v>48</v>
      </c>
      <c r="M179" t="s">
        <v>18</v>
      </c>
    </row>
    <row r="180" spans="1:13" x14ac:dyDescent="0.25">
      <c r="A180">
        <v>14191</v>
      </c>
      <c r="B180" t="s">
        <v>34</v>
      </c>
      <c r="C180" t="s">
        <v>34</v>
      </c>
      <c r="D180" s="32">
        <v>160000</v>
      </c>
      <c r="E180">
        <v>4</v>
      </c>
      <c r="F180" t="s">
        <v>19</v>
      </c>
      <c r="G180" t="s">
        <v>21</v>
      </c>
      <c r="H180" t="s">
        <v>18</v>
      </c>
      <c r="I180">
        <v>2</v>
      </c>
      <c r="J180" t="s">
        <v>30</v>
      </c>
      <c r="K180" t="s">
        <v>17</v>
      </c>
      <c r="L180">
        <v>55</v>
      </c>
      <c r="M180" t="s">
        <v>15</v>
      </c>
    </row>
    <row r="181" spans="1:13" x14ac:dyDescent="0.25">
      <c r="A181">
        <v>12212</v>
      </c>
      <c r="B181" t="s">
        <v>34</v>
      </c>
      <c r="C181" t="s">
        <v>33</v>
      </c>
      <c r="D181" s="32">
        <v>10000</v>
      </c>
      <c r="E181">
        <v>0</v>
      </c>
      <c r="F181" t="s">
        <v>31</v>
      </c>
      <c r="G181" t="s">
        <v>25</v>
      </c>
      <c r="H181" t="s">
        <v>15</v>
      </c>
      <c r="I181">
        <v>0</v>
      </c>
      <c r="J181" t="s">
        <v>16</v>
      </c>
      <c r="K181" t="s">
        <v>17</v>
      </c>
      <c r="L181">
        <v>37</v>
      </c>
      <c r="M181" t="s">
        <v>15</v>
      </c>
    </row>
    <row r="182" spans="1:13" x14ac:dyDescent="0.25">
      <c r="A182">
        <v>25529</v>
      </c>
      <c r="B182" t="s">
        <v>35</v>
      </c>
      <c r="C182" t="s">
        <v>34</v>
      </c>
      <c r="D182" s="32">
        <v>10000</v>
      </c>
      <c r="E182">
        <v>1</v>
      </c>
      <c r="F182" t="s">
        <v>31</v>
      </c>
      <c r="G182" t="s">
        <v>25</v>
      </c>
      <c r="H182" t="s">
        <v>15</v>
      </c>
      <c r="I182">
        <v>0</v>
      </c>
      <c r="J182" t="s">
        <v>16</v>
      </c>
      <c r="K182" t="s">
        <v>17</v>
      </c>
      <c r="L182">
        <v>44</v>
      </c>
      <c r="M182" t="s">
        <v>18</v>
      </c>
    </row>
    <row r="183" spans="1:13" x14ac:dyDescent="0.25">
      <c r="A183">
        <v>22170</v>
      </c>
      <c r="B183" t="s">
        <v>34</v>
      </c>
      <c r="C183" t="s">
        <v>33</v>
      </c>
      <c r="D183" s="32">
        <v>30000</v>
      </c>
      <c r="E183">
        <v>3</v>
      </c>
      <c r="F183" t="s">
        <v>19</v>
      </c>
      <c r="G183" t="s">
        <v>20</v>
      </c>
      <c r="H183" t="s">
        <v>18</v>
      </c>
      <c r="I183">
        <v>2</v>
      </c>
      <c r="J183" t="s">
        <v>26</v>
      </c>
      <c r="K183" t="s">
        <v>24</v>
      </c>
      <c r="L183">
        <v>55</v>
      </c>
      <c r="M183" t="s">
        <v>15</v>
      </c>
    </row>
    <row r="184" spans="1:13" x14ac:dyDescent="0.25">
      <c r="A184">
        <v>19445</v>
      </c>
      <c r="B184" t="s">
        <v>34</v>
      </c>
      <c r="C184" t="s">
        <v>33</v>
      </c>
      <c r="D184" s="32">
        <v>10000</v>
      </c>
      <c r="E184">
        <v>2</v>
      </c>
      <c r="F184" t="s">
        <v>27</v>
      </c>
      <c r="G184" t="s">
        <v>25</v>
      </c>
      <c r="H184" t="s">
        <v>18</v>
      </c>
      <c r="I184">
        <v>1</v>
      </c>
      <c r="J184" t="s">
        <v>16</v>
      </c>
      <c r="K184" t="s">
        <v>17</v>
      </c>
      <c r="L184">
        <v>38</v>
      </c>
      <c r="M184" t="s">
        <v>18</v>
      </c>
    </row>
    <row r="185" spans="1:13" x14ac:dyDescent="0.25">
      <c r="A185">
        <v>15265</v>
      </c>
      <c r="B185" t="s">
        <v>35</v>
      </c>
      <c r="C185" t="s">
        <v>34</v>
      </c>
      <c r="D185" s="32">
        <v>40000</v>
      </c>
      <c r="E185">
        <v>2</v>
      </c>
      <c r="F185" t="s">
        <v>13</v>
      </c>
      <c r="G185" t="s">
        <v>28</v>
      </c>
      <c r="H185" t="s">
        <v>15</v>
      </c>
      <c r="I185">
        <v>2</v>
      </c>
      <c r="J185" t="s">
        <v>23</v>
      </c>
      <c r="K185" t="s">
        <v>24</v>
      </c>
      <c r="L185">
        <v>66</v>
      </c>
      <c r="M185" t="s">
        <v>15</v>
      </c>
    </row>
    <row r="186" spans="1:13" x14ac:dyDescent="0.25">
      <c r="A186">
        <v>28918</v>
      </c>
      <c r="B186" t="s">
        <v>34</v>
      </c>
      <c r="C186" t="s">
        <v>33</v>
      </c>
      <c r="D186" s="32">
        <v>130000</v>
      </c>
      <c r="E186">
        <v>4</v>
      </c>
      <c r="F186" t="s">
        <v>27</v>
      </c>
      <c r="G186" t="s">
        <v>28</v>
      </c>
      <c r="H186" t="s">
        <v>18</v>
      </c>
      <c r="I186">
        <v>4</v>
      </c>
      <c r="J186" t="s">
        <v>30</v>
      </c>
      <c r="K186" t="s">
        <v>17</v>
      </c>
      <c r="L186">
        <v>58</v>
      </c>
      <c r="M186" t="s">
        <v>18</v>
      </c>
    </row>
    <row r="187" spans="1:13" x14ac:dyDescent="0.25">
      <c r="A187">
        <v>15799</v>
      </c>
      <c r="B187" t="s">
        <v>34</v>
      </c>
      <c r="C187" t="s">
        <v>33</v>
      </c>
      <c r="D187" s="32">
        <v>90000</v>
      </c>
      <c r="E187">
        <v>1</v>
      </c>
      <c r="F187" t="s">
        <v>13</v>
      </c>
      <c r="G187" t="s">
        <v>21</v>
      </c>
      <c r="H187" t="s">
        <v>15</v>
      </c>
      <c r="I187">
        <v>1</v>
      </c>
      <c r="J187" t="s">
        <v>22</v>
      </c>
      <c r="K187" t="s">
        <v>24</v>
      </c>
      <c r="L187">
        <v>47</v>
      </c>
      <c r="M187" t="s">
        <v>15</v>
      </c>
    </row>
    <row r="188" spans="1:13" x14ac:dyDescent="0.25">
      <c r="A188">
        <v>11047</v>
      </c>
      <c r="B188" t="s">
        <v>34</v>
      </c>
      <c r="C188" t="s">
        <v>33</v>
      </c>
      <c r="D188" s="32">
        <v>30000</v>
      </c>
      <c r="E188">
        <v>3</v>
      </c>
      <c r="F188" t="s">
        <v>27</v>
      </c>
      <c r="G188" t="s">
        <v>14</v>
      </c>
      <c r="H188" t="s">
        <v>18</v>
      </c>
      <c r="I188">
        <v>2</v>
      </c>
      <c r="J188" t="s">
        <v>26</v>
      </c>
      <c r="K188" t="s">
        <v>24</v>
      </c>
      <c r="L188">
        <v>56</v>
      </c>
      <c r="M188" t="s">
        <v>15</v>
      </c>
    </row>
    <row r="189" spans="1:13" x14ac:dyDescent="0.25">
      <c r="A189">
        <v>18151</v>
      </c>
      <c r="B189" t="s">
        <v>35</v>
      </c>
      <c r="C189" t="s">
        <v>34</v>
      </c>
      <c r="D189" s="32">
        <v>80000</v>
      </c>
      <c r="E189">
        <v>5</v>
      </c>
      <c r="F189" t="s">
        <v>19</v>
      </c>
      <c r="G189" t="s">
        <v>21</v>
      </c>
      <c r="H189" t="s">
        <v>18</v>
      </c>
      <c r="I189">
        <v>2</v>
      </c>
      <c r="J189" t="s">
        <v>30</v>
      </c>
      <c r="K189" t="s">
        <v>17</v>
      </c>
      <c r="L189">
        <v>59</v>
      </c>
      <c r="M189" t="s">
        <v>18</v>
      </c>
    </row>
    <row r="190" spans="1:13" x14ac:dyDescent="0.25">
      <c r="A190">
        <v>20606</v>
      </c>
      <c r="B190" t="s">
        <v>34</v>
      </c>
      <c r="C190" t="s">
        <v>33</v>
      </c>
      <c r="D190" s="32">
        <v>70000</v>
      </c>
      <c r="E190">
        <v>0</v>
      </c>
      <c r="F190" t="s">
        <v>13</v>
      </c>
      <c r="G190" t="s">
        <v>21</v>
      </c>
      <c r="H190" t="s">
        <v>15</v>
      </c>
      <c r="I190">
        <v>4</v>
      </c>
      <c r="J190" t="s">
        <v>30</v>
      </c>
      <c r="K190" t="s">
        <v>24</v>
      </c>
      <c r="L190">
        <v>32</v>
      </c>
      <c r="M190" t="s">
        <v>15</v>
      </c>
    </row>
    <row r="191" spans="1:13" x14ac:dyDescent="0.25">
      <c r="A191">
        <v>19482</v>
      </c>
      <c r="B191" t="s">
        <v>34</v>
      </c>
      <c r="C191" t="s">
        <v>34</v>
      </c>
      <c r="D191" s="32">
        <v>30000</v>
      </c>
      <c r="E191">
        <v>1</v>
      </c>
      <c r="F191" t="s">
        <v>19</v>
      </c>
      <c r="G191" t="s">
        <v>20</v>
      </c>
      <c r="H191" t="s">
        <v>15</v>
      </c>
      <c r="I191">
        <v>1</v>
      </c>
      <c r="J191" t="s">
        <v>16</v>
      </c>
      <c r="K191" t="s">
        <v>17</v>
      </c>
      <c r="L191">
        <v>44</v>
      </c>
      <c r="M191" t="s">
        <v>15</v>
      </c>
    </row>
    <row r="192" spans="1:13" x14ac:dyDescent="0.25">
      <c r="A192">
        <v>16489</v>
      </c>
      <c r="B192" t="s">
        <v>34</v>
      </c>
      <c r="C192" t="s">
        <v>34</v>
      </c>
      <c r="D192" s="32">
        <v>30000</v>
      </c>
      <c r="E192">
        <v>3</v>
      </c>
      <c r="F192" t="s">
        <v>27</v>
      </c>
      <c r="G192" t="s">
        <v>14</v>
      </c>
      <c r="H192" t="s">
        <v>15</v>
      </c>
      <c r="I192">
        <v>2</v>
      </c>
      <c r="J192" t="s">
        <v>23</v>
      </c>
      <c r="K192" t="s">
        <v>24</v>
      </c>
      <c r="L192">
        <v>55</v>
      </c>
      <c r="M192" t="s">
        <v>18</v>
      </c>
    </row>
    <row r="193" spans="1:13" x14ac:dyDescent="0.25">
      <c r="A193">
        <v>26944</v>
      </c>
      <c r="B193" t="s">
        <v>35</v>
      </c>
      <c r="C193" t="s">
        <v>34</v>
      </c>
      <c r="D193" s="32">
        <v>90000</v>
      </c>
      <c r="E193">
        <v>2</v>
      </c>
      <c r="F193" t="s">
        <v>27</v>
      </c>
      <c r="G193" t="s">
        <v>25</v>
      </c>
      <c r="H193" t="s">
        <v>15</v>
      </c>
      <c r="I193">
        <v>0</v>
      </c>
      <c r="J193" t="s">
        <v>16</v>
      </c>
      <c r="K193" t="s">
        <v>17</v>
      </c>
      <c r="L193">
        <v>36</v>
      </c>
      <c r="M193" t="s">
        <v>15</v>
      </c>
    </row>
    <row r="194" spans="1:13" x14ac:dyDescent="0.25">
      <c r="A194">
        <v>15682</v>
      </c>
      <c r="B194" t="s">
        <v>35</v>
      </c>
      <c r="C194" t="s">
        <v>33</v>
      </c>
      <c r="D194" s="32">
        <v>80000</v>
      </c>
      <c r="E194">
        <v>5</v>
      </c>
      <c r="F194" t="s">
        <v>13</v>
      </c>
      <c r="G194" t="s">
        <v>28</v>
      </c>
      <c r="H194" t="s">
        <v>15</v>
      </c>
      <c r="I194">
        <v>2</v>
      </c>
      <c r="J194" t="s">
        <v>30</v>
      </c>
      <c r="K194" t="s">
        <v>17</v>
      </c>
      <c r="L194">
        <v>62</v>
      </c>
      <c r="M194" t="s">
        <v>18</v>
      </c>
    </row>
    <row r="195" spans="1:13" x14ac:dyDescent="0.25">
      <c r="A195">
        <v>26032</v>
      </c>
      <c r="B195" t="s">
        <v>34</v>
      </c>
      <c r="C195" t="s">
        <v>33</v>
      </c>
      <c r="D195" s="32">
        <v>70000</v>
      </c>
      <c r="E195">
        <v>5</v>
      </c>
      <c r="F195" t="s">
        <v>13</v>
      </c>
      <c r="G195" t="s">
        <v>21</v>
      </c>
      <c r="H195" t="s">
        <v>15</v>
      </c>
      <c r="I195">
        <v>4</v>
      </c>
      <c r="J195" t="s">
        <v>30</v>
      </c>
      <c r="K195" t="s">
        <v>24</v>
      </c>
      <c r="L195">
        <v>41</v>
      </c>
      <c r="M195" t="s">
        <v>18</v>
      </c>
    </row>
    <row r="196" spans="1:13" x14ac:dyDescent="0.25">
      <c r="A196">
        <v>17843</v>
      </c>
      <c r="B196" t="s">
        <v>35</v>
      </c>
      <c r="C196" t="s">
        <v>33</v>
      </c>
      <c r="D196" s="32">
        <v>10000</v>
      </c>
      <c r="E196">
        <v>0</v>
      </c>
      <c r="F196" t="s">
        <v>29</v>
      </c>
      <c r="G196" t="s">
        <v>25</v>
      </c>
      <c r="H196" t="s">
        <v>18</v>
      </c>
      <c r="I196">
        <v>2</v>
      </c>
      <c r="J196" t="s">
        <v>16</v>
      </c>
      <c r="K196" t="s">
        <v>17</v>
      </c>
      <c r="L196">
        <v>32</v>
      </c>
      <c r="M196" t="s">
        <v>18</v>
      </c>
    </row>
    <row r="197" spans="1:13" x14ac:dyDescent="0.25">
      <c r="A197">
        <v>25559</v>
      </c>
      <c r="B197" t="s">
        <v>35</v>
      </c>
      <c r="C197" t="s">
        <v>34</v>
      </c>
      <c r="D197" s="32">
        <v>20000</v>
      </c>
      <c r="E197">
        <v>0</v>
      </c>
      <c r="F197" t="s">
        <v>13</v>
      </c>
      <c r="G197" t="s">
        <v>20</v>
      </c>
      <c r="H197" t="s">
        <v>15</v>
      </c>
      <c r="I197">
        <v>0</v>
      </c>
      <c r="J197" t="s">
        <v>16</v>
      </c>
      <c r="K197" t="s">
        <v>24</v>
      </c>
      <c r="L197">
        <v>25</v>
      </c>
      <c r="M197" t="s">
        <v>15</v>
      </c>
    </row>
    <row r="198" spans="1:13" x14ac:dyDescent="0.25">
      <c r="A198">
        <v>16209</v>
      </c>
      <c r="B198" t="s">
        <v>35</v>
      </c>
      <c r="C198" t="s">
        <v>33</v>
      </c>
      <c r="D198" s="32">
        <v>50000</v>
      </c>
      <c r="E198">
        <v>0</v>
      </c>
      <c r="F198" t="s">
        <v>31</v>
      </c>
      <c r="G198" t="s">
        <v>14</v>
      </c>
      <c r="H198" t="s">
        <v>15</v>
      </c>
      <c r="I198">
        <v>0</v>
      </c>
      <c r="J198" t="s">
        <v>26</v>
      </c>
      <c r="K198" t="s">
        <v>17</v>
      </c>
      <c r="L198">
        <v>36</v>
      </c>
      <c r="M198" t="s">
        <v>18</v>
      </c>
    </row>
    <row r="199" spans="1:13" x14ac:dyDescent="0.25">
      <c r="A199">
        <v>11147</v>
      </c>
      <c r="B199" t="s">
        <v>34</v>
      </c>
      <c r="C199" t="s">
        <v>34</v>
      </c>
      <c r="D199" s="32">
        <v>60000</v>
      </c>
      <c r="E199">
        <v>2</v>
      </c>
      <c r="F199" t="s">
        <v>31</v>
      </c>
      <c r="G199" t="s">
        <v>28</v>
      </c>
      <c r="H199" t="s">
        <v>15</v>
      </c>
      <c r="I199">
        <v>1</v>
      </c>
      <c r="J199" t="s">
        <v>16</v>
      </c>
      <c r="K199" t="s">
        <v>24</v>
      </c>
      <c r="L199">
        <v>67</v>
      </c>
      <c r="M199" t="s">
        <v>15</v>
      </c>
    </row>
    <row r="200" spans="1:13" x14ac:dyDescent="0.25">
      <c r="A200">
        <v>15214</v>
      </c>
      <c r="B200" t="s">
        <v>35</v>
      </c>
      <c r="C200" t="s">
        <v>33</v>
      </c>
      <c r="D200" s="32">
        <v>100000</v>
      </c>
      <c r="E200">
        <v>0</v>
      </c>
      <c r="F200" t="s">
        <v>31</v>
      </c>
      <c r="G200" t="s">
        <v>28</v>
      </c>
      <c r="H200" t="s">
        <v>18</v>
      </c>
      <c r="I200">
        <v>1</v>
      </c>
      <c r="J200" t="s">
        <v>26</v>
      </c>
      <c r="K200" t="s">
        <v>24</v>
      </c>
      <c r="L200">
        <v>39</v>
      </c>
      <c r="M200" t="s">
        <v>15</v>
      </c>
    </row>
    <row r="201" spans="1:13" x14ac:dyDescent="0.25">
      <c r="A201">
        <v>11453</v>
      </c>
      <c r="B201" t="s">
        <v>35</v>
      </c>
      <c r="C201" t="s">
        <v>34</v>
      </c>
      <c r="D201" s="32">
        <v>80000</v>
      </c>
      <c r="E201">
        <v>0</v>
      </c>
      <c r="F201" t="s">
        <v>13</v>
      </c>
      <c r="G201" t="s">
        <v>21</v>
      </c>
      <c r="H201" t="s">
        <v>18</v>
      </c>
      <c r="I201">
        <v>3</v>
      </c>
      <c r="J201" t="s">
        <v>30</v>
      </c>
      <c r="K201" t="s">
        <v>24</v>
      </c>
      <c r="L201">
        <v>33</v>
      </c>
      <c r="M201" t="s">
        <v>15</v>
      </c>
    </row>
    <row r="202" spans="1:13" x14ac:dyDescent="0.25">
      <c r="A202">
        <v>24584</v>
      </c>
      <c r="B202" t="s">
        <v>35</v>
      </c>
      <c r="C202" t="s">
        <v>34</v>
      </c>
      <c r="D202" s="32">
        <v>60000</v>
      </c>
      <c r="E202">
        <v>0</v>
      </c>
      <c r="F202" t="s">
        <v>13</v>
      </c>
      <c r="G202" t="s">
        <v>21</v>
      </c>
      <c r="H202" t="s">
        <v>18</v>
      </c>
      <c r="I202">
        <v>3</v>
      </c>
      <c r="J202" t="s">
        <v>22</v>
      </c>
      <c r="K202" t="s">
        <v>24</v>
      </c>
      <c r="L202">
        <v>31</v>
      </c>
      <c r="M202" t="s">
        <v>18</v>
      </c>
    </row>
    <row r="203" spans="1:13" x14ac:dyDescent="0.25">
      <c r="A203">
        <v>12585</v>
      </c>
      <c r="B203" t="s">
        <v>34</v>
      </c>
      <c r="C203" t="s">
        <v>34</v>
      </c>
      <c r="D203" s="32">
        <v>10000</v>
      </c>
      <c r="E203">
        <v>1</v>
      </c>
      <c r="F203" t="s">
        <v>27</v>
      </c>
      <c r="G203" t="s">
        <v>25</v>
      </c>
      <c r="H203" t="s">
        <v>15</v>
      </c>
      <c r="I203">
        <v>0</v>
      </c>
      <c r="J203" t="s">
        <v>22</v>
      </c>
      <c r="K203" t="s">
        <v>24</v>
      </c>
      <c r="L203">
        <v>27</v>
      </c>
      <c r="M203" t="s">
        <v>15</v>
      </c>
    </row>
    <row r="204" spans="1:13" x14ac:dyDescent="0.25">
      <c r="A204">
        <v>18626</v>
      </c>
      <c r="B204" t="s">
        <v>35</v>
      </c>
      <c r="C204" t="s">
        <v>34</v>
      </c>
      <c r="D204" s="32">
        <v>40000</v>
      </c>
      <c r="E204">
        <v>2</v>
      </c>
      <c r="F204" t="s">
        <v>19</v>
      </c>
      <c r="G204" t="s">
        <v>20</v>
      </c>
      <c r="H204" t="s">
        <v>15</v>
      </c>
      <c r="I204">
        <v>0</v>
      </c>
      <c r="J204" t="s">
        <v>26</v>
      </c>
      <c r="K204" t="s">
        <v>17</v>
      </c>
      <c r="L204">
        <v>33</v>
      </c>
      <c r="M204" t="s">
        <v>15</v>
      </c>
    </row>
    <row r="205" spans="1:13" x14ac:dyDescent="0.25">
      <c r="A205">
        <v>29298</v>
      </c>
      <c r="B205" t="s">
        <v>35</v>
      </c>
      <c r="C205" t="s">
        <v>33</v>
      </c>
      <c r="D205" s="32">
        <v>60000</v>
      </c>
      <c r="E205">
        <v>1</v>
      </c>
      <c r="F205" t="s">
        <v>19</v>
      </c>
      <c r="G205" t="s">
        <v>14</v>
      </c>
      <c r="H205" t="s">
        <v>15</v>
      </c>
      <c r="I205">
        <v>1</v>
      </c>
      <c r="J205" t="s">
        <v>23</v>
      </c>
      <c r="K205" t="s">
        <v>24</v>
      </c>
      <c r="L205">
        <v>46</v>
      </c>
      <c r="M205" t="s">
        <v>15</v>
      </c>
    </row>
    <row r="206" spans="1:13" x14ac:dyDescent="0.25">
      <c r="A206">
        <v>24842</v>
      </c>
      <c r="B206" t="s">
        <v>35</v>
      </c>
      <c r="C206" t="s">
        <v>33</v>
      </c>
      <c r="D206" s="32">
        <v>90000</v>
      </c>
      <c r="E206">
        <v>3</v>
      </c>
      <c r="F206" t="s">
        <v>27</v>
      </c>
      <c r="G206" t="s">
        <v>21</v>
      </c>
      <c r="H206" t="s">
        <v>18</v>
      </c>
      <c r="I206">
        <v>1</v>
      </c>
      <c r="J206" t="s">
        <v>22</v>
      </c>
      <c r="K206" t="s">
        <v>17</v>
      </c>
      <c r="L206">
        <v>51</v>
      </c>
      <c r="M206" t="s">
        <v>18</v>
      </c>
    </row>
    <row r="207" spans="1:13" x14ac:dyDescent="0.25">
      <c r="A207">
        <v>15657</v>
      </c>
      <c r="B207" t="s">
        <v>34</v>
      </c>
      <c r="C207" t="s">
        <v>34</v>
      </c>
      <c r="D207" s="32">
        <v>30000</v>
      </c>
      <c r="E207">
        <v>3</v>
      </c>
      <c r="F207" t="s">
        <v>31</v>
      </c>
      <c r="G207" t="s">
        <v>20</v>
      </c>
      <c r="H207" t="s">
        <v>15</v>
      </c>
      <c r="I207">
        <v>0</v>
      </c>
      <c r="J207" t="s">
        <v>16</v>
      </c>
      <c r="K207" t="s">
        <v>17</v>
      </c>
      <c r="L207">
        <v>46</v>
      </c>
      <c r="M207" t="s">
        <v>15</v>
      </c>
    </row>
    <row r="208" spans="1:13" x14ac:dyDescent="0.25">
      <c r="A208">
        <v>11415</v>
      </c>
      <c r="B208" t="s">
        <v>35</v>
      </c>
      <c r="C208" t="s">
        <v>34</v>
      </c>
      <c r="D208" s="32">
        <v>90000</v>
      </c>
      <c r="E208">
        <v>5</v>
      </c>
      <c r="F208" t="s">
        <v>19</v>
      </c>
      <c r="G208" t="s">
        <v>21</v>
      </c>
      <c r="H208" t="s">
        <v>18</v>
      </c>
      <c r="I208">
        <v>2</v>
      </c>
      <c r="J208" t="s">
        <v>30</v>
      </c>
      <c r="K208" t="s">
        <v>17</v>
      </c>
      <c r="L208">
        <v>62</v>
      </c>
      <c r="M208" t="s">
        <v>18</v>
      </c>
    </row>
    <row r="209" spans="1:13" x14ac:dyDescent="0.25">
      <c r="A209">
        <v>28729</v>
      </c>
      <c r="B209" t="s">
        <v>35</v>
      </c>
      <c r="C209" t="s">
        <v>33</v>
      </c>
      <c r="D209" s="32">
        <v>20000</v>
      </c>
      <c r="E209">
        <v>0</v>
      </c>
      <c r="F209" t="s">
        <v>29</v>
      </c>
      <c r="G209" t="s">
        <v>25</v>
      </c>
      <c r="H209" t="s">
        <v>15</v>
      </c>
      <c r="I209">
        <v>2</v>
      </c>
      <c r="J209" t="s">
        <v>26</v>
      </c>
      <c r="K209" t="s">
        <v>17</v>
      </c>
      <c r="L209">
        <v>26</v>
      </c>
      <c r="M209" t="s">
        <v>15</v>
      </c>
    </row>
    <row r="210" spans="1:13" x14ac:dyDescent="0.25">
      <c r="A210">
        <v>22633</v>
      </c>
      <c r="B210" t="s">
        <v>35</v>
      </c>
      <c r="C210" t="s">
        <v>33</v>
      </c>
      <c r="D210" s="32">
        <v>40000</v>
      </c>
      <c r="E210">
        <v>0</v>
      </c>
      <c r="F210" t="s">
        <v>31</v>
      </c>
      <c r="G210" t="s">
        <v>20</v>
      </c>
      <c r="H210" t="s">
        <v>15</v>
      </c>
      <c r="I210">
        <v>0</v>
      </c>
      <c r="J210" t="s">
        <v>16</v>
      </c>
      <c r="K210" t="s">
        <v>17</v>
      </c>
      <c r="L210">
        <v>37</v>
      </c>
      <c r="M210" t="s">
        <v>15</v>
      </c>
    </row>
    <row r="211" spans="1:13" x14ac:dyDescent="0.25">
      <c r="A211">
        <v>25649</v>
      </c>
      <c r="B211" t="s">
        <v>35</v>
      </c>
      <c r="C211" t="s">
        <v>33</v>
      </c>
      <c r="D211" s="32">
        <v>30000</v>
      </c>
      <c r="E211">
        <v>3</v>
      </c>
      <c r="F211" t="s">
        <v>19</v>
      </c>
      <c r="G211" t="s">
        <v>20</v>
      </c>
      <c r="H211" t="s">
        <v>15</v>
      </c>
      <c r="I211">
        <v>0</v>
      </c>
      <c r="J211" t="s">
        <v>16</v>
      </c>
      <c r="K211" t="s">
        <v>17</v>
      </c>
      <c r="L211">
        <v>42</v>
      </c>
      <c r="M211" t="s">
        <v>15</v>
      </c>
    </row>
    <row r="212" spans="1:13" x14ac:dyDescent="0.25">
      <c r="A212">
        <v>14669</v>
      </c>
      <c r="B212" t="s">
        <v>34</v>
      </c>
      <c r="C212" t="s">
        <v>33</v>
      </c>
      <c r="D212" s="32">
        <v>80000</v>
      </c>
      <c r="E212">
        <v>4</v>
      </c>
      <c r="F212" t="s">
        <v>31</v>
      </c>
      <c r="G212" t="s">
        <v>28</v>
      </c>
      <c r="H212" t="s">
        <v>15</v>
      </c>
      <c r="I212">
        <v>1</v>
      </c>
      <c r="J212" t="s">
        <v>16</v>
      </c>
      <c r="K212" t="s">
        <v>24</v>
      </c>
      <c r="L212">
        <v>36</v>
      </c>
      <c r="M212" t="s">
        <v>18</v>
      </c>
    </row>
    <row r="213" spans="1:13" x14ac:dyDescent="0.25">
      <c r="A213">
        <v>19299</v>
      </c>
      <c r="B213" t="s">
        <v>34</v>
      </c>
      <c r="C213" t="s">
        <v>33</v>
      </c>
      <c r="D213" s="32">
        <v>50000</v>
      </c>
      <c r="E213">
        <v>0</v>
      </c>
      <c r="F213" t="s">
        <v>31</v>
      </c>
      <c r="G213" t="s">
        <v>14</v>
      </c>
      <c r="H213" t="s">
        <v>15</v>
      </c>
      <c r="I213">
        <v>0</v>
      </c>
      <c r="J213" t="s">
        <v>16</v>
      </c>
      <c r="K213" t="s">
        <v>17</v>
      </c>
      <c r="L213">
        <v>36</v>
      </c>
      <c r="M213" t="s">
        <v>15</v>
      </c>
    </row>
    <row r="214" spans="1:13" x14ac:dyDescent="0.25">
      <c r="A214">
        <v>20946</v>
      </c>
      <c r="B214" t="s">
        <v>35</v>
      </c>
      <c r="C214" t="s">
        <v>33</v>
      </c>
      <c r="D214" s="32">
        <v>30000</v>
      </c>
      <c r="E214">
        <v>0</v>
      </c>
      <c r="F214" t="s">
        <v>19</v>
      </c>
      <c r="G214" t="s">
        <v>20</v>
      </c>
      <c r="H214" t="s">
        <v>18</v>
      </c>
      <c r="I214">
        <v>1</v>
      </c>
      <c r="J214" t="s">
        <v>22</v>
      </c>
      <c r="K214" t="s">
        <v>17</v>
      </c>
      <c r="L214">
        <v>30</v>
      </c>
      <c r="M214" t="s">
        <v>18</v>
      </c>
    </row>
    <row r="215" spans="1:13" x14ac:dyDescent="0.25">
      <c r="A215">
        <v>11451</v>
      </c>
      <c r="B215" t="s">
        <v>35</v>
      </c>
      <c r="C215" t="s">
        <v>34</v>
      </c>
      <c r="D215" s="32">
        <v>70000</v>
      </c>
      <c r="E215">
        <v>0</v>
      </c>
      <c r="F215" t="s">
        <v>13</v>
      </c>
      <c r="G215" t="s">
        <v>21</v>
      </c>
      <c r="H215" t="s">
        <v>18</v>
      </c>
      <c r="I215">
        <v>4</v>
      </c>
      <c r="J215" t="s">
        <v>30</v>
      </c>
      <c r="K215" t="s">
        <v>24</v>
      </c>
      <c r="L215">
        <v>31</v>
      </c>
      <c r="M215" t="s">
        <v>15</v>
      </c>
    </row>
    <row r="216" spans="1:13" x14ac:dyDescent="0.25">
      <c r="A216">
        <v>25553</v>
      </c>
      <c r="B216" t="s">
        <v>34</v>
      </c>
      <c r="C216" t="s">
        <v>34</v>
      </c>
      <c r="D216" s="32">
        <v>30000</v>
      </c>
      <c r="E216">
        <v>1</v>
      </c>
      <c r="F216" t="s">
        <v>13</v>
      </c>
      <c r="G216" t="s">
        <v>20</v>
      </c>
      <c r="H216" t="s">
        <v>15</v>
      </c>
      <c r="I216">
        <v>0</v>
      </c>
      <c r="J216" t="s">
        <v>16</v>
      </c>
      <c r="K216" t="s">
        <v>17</v>
      </c>
      <c r="L216">
        <v>65</v>
      </c>
      <c r="M216" t="s">
        <v>15</v>
      </c>
    </row>
    <row r="217" spans="1:13" x14ac:dyDescent="0.25">
      <c r="A217">
        <v>27951</v>
      </c>
      <c r="B217" t="s">
        <v>35</v>
      </c>
      <c r="C217" t="s">
        <v>34</v>
      </c>
      <c r="D217" s="32">
        <v>80000</v>
      </c>
      <c r="E217">
        <v>4</v>
      </c>
      <c r="F217" t="s">
        <v>19</v>
      </c>
      <c r="G217" t="s">
        <v>21</v>
      </c>
      <c r="H217" t="s">
        <v>18</v>
      </c>
      <c r="I217">
        <v>2</v>
      </c>
      <c r="J217" t="s">
        <v>22</v>
      </c>
      <c r="K217" t="s">
        <v>17</v>
      </c>
      <c r="L217">
        <v>54</v>
      </c>
      <c r="M217" t="s">
        <v>15</v>
      </c>
    </row>
    <row r="218" spans="1:13" x14ac:dyDescent="0.25">
      <c r="A218">
        <v>25026</v>
      </c>
      <c r="B218" t="s">
        <v>34</v>
      </c>
      <c r="C218" t="s">
        <v>34</v>
      </c>
      <c r="D218" s="32">
        <v>20000</v>
      </c>
      <c r="E218">
        <v>2</v>
      </c>
      <c r="F218" t="s">
        <v>29</v>
      </c>
      <c r="G218" t="s">
        <v>20</v>
      </c>
      <c r="H218" t="s">
        <v>15</v>
      </c>
      <c r="I218">
        <v>3</v>
      </c>
      <c r="J218" t="s">
        <v>23</v>
      </c>
      <c r="K218" t="s">
        <v>24</v>
      </c>
      <c r="L218">
        <v>54</v>
      </c>
      <c r="M218" t="s">
        <v>18</v>
      </c>
    </row>
    <row r="219" spans="1:13" x14ac:dyDescent="0.25">
      <c r="A219">
        <v>13673</v>
      </c>
      <c r="B219" t="s">
        <v>35</v>
      </c>
      <c r="C219" t="s">
        <v>33</v>
      </c>
      <c r="D219" s="32">
        <v>20000</v>
      </c>
      <c r="E219">
        <v>0</v>
      </c>
      <c r="F219" t="s">
        <v>29</v>
      </c>
      <c r="G219" t="s">
        <v>25</v>
      </c>
      <c r="H219" t="s">
        <v>18</v>
      </c>
      <c r="I219">
        <v>2</v>
      </c>
      <c r="J219" t="s">
        <v>16</v>
      </c>
      <c r="K219" t="s">
        <v>17</v>
      </c>
      <c r="L219">
        <v>25</v>
      </c>
      <c r="M219" t="s">
        <v>18</v>
      </c>
    </row>
    <row r="220" spans="1:13" x14ac:dyDescent="0.25">
      <c r="A220">
        <v>16043</v>
      </c>
      <c r="B220" t="s">
        <v>35</v>
      </c>
      <c r="C220" t="s">
        <v>34</v>
      </c>
      <c r="D220" s="32">
        <v>10000</v>
      </c>
      <c r="E220">
        <v>1</v>
      </c>
      <c r="F220" t="s">
        <v>13</v>
      </c>
      <c r="G220" t="s">
        <v>25</v>
      </c>
      <c r="H220" t="s">
        <v>15</v>
      </c>
      <c r="I220">
        <v>0</v>
      </c>
      <c r="J220" t="s">
        <v>16</v>
      </c>
      <c r="K220" t="s">
        <v>17</v>
      </c>
      <c r="L220">
        <v>48</v>
      </c>
      <c r="M220" t="s">
        <v>18</v>
      </c>
    </row>
    <row r="221" spans="1:13" x14ac:dyDescent="0.25">
      <c r="A221">
        <v>22399</v>
      </c>
      <c r="B221" t="s">
        <v>35</v>
      </c>
      <c r="C221" t="s">
        <v>34</v>
      </c>
      <c r="D221" s="32">
        <v>10000</v>
      </c>
      <c r="E221">
        <v>0</v>
      </c>
      <c r="F221" t="s">
        <v>19</v>
      </c>
      <c r="G221" t="s">
        <v>25</v>
      </c>
      <c r="H221" t="s">
        <v>15</v>
      </c>
      <c r="I221">
        <v>1</v>
      </c>
      <c r="J221" t="s">
        <v>26</v>
      </c>
      <c r="K221" t="s">
        <v>24</v>
      </c>
      <c r="L221">
        <v>26</v>
      </c>
      <c r="M221" t="s">
        <v>15</v>
      </c>
    </row>
    <row r="222" spans="1:13" x14ac:dyDescent="0.25">
      <c r="A222">
        <v>27696</v>
      </c>
      <c r="B222" t="s">
        <v>34</v>
      </c>
      <c r="C222" t="s">
        <v>34</v>
      </c>
      <c r="D222" s="32">
        <v>60000</v>
      </c>
      <c r="E222">
        <v>1</v>
      </c>
      <c r="F222" t="s">
        <v>13</v>
      </c>
      <c r="G222" t="s">
        <v>21</v>
      </c>
      <c r="H222" t="s">
        <v>15</v>
      </c>
      <c r="I222">
        <v>1</v>
      </c>
      <c r="J222" t="s">
        <v>23</v>
      </c>
      <c r="K222" t="s">
        <v>24</v>
      </c>
      <c r="L222">
        <v>43</v>
      </c>
      <c r="M222" t="s">
        <v>15</v>
      </c>
    </row>
    <row r="223" spans="1:13" x14ac:dyDescent="0.25">
      <c r="A223">
        <v>25313</v>
      </c>
      <c r="B223" t="s">
        <v>35</v>
      </c>
      <c r="C223" t="s">
        <v>34</v>
      </c>
      <c r="D223" s="32">
        <v>10000</v>
      </c>
      <c r="E223">
        <v>0</v>
      </c>
      <c r="F223" t="s">
        <v>29</v>
      </c>
      <c r="G223" t="s">
        <v>25</v>
      </c>
      <c r="H223" t="s">
        <v>18</v>
      </c>
      <c r="I223">
        <v>2</v>
      </c>
      <c r="J223" t="s">
        <v>26</v>
      </c>
      <c r="K223" t="s">
        <v>17</v>
      </c>
      <c r="L223">
        <v>35</v>
      </c>
      <c r="M223" t="s">
        <v>18</v>
      </c>
    </row>
    <row r="224" spans="1:13" x14ac:dyDescent="0.25">
      <c r="A224">
        <v>13813</v>
      </c>
      <c r="B224" t="s">
        <v>34</v>
      </c>
      <c r="C224" t="s">
        <v>33</v>
      </c>
      <c r="D224" s="32">
        <v>30000</v>
      </c>
      <c r="E224">
        <v>3</v>
      </c>
      <c r="F224" t="s">
        <v>19</v>
      </c>
      <c r="G224" t="s">
        <v>20</v>
      </c>
      <c r="H224" t="s">
        <v>18</v>
      </c>
      <c r="I224">
        <v>0</v>
      </c>
      <c r="J224" t="s">
        <v>16</v>
      </c>
      <c r="K224" t="s">
        <v>17</v>
      </c>
      <c r="L224">
        <v>42</v>
      </c>
      <c r="M224" t="s">
        <v>18</v>
      </c>
    </row>
    <row r="225" spans="1:13" x14ac:dyDescent="0.25">
      <c r="A225">
        <v>18711</v>
      </c>
      <c r="B225" t="s">
        <v>35</v>
      </c>
      <c r="C225" t="s">
        <v>33</v>
      </c>
      <c r="D225" s="32">
        <v>70000</v>
      </c>
      <c r="E225">
        <v>5</v>
      </c>
      <c r="F225" t="s">
        <v>13</v>
      </c>
      <c r="G225" t="s">
        <v>21</v>
      </c>
      <c r="H225" t="s">
        <v>15</v>
      </c>
      <c r="I225">
        <v>4</v>
      </c>
      <c r="J225" t="s">
        <v>30</v>
      </c>
      <c r="K225" t="s">
        <v>24</v>
      </c>
      <c r="L225">
        <v>39</v>
      </c>
      <c r="M225" t="s">
        <v>18</v>
      </c>
    </row>
    <row r="226" spans="1:13" x14ac:dyDescent="0.25">
      <c r="A226">
        <v>19650</v>
      </c>
      <c r="B226" t="s">
        <v>34</v>
      </c>
      <c r="C226" t="s">
        <v>33</v>
      </c>
      <c r="D226" s="32">
        <v>30000</v>
      </c>
      <c r="E226">
        <v>2</v>
      </c>
      <c r="F226" t="s">
        <v>19</v>
      </c>
      <c r="G226" t="s">
        <v>20</v>
      </c>
      <c r="H226" t="s">
        <v>18</v>
      </c>
      <c r="I226">
        <v>2</v>
      </c>
      <c r="J226" t="s">
        <v>16</v>
      </c>
      <c r="K226" t="s">
        <v>24</v>
      </c>
      <c r="L226">
        <v>67</v>
      </c>
      <c r="M226" t="s">
        <v>18</v>
      </c>
    </row>
    <row r="227" spans="1:13" x14ac:dyDescent="0.25">
      <c r="A227">
        <v>14135</v>
      </c>
      <c r="B227" t="s">
        <v>34</v>
      </c>
      <c r="C227" t="s">
        <v>34</v>
      </c>
      <c r="D227" s="32">
        <v>20000</v>
      </c>
      <c r="E227">
        <v>1</v>
      </c>
      <c r="F227" t="s">
        <v>19</v>
      </c>
      <c r="G227" t="s">
        <v>25</v>
      </c>
      <c r="H227" t="s">
        <v>15</v>
      </c>
      <c r="I227">
        <v>0</v>
      </c>
      <c r="J227" t="s">
        <v>26</v>
      </c>
      <c r="K227" t="s">
        <v>17</v>
      </c>
      <c r="L227">
        <v>35</v>
      </c>
      <c r="M227" t="s">
        <v>18</v>
      </c>
    </row>
    <row r="228" spans="1:13" x14ac:dyDescent="0.25">
      <c r="A228">
        <v>12833</v>
      </c>
      <c r="B228" t="s">
        <v>35</v>
      </c>
      <c r="C228" t="s">
        <v>33</v>
      </c>
      <c r="D228" s="32">
        <v>20000</v>
      </c>
      <c r="E228">
        <v>3</v>
      </c>
      <c r="F228" t="s">
        <v>27</v>
      </c>
      <c r="G228" t="s">
        <v>25</v>
      </c>
      <c r="H228" t="s">
        <v>15</v>
      </c>
      <c r="I228">
        <v>1</v>
      </c>
      <c r="J228" t="s">
        <v>16</v>
      </c>
      <c r="K228" t="s">
        <v>17</v>
      </c>
      <c r="L228">
        <v>42</v>
      </c>
      <c r="M228" t="s">
        <v>15</v>
      </c>
    </row>
    <row r="229" spans="1:13" x14ac:dyDescent="0.25">
      <c r="A229">
        <v>26849</v>
      </c>
      <c r="B229" t="s">
        <v>34</v>
      </c>
      <c r="C229" t="s">
        <v>34</v>
      </c>
      <c r="D229" s="32">
        <v>10000</v>
      </c>
      <c r="E229">
        <v>3</v>
      </c>
      <c r="F229" t="s">
        <v>29</v>
      </c>
      <c r="G229" t="s">
        <v>25</v>
      </c>
      <c r="H229" t="s">
        <v>15</v>
      </c>
      <c r="I229">
        <v>2</v>
      </c>
      <c r="J229" t="s">
        <v>16</v>
      </c>
      <c r="K229" t="s">
        <v>17</v>
      </c>
      <c r="L229">
        <v>43</v>
      </c>
      <c r="M229" t="s">
        <v>18</v>
      </c>
    </row>
    <row r="230" spans="1:13" x14ac:dyDescent="0.25">
      <c r="A230">
        <v>20962</v>
      </c>
      <c r="B230" t="s">
        <v>34</v>
      </c>
      <c r="C230" t="s">
        <v>33</v>
      </c>
      <c r="D230" s="32">
        <v>20000</v>
      </c>
      <c r="E230">
        <v>1</v>
      </c>
      <c r="F230" t="s">
        <v>31</v>
      </c>
      <c r="G230" t="s">
        <v>20</v>
      </c>
      <c r="H230" t="s">
        <v>15</v>
      </c>
      <c r="I230">
        <v>0</v>
      </c>
      <c r="J230" t="s">
        <v>16</v>
      </c>
      <c r="K230" t="s">
        <v>17</v>
      </c>
      <c r="L230">
        <v>45</v>
      </c>
      <c r="M230" t="s">
        <v>18</v>
      </c>
    </row>
    <row r="231" spans="1:13" x14ac:dyDescent="0.25">
      <c r="A231">
        <v>28915</v>
      </c>
      <c r="B231" t="s">
        <v>35</v>
      </c>
      <c r="C231" t="s">
        <v>34</v>
      </c>
      <c r="D231" s="32">
        <v>80000</v>
      </c>
      <c r="E231">
        <v>5</v>
      </c>
      <c r="F231" t="s">
        <v>27</v>
      </c>
      <c r="G231" t="s">
        <v>28</v>
      </c>
      <c r="H231" t="s">
        <v>15</v>
      </c>
      <c r="I231">
        <v>3</v>
      </c>
      <c r="J231" t="s">
        <v>30</v>
      </c>
      <c r="K231" t="s">
        <v>17</v>
      </c>
      <c r="L231">
        <v>57</v>
      </c>
      <c r="M231" t="s">
        <v>18</v>
      </c>
    </row>
    <row r="232" spans="1:13" x14ac:dyDescent="0.25">
      <c r="A232">
        <v>22830</v>
      </c>
      <c r="B232" t="s">
        <v>34</v>
      </c>
      <c r="C232" t="s">
        <v>34</v>
      </c>
      <c r="D232" s="32">
        <v>120000</v>
      </c>
      <c r="E232">
        <v>4</v>
      </c>
      <c r="F232" t="s">
        <v>19</v>
      </c>
      <c r="G232" t="s">
        <v>28</v>
      </c>
      <c r="H232" t="s">
        <v>15</v>
      </c>
      <c r="I232">
        <v>3</v>
      </c>
      <c r="J232" t="s">
        <v>30</v>
      </c>
      <c r="K232" t="s">
        <v>17</v>
      </c>
      <c r="L232">
        <v>56</v>
      </c>
      <c r="M232" t="s">
        <v>18</v>
      </c>
    </row>
    <row r="233" spans="1:13" x14ac:dyDescent="0.25">
      <c r="A233">
        <v>14777</v>
      </c>
      <c r="B233" t="s">
        <v>34</v>
      </c>
      <c r="C233" t="s">
        <v>33</v>
      </c>
      <c r="D233" s="32">
        <v>40000</v>
      </c>
      <c r="E233">
        <v>0</v>
      </c>
      <c r="F233" t="s">
        <v>13</v>
      </c>
      <c r="G233" t="s">
        <v>20</v>
      </c>
      <c r="H233" t="s">
        <v>15</v>
      </c>
      <c r="I233">
        <v>0</v>
      </c>
      <c r="J233" t="s">
        <v>16</v>
      </c>
      <c r="K233" t="s">
        <v>17</v>
      </c>
      <c r="L233">
        <v>38</v>
      </c>
      <c r="M233" t="s">
        <v>15</v>
      </c>
    </row>
    <row r="234" spans="1:13" x14ac:dyDescent="0.25">
      <c r="A234">
        <v>12591</v>
      </c>
      <c r="B234" t="s">
        <v>34</v>
      </c>
      <c r="C234" t="s">
        <v>33</v>
      </c>
      <c r="D234" s="32">
        <v>30000</v>
      </c>
      <c r="E234">
        <v>4</v>
      </c>
      <c r="F234" t="s">
        <v>31</v>
      </c>
      <c r="G234" t="s">
        <v>20</v>
      </c>
      <c r="H234" t="s">
        <v>15</v>
      </c>
      <c r="I234">
        <v>0</v>
      </c>
      <c r="J234" t="s">
        <v>16</v>
      </c>
      <c r="K234" t="s">
        <v>17</v>
      </c>
      <c r="L234">
        <v>45</v>
      </c>
      <c r="M234" t="s">
        <v>18</v>
      </c>
    </row>
    <row r="235" spans="1:13" x14ac:dyDescent="0.25">
      <c r="A235">
        <v>24174</v>
      </c>
      <c r="B235" t="s">
        <v>34</v>
      </c>
      <c r="C235" t="s">
        <v>34</v>
      </c>
      <c r="D235" s="32">
        <v>20000</v>
      </c>
      <c r="E235">
        <v>0</v>
      </c>
      <c r="F235" t="s">
        <v>13</v>
      </c>
      <c r="G235" t="s">
        <v>20</v>
      </c>
      <c r="H235" t="s">
        <v>15</v>
      </c>
      <c r="I235">
        <v>0</v>
      </c>
      <c r="J235" t="s">
        <v>16</v>
      </c>
      <c r="K235" t="s">
        <v>24</v>
      </c>
      <c r="L235">
        <v>27</v>
      </c>
      <c r="M235" t="s">
        <v>15</v>
      </c>
    </row>
    <row r="236" spans="1:13" x14ac:dyDescent="0.25">
      <c r="A236">
        <v>24611</v>
      </c>
      <c r="B236" t="s">
        <v>35</v>
      </c>
      <c r="C236" t="s">
        <v>34</v>
      </c>
      <c r="D236" s="32">
        <v>90000</v>
      </c>
      <c r="E236">
        <v>0</v>
      </c>
      <c r="F236" t="s">
        <v>13</v>
      </c>
      <c r="G236" t="s">
        <v>21</v>
      </c>
      <c r="H236" t="s">
        <v>18</v>
      </c>
      <c r="I236">
        <v>4</v>
      </c>
      <c r="J236" t="s">
        <v>30</v>
      </c>
      <c r="K236" t="s">
        <v>24</v>
      </c>
      <c r="L236">
        <v>35</v>
      </c>
      <c r="M236" t="s">
        <v>15</v>
      </c>
    </row>
    <row r="237" spans="1:13" x14ac:dyDescent="0.25">
      <c r="A237">
        <v>11340</v>
      </c>
      <c r="B237" t="s">
        <v>34</v>
      </c>
      <c r="C237" t="s">
        <v>33</v>
      </c>
      <c r="D237" s="32">
        <v>10000</v>
      </c>
      <c r="E237">
        <v>1</v>
      </c>
      <c r="F237" t="s">
        <v>31</v>
      </c>
      <c r="G237" t="s">
        <v>20</v>
      </c>
      <c r="H237" t="s">
        <v>15</v>
      </c>
      <c r="I237">
        <v>0</v>
      </c>
      <c r="J237" t="s">
        <v>16</v>
      </c>
      <c r="K237" t="s">
        <v>17</v>
      </c>
      <c r="L237">
        <v>70</v>
      </c>
      <c r="M237" t="s">
        <v>15</v>
      </c>
    </row>
    <row r="238" spans="1:13" x14ac:dyDescent="0.25">
      <c r="A238">
        <v>25693</v>
      </c>
      <c r="B238" t="s">
        <v>35</v>
      </c>
      <c r="C238" t="s">
        <v>33</v>
      </c>
      <c r="D238" s="32">
        <v>30000</v>
      </c>
      <c r="E238">
        <v>5</v>
      </c>
      <c r="F238" t="s">
        <v>31</v>
      </c>
      <c r="G238" t="s">
        <v>20</v>
      </c>
      <c r="H238" t="s">
        <v>15</v>
      </c>
      <c r="I238">
        <v>0</v>
      </c>
      <c r="J238" t="s">
        <v>16</v>
      </c>
      <c r="K238" t="s">
        <v>17</v>
      </c>
      <c r="L238">
        <v>44</v>
      </c>
      <c r="M238" t="s">
        <v>15</v>
      </c>
    </row>
    <row r="239" spans="1:13" x14ac:dyDescent="0.25">
      <c r="A239">
        <v>25555</v>
      </c>
      <c r="B239" t="s">
        <v>34</v>
      </c>
      <c r="C239" t="s">
        <v>33</v>
      </c>
      <c r="D239" s="32">
        <v>10000</v>
      </c>
      <c r="E239">
        <v>0</v>
      </c>
      <c r="F239" t="s">
        <v>19</v>
      </c>
      <c r="G239" t="s">
        <v>25</v>
      </c>
      <c r="H239" t="s">
        <v>18</v>
      </c>
      <c r="I239">
        <v>1</v>
      </c>
      <c r="J239" t="s">
        <v>16</v>
      </c>
      <c r="K239" t="s">
        <v>24</v>
      </c>
      <c r="L239">
        <v>26</v>
      </c>
      <c r="M239" t="s">
        <v>15</v>
      </c>
    </row>
    <row r="240" spans="1:13" x14ac:dyDescent="0.25">
      <c r="A240">
        <v>22006</v>
      </c>
      <c r="B240" t="s">
        <v>34</v>
      </c>
      <c r="C240" t="s">
        <v>34</v>
      </c>
      <c r="D240" s="32">
        <v>70000</v>
      </c>
      <c r="E240">
        <v>5</v>
      </c>
      <c r="F240" t="s">
        <v>19</v>
      </c>
      <c r="G240" t="s">
        <v>14</v>
      </c>
      <c r="H240" t="s">
        <v>15</v>
      </c>
      <c r="I240">
        <v>3</v>
      </c>
      <c r="J240" t="s">
        <v>23</v>
      </c>
      <c r="K240" t="s">
        <v>24</v>
      </c>
      <c r="L240">
        <v>46</v>
      </c>
      <c r="M240" t="s">
        <v>18</v>
      </c>
    </row>
    <row r="241" spans="1:13" x14ac:dyDescent="0.25">
      <c r="A241">
        <v>20060</v>
      </c>
      <c r="B241" t="s">
        <v>35</v>
      </c>
      <c r="C241" t="s">
        <v>33</v>
      </c>
      <c r="D241" s="32">
        <v>30000</v>
      </c>
      <c r="E241">
        <v>0</v>
      </c>
      <c r="F241" t="s">
        <v>27</v>
      </c>
      <c r="G241" t="s">
        <v>25</v>
      </c>
      <c r="H241" t="s">
        <v>18</v>
      </c>
      <c r="I241">
        <v>1</v>
      </c>
      <c r="J241" t="s">
        <v>22</v>
      </c>
      <c r="K241" t="s">
        <v>17</v>
      </c>
      <c r="L241">
        <v>34</v>
      </c>
      <c r="M241" t="s">
        <v>15</v>
      </c>
    </row>
    <row r="242" spans="1:13" x14ac:dyDescent="0.25">
      <c r="A242">
        <v>17702</v>
      </c>
      <c r="B242" t="s">
        <v>34</v>
      </c>
      <c r="C242" t="s">
        <v>34</v>
      </c>
      <c r="D242" s="32">
        <v>10000</v>
      </c>
      <c r="E242">
        <v>1</v>
      </c>
      <c r="F242" t="s">
        <v>31</v>
      </c>
      <c r="G242" t="s">
        <v>25</v>
      </c>
      <c r="H242" t="s">
        <v>15</v>
      </c>
      <c r="I242">
        <v>0</v>
      </c>
      <c r="J242" t="s">
        <v>16</v>
      </c>
      <c r="K242" t="s">
        <v>17</v>
      </c>
      <c r="L242">
        <v>37</v>
      </c>
      <c r="M242" t="s">
        <v>18</v>
      </c>
    </row>
    <row r="243" spans="1:13" x14ac:dyDescent="0.25">
      <c r="A243">
        <v>12503</v>
      </c>
      <c r="B243" t="s">
        <v>35</v>
      </c>
      <c r="C243" t="s">
        <v>33</v>
      </c>
      <c r="D243" s="32">
        <v>30000</v>
      </c>
      <c r="E243">
        <v>3</v>
      </c>
      <c r="F243" t="s">
        <v>19</v>
      </c>
      <c r="G243" t="s">
        <v>20</v>
      </c>
      <c r="H243" t="s">
        <v>15</v>
      </c>
      <c r="I243">
        <v>2</v>
      </c>
      <c r="J243" t="s">
        <v>16</v>
      </c>
      <c r="K243" t="s">
        <v>17</v>
      </c>
      <c r="L243">
        <v>27</v>
      </c>
      <c r="M243" t="s">
        <v>18</v>
      </c>
    </row>
    <row r="244" spans="1:13" x14ac:dyDescent="0.25">
      <c r="A244">
        <v>23908</v>
      </c>
      <c r="B244" t="s">
        <v>35</v>
      </c>
      <c r="C244" t="s">
        <v>34</v>
      </c>
      <c r="D244" s="32">
        <v>30000</v>
      </c>
      <c r="E244">
        <v>1</v>
      </c>
      <c r="F244" t="s">
        <v>13</v>
      </c>
      <c r="G244" t="s">
        <v>20</v>
      </c>
      <c r="H244" t="s">
        <v>18</v>
      </c>
      <c r="I244">
        <v>1</v>
      </c>
      <c r="J244" t="s">
        <v>16</v>
      </c>
      <c r="K244" t="s">
        <v>17</v>
      </c>
      <c r="L244">
        <v>39</v>
      </c>
      <c r="M244" t="s">
        <v>15</v>
      </c>
    </row>
    <row r="245" spans="1:13" x14ac:dyDescent="0.25">
      <c r="A245">
        <v>22527</v>
      </c>
      <c r="B245" t="s">
        <v>35</v>
      </c>
      <c r="C245" t="s">
        <v>33</v>
      </c>
      <c r="D245" s="32">
        <v>20000</v>
      </c>
      <c r="E245">
        <v>0</v>
      </c>
      <c r="F245" t="s">
        <v>27</v>
      </c>
      <c r="G245" t="s">
        <v>25</v>
      </c>
      <c r="H245" t="s">
        <v>18</v>
      </c>
      <c r="I245">
        <v>1</v>
      </c>
      <c r="J245" t="s">
        <v>22</v>
      </c>
      <c r="K245" t="s">
        <v>17</v>
      </c>
      <c r="L245">
        <v>29</v>
      </c>
      <c r="M245" t="s">
        <v>18</v>
      </c>
    </row>
    <row r="246" spans="1:13" x14ac:dyDescent="0.25">
      <c r="A246">
        <v>19057</v>
      </c>
      <c r="B246" t="s">
        <v>34</v>
      </c>
      <c r="C246" t="s">
        <v>33</v>
      </c>
      <c r="D246" s="32">
        <v>120000</v>
      </c>
      <c r="E246">
        <v>3</v>
      </c>
      <c r="F246" t="s">
        <v>13</v>
      </c>
      <c r="G246" t="s">
        <v>28</v>
      </c>
      <c r="H246" t="s">
        <v>18</v>
      </c>
      <c r="I246">
        <v>2</v>
      </c>
      <c r="J246" t="s">
        <v>30</v>
      </c>
      <c r="K246" t="s">
        <v>17</v>
      </c>
      <c r="L246">
        <v>52</v>
      </c>
      <c r="M246" t="s">
        <v>15</v>
      </c>
    </row>
    <row r="247" spans="1:13" x14ac:dyDescent="0.25">
      <c r="A247">
        <v>18494</v>
      </c>
      <c r="B247" t="s">
        <v>34</v>
      </c>
      <c r="C247" t="s">
        <v>34</v>
      </c>
      <c r="D247" s="32">
        <v>110000</v>
      </c>
      <c r="E247">
        <v>5</v>
      </c>
      <c r="F247" t="s">
        <v>13</v>
      </c>
      <c r="G247" t="s">
        <v>28</v>
      </c>
      <c r="H247" t="s">
        <v>15</v>
      </c>
      <c r="I247">
        <v>4</v>
      </c>
      <c r="J247" t="s">
        <v>22</v>
      </c>
      <c r="K247" t="s">
        <v>24</v>
      </c>
      <c r="L247">
        <v>48</v>
      </c>
      <c r="M247" t="s">
        <v>15</v>
      </c>
    </row>
    <row r="248" spans="1:13" x14ac:dyDescent="0.25">
      <c r="A248">
        <v>11249</v>
      </c>
      <c r="B248" t="s">
        <v>34</v>
      </c>
      <c r="C248" t="s">
        <v>33</v>
      </c>
      <c r="D248" s="32">
        <v>130000</v>
      </c>
      <c r="E248">
        <v>3</v>
      </c>
      <c r="F248" t="s">
        <v>19</v>
      </c>
      <c r="G248" t="s">
        <v>21</v>
      </c>
      <c r="H248" t="s">
        <v>15</v>
      </c>
      <c r="I248">
        <v>3</v>
      </c>
      <c r="J248" t="s">
        <v>16</v>
      </c>
      <c r="K248" t="s">
        <v>17</v>
      </c>
      <c r="L248">
        <v>51</v>
      </c>
      <c r="M248" t="s">
        <v>15</v>
      </c>
    </row>
    <row r="249" spans="1:13" x14ac:dyDescent="0.25">
      <c r="A249">
        <v>21568</v>
      </c>
      <c r="B249" t="s">
        <v>34</v>
      </c>
      <c r="C249" t="s">
        <v>33</v>
      </c>
      <c r="D249" s="32">
        <v>100000</v>
      </c>
      <c r="E249">
        <v>0</v>
      </c>
      <c r="F249" t="s">
        <v>27</v>
      </c>
      <c r="G249" t="s">
        <v>28</v>
      </c>
      <c r="H249" t="s">
        <v>15</v>
      </c>
      <c r="I249">
        <v>4</v>
      </c>
      <c r="J249" t="s">
        <v>30</v>
      </c>
      <c r="K249" t="s">
        <v>24</v>
      </c>
      <c r="L249">
        <v>34</v>
      </c>
      <c r="M249" t="s">
        <v>15</v>
      </c>
    </row>
    <row r="250" spans="1:13" x14ac:dyDescent="0.25">
      <c r="A250">
        <v>13981</v>
      </c>
      <c r="B250" t="s">
        <v>34</v>
      </c>
      <c r="C250" t="s">
        <v>33</v>
      </c>
      <c r="D250" s="32">
        <v>10000</v>
      </c>
      <c r="E250">
        <v>5</v>
      </c>
      <c r="F250" t="s">
        <v>27</v>
      </c>
      <c r="G250" t="s">
        <v>14</v>
      </c>
      <c r="H250" t="s">
        <v>18</v>
      </c>
      <c r="I250">
        <v>3</v>
      </c>
      <c r="J250" t="s">
        <v>26</v>
      </c>
      <c r="K250" t="s">
        <v>24</v>
      </c>
      <c r="L250">
        <v>62</v>
      </c>
      <c r="M250" t="s">
        <v>18</v>
      </c>
    </row>
    <row r="251" spans="1:13" x14ac:dyDescent="0.25">
      <c r="A251">
        <v>23432</v>
      </c>
      <c r="B251" t="s">
        <v>35</v>
      </c>
      <c r="C251" t="s">
        <v>34</v>
      </c>
      <c r="D251" s="32">
        <v>70000</v>
      </c>
      <c r="E251">
        <v>0</v>
      </c>
      <c r="F251" t="s">
        <v>13</v>
      </c>
      <c r="G251" t="s">
        <v>21</v>
      </c>
      <c r="H251" t="s">
        <v>15</v>
      </c>
      <c r="I251">
        <v>1</v>
      </c>
      <c r="J251" t="s">
        <v>23</v>
      </c>
      <c r="K251" t="s">
        <v>24</v>
      </c>
      <c r="L251">
        <v>37</v>
      </c>
      <c r="M251" t="s">
        <v>15</v>
      </c>
    </row>
    <row r="252" spans="1:13" x14ac:dyDescent="0.25">
      <c r="A252">
        <v>22931</v>
      </c>
      <c r="B252" t="s">
        <v>34</v>
      </c>
      <c r="C252" t="s">
        <v>34</v>
      </c>
      <c r="D252" s="32">
        <v>100000</v>
      </c>
      <c r="E252">
        <v>5</v>
      </c>
      <c r="F252" t="s">
        <v>31</v>
      </c>
      <c r="G252" t="s">
        <v>28</v>
      </c>
      <c r="H252" t="s">
        <v>18</v>
      </c>
      <c r="I252">
        <v>1</v>
      </c>
      <c r="J252" t="s">
        <v>26</v>
      </c>
      <c r="K252" t="s">
        <v>24</v>
      </c>
      <c r="L252">
        <v>78</v>
      </c>
      <c r="M252" t="s">
        <v>15</v>
      </c>
    </row>
    <row r="253" spans="1:13" x14ac:dyDescent="0.25">
      <c r="A253">
        <v>18172</v>
      </c>
      <c r="B253" t="s">
        <v>34</v>
      </c>
      <c r="C253" t="s">
        <v>34</v>
      </c>
      <c r="D253" s="32">
        <v>130000</v>
      </c>
      <c r="E253">
        <v>4</v>
      </c>
      <c r="F253" t="s">
        <v>27</v>
      </c>
      <c r="G253" t="s">
        <v>21</v>
      </c>
      <c r="H253" t="s">
        <v>15</v>
      </c>
      <c r="I253">
        <v>3</v>
      </c>
      <c r="J253" t="s">
        <v>16</v>
      </c>
      <c r="K253" t="s">
        <v>17</v>
      </c>
      <c r="L253">
        <v>55</v>
      </c>
      <c r="M253" t="s">
        <v>18</v>
      </c>
    </row>
    <row r="254" spans="1:13" x14ac:dyDescent="0.25">
      <c r="A254">
        <v>12666</v>
      </c>
      <c r="B254" t="s">
        <v>35</v>
      </c>
      <c r="C254" t="s">
        <v>34</v>
      </c>
      <c r="D254" s="32">
        <v>60000</v>
      </c>
      <c r="E254">
        <v>0</v>
      </c>
      <c r="F254" t="s">
        <v>13</v>
      </c>
      <c r="G254" t="s">
        <v>21</v>
      </c>
      <c r="H254" t="s">
        <v>18</v>
      </c>
      <c r="I254">
        <v>4</v>
      </c>
      <c r="J254" t="s">
        <v>22</v>
      </c>
      <c r="K254" t="s">
        <v>24</v>
      </c>
      <c r="L254">
        <v>31</v>
      </c>
      <c r="M254" t="s">
        <v>18</v>
      </c>
    </row>
    <row r="255" spans="1:13" x14ac:dyDescent="0.25">
      <c r="A255">
        <v>20598</v>
      </c>
      <c r="B255" t="s">
        <v>34</v>
      </c>
      <c r="C255" t="s">
        <v>34</v>
      </c>
      <c r="D255" s="32">
        <v>100000</v>
      </c>
      <c r="E255">
        <v>3</v>
      </c>
      <c r="F255" t="s">
        <v>29</v>
      </c>
      <c r="G255" t="s">
        <v>21</v>
      </c>
      <c r="H255" t="s">
        <v>15</v>
      </c>
      <c r="I255">
        <v>0</v>
      </c>
      <c r="J255" t="s">
        <v>30</v>
      </c>
      <c r="K255" t="s">
        <v>17</v>
      </c>
      <c r="L255">
        <v>59</v>
      </c>
      <c r="M255" t="s">
        <v>15</v>
      </c>
    </row>
    <row r="256" spans="1:13" x14ac:dyDescent="0.25">
      <c r="A256">
        <v>21375</v>
      </c>
      <c r="B256" t="s">
        <v>35</v>
      </c>
      <c r="C256" t="s">
        <v>34</v>
      </c>
      <c r="D256" s="32">
        <v>20000</v>
      </c>
      <c r="E256">
        <v>2</v>
      </c>
      <c r="F256" t="s">
        <v>29</v>
      </c>
      <c r="G256" t="s">
        <v>20</v>
      </c>
      <c r="H256" t="s">
        <v>15</v>
      </c>
      <c r="I256">
        <v>2</v>
      </c>
      <c r="J256" t="s">
        <v>23</v>
      </c>
      <c r="K256" t="s">
        <v>24</v>
      </c>
      <c r="L256">
        <v>57</v>
      </c>
      <c r="M256" t="s">
        <v>18</v>
      </c>
    </row>
    <row r="257" spans="1:13" x14ac:dyDescent="0.25">
      <c r="A257">
        <v>20839</v>
      </c>
      <c r="B257" t="s">
        <v>35</v>
      </c>
      <c r="C257" t="s">
        <v>33</v>
      </c>
      <c r="D257" s="32">
        <v>30000</v>
      </c>
      <c r="E257">
        <v>3</v>
      </c>
      <c r="F257" t="s">
        <v>31</v>
      </c>
      <c r="G257" t="s">
        <v>20</v>
      </c>
      <c r="H257" t="s">
        <v>15</v>
      </c>
      <c r="I257">
        <v>0</v>
      </c>
      <c r="J257" t="s">
        <v>16</v>
      </c>
      <c r="K257" t="s">
        <v>17</v>
      </c>
      <c r="L257">
        <v>47</v>
      </c>
      <c r="M257" t="s">
        <v>15</v>
      </c>
    </row>
    <row r="258" spans="1:13" x14ac:dyDescent="0.25">
      <c r="A258">
        <v>21738</v>
      </c>
      <c r="B258" t="s">
        <v>34</v>
      </c>
      <c r="C258" t="s">
        <v>34</v>
      </c>
      <c r="D258" s="32">
        <v>20000</v>
      </c>
      <c r="E258">
        <v>1</v>
      </c>
      <c r="F258" t="s">
        <v>31</v>
      </c>
      <c r="G258" t="s">
        <v>20</v>
      </c>
      <c r="H258" t="s">
        <v>15</v>
      </c>
      <c r="I258">
        <v>0</v>
      </c>
      <c r="J258" t="s">
        <v>16</v>
      </c>
      <c r="K258" t="s">
        <v>17</v>
      </c>
      <c r="L258">
        <v>43</v>
      </c>
      <c r="M258" t="s">
        <v>18</v>
      </c>
    </row>
    <row r="259" spans="1:13" x14ac:dyDescent="0.25">
      <c r="A259">
        <v>14164</v>
      </c>
      <c r="B259" t="s">
        <v>35</v>
      </c>
      <c r="C259" t="s">
        <v>33</v>
      </c>
      <c r="D259" s="32">
        <v>50000</v>
      </c>
      <c r="E259">
        <v>0</v>
      </c>
      <c r="F259" t="s">
        <v>31</v>
      </c>
      <c r="G259" t="s">
        <v>14</v>
      </c>
      <c r="H259" t="s">
        <v>15</v>
      </c>
      <c r="I259">
        <v>0</v>
      </c>
      <c r="J259" t="s">
        <v>16</v>
      </c>
      <c r="K259" t="s">
        <v>17</v>
      </c>
      <c r="L259">
        <v>36</v>
      </c>
      <c r="M259" t="s">
        <v>15</v>
      </c>
    </row>
    <row r="260" spans="1:13" x14ac:dyDescent="0.25">
      <c r="A260">
        <v>14193</v>
      </c>
      <c r="B260" t="s">
        <v>35</v>
      </c>
      <c r="C260" t="s">
        <v>33</v>
      </c>
      <c r="D260" s="32">
        <v>100000</v>
      </c>
      <c r="E260">
        <v>3</v>
      </c>
      <c r="F260" t="s">
        <v>19</v>
      </c>
      <c r="G260" t="s">
        <v>28</v>
      </c>
      <c r="H260" t="s">
        <v>15</v>
      </c>
      <c r="I260">
        <v>4</v>
      </c>
      <c r="J260" t="s">
        <v>30</v>
      </c>
      <c r="K260" t="s">
        <v>17</v>
      </c>
      <c r="L260">
        <v>56</v>
      </c>
      <c r="M260" t="s">
        <v>18</v>
      </c>
    </row>
    <row r="261" spans="1:13" x14ac:dyDescent="0.25">
      <c r="A261">
        <v>12705</v>
      </c>
      <c r="B261" t="s">
        <v>34</v>
      </c>
      <c r="C261" t="s">
        <v>34</v>
      </c>
      <c r="D261" s="32">
        <v>150000</v>
      </c>
      <c r="E261">
        <v>0</v>
      </c>
      <c r="F261" t="s">
        <v>13</v>
      </c>
      <c r="G261" t="s">
        <v>28</v>
      </c>
      <c r="H261" t="s">
        <v>15</v>
      </c>
      <c r="I261">
        <v>4</v>
      </c>
      <c r="J261" t="s">
        <v>16</v>
      </c>
      <c r="K261" t="s">
        <v>24</v>
      </c>
      <c r="L261">
        <v>37</v>
      </c>
      <c r="M261" t="s">
        <v>15</v>
      </c>
    </row>
    <row r="262" spans="1:13" x14ac:dyDescent="0.25">
      <c r="A262">
        <v>22672</v>
      </c>
      <c r="B262" t="s">
        <v>35</v>
      </c>
      <c r="C262" t="s">
        <v>33</v>
      </c>
      <c r="D262" s="32">
        <v>30000</v>
      </c>
      <c r="E262">
        <v>2</v>
      </c>
      <c r="F262" t="s">
        <v>19</v>
      </c>
      <c r="G262" t="s">
        <v>20</v>
      </c>
      <c r="H262" t="s">
        <v>15</v>
      </c>
      <c r="I262">
        <v>0</v>
      </c>
      <c r="J262" t="s">
        <v>16</v>
      </c>
      <c r="K262" t="s">
        <v>17</v>
      </c>
      <c r="L262">
        <v>43</v>
      </c>
      <c r="M262" t="s">
        <v>18</v>
      </c>
    </row>
    <row r="263" spans="1:13" x14ac:dyDescent="0.25">
      <c r="A263">
        <v>26219</v>
      </c>
      <c r="B263" t="s">
        <v>34</v>
      </c>
      <c r="C263" t="s">
        <v>33</v>
      </c>
      <c r="D263" s="32">
        <v>40000</v>
      </c>
      <c r="E263">
        <v>1</v>
      </c>
      <c r="F263" t="s">
        <v>13</v>
      </c>
      <c r="G263" t="s">
        <v>14</v>
      </c>
      <c r="H263" t="s">
        <v>15</v>
      </c>
      <c r="I263">
        <v>1</v>
      </c>
      <c r="J263" t="s">
        <v>26</v>
      </c>
      <c r="K263" t="s">
        <v>17</v>
      </c>
      <c r="L263">
        <v>33</v>
      </c>
      <c r="M263" t="s">
        <v>15</v>
      </c>
    </row>
    <row r="264" spans="1:13" x14ac:dyDescent="0.25">
      <c r="A264">
        <v>28468</v>
      </c>
      <c r="B264" t="s">
        <v>34</v>
      </c>
      <c r="C264" t="s">
        <v>33</v>
      </c>
      <c r="D264" s="32">
        <v>10000</v>
      </c>
      <c r="E264">
        <v>2</v>
      </c>
      <c r="F264" t="s">
        <v>19</v>
      </c>
      <c r="G264" t="s">
        <v>25</v>
      </c>
      <c r="H264" t="s">
        <v>15</v>
      </c>
      <c r="I264">
        <v>0</v>
      </c>
      <c r="J264" t="s">
        <v>26</v>
      </c>
      <c r="K264" t="s">
        <v>17</v>
      </c>
      <c r="L264">
        <v>51</v>
      </c>
      <c r="M264" t="s">
        <v>18</v>
      </c>
    </row>
    <row r="265" spans="1:13" x14ac:dyDescent="0.25">
      <c r="A265">
        <v>23419</v>
      </c>
      <c r="B265" t="s">
        <v>35</v>
      </c>
      <c r="C265" t="s">
        <v>33</v>
      </c>
      <c r="D265" s="32">
        <v>70000</v>
      </c>
      <c r="E265">
        <v>5</v>
      </c>
      <c r="F265" t="s">
        <v>13</v>
      </c>
      <c r="G265" t="s">
        <v>21</v>
      </c>
      <c r="H265" t="s">
        <v>15</v>
      </c>
      <c r="I265">
        <v>3</v>
      </c>
      <c r="J265" t="s">
        <v>30</v>
      </c>
      <c r="K265" t="s">
        <v>24</v>
      </c>
      <c r="L265">
        <v>39</v>
      </c>
      <c r="M265" t="s">
        <v>18</v>
      </c>
    </row>
    <row r="266" spans="1:13" x14ac:dyDescent="0.25">
      <c r="A266">
        <v>17964</v>
      </c>
      <c r="B266" t="s">
        <v>34</v>
      </c>
      <c r="C266" t="s">
        <v>34</v>
      </c>
      <c r="D266" s="32">
        <v>40000</v>
      </c>
      <c r="E266">
        <v>0</v>
      </c>
      <c r="F266" t="s">
        <v>31</v>
      </c>
      <c r="G266" t="s">
        <v>20</v>
      </c>
      <c r="H266" t="s">
        <v>15</v>
      </c>
      <c r="I266">
        <v>0</v>
      </c>
      <c r="J266" t="s">
        <v>16</v>
      </c>
      <c r="K266" t="s">
        <v>17</v>
      </c>
      <c r="L266">
        <v>37</v>
      </c>
      <c r="M266" t="s">
        <v>15</v>
      </c>
    </row>
    <row r="267" spans="1:13" x14ac:dyDescent="0.25">
      <c r="A267">
        <v>20919</v>
      </c>
      <c r="B267" t="s">
        <v>35</v>
      </c>
      <c r="C267" t="s">
        <v>33</v>
      </c>
      <c r="D267" s="32">
        <v>30000</v>
      </c>
      <c r="E267">
        <v>2</v>
      </c>
      <c r="F267" t="s">
        <v>19</v>
      </c>
      <c r="G267" t="s">
        <v>20</v>
      </c>
      <c r="H267" t="s">
        <v>15</v>
      </c>
      <c r="I267">
        <v>2</v>
      </c>
      <c r="J267" t="s">
        <v>16</v>
      </c>
      <c r="K267" t="s">
        <v>17</v>
      </c>
      <c r="L267">
        <v>42</v>
      </c>
      <c r="M267" t="s">
        <v>18</v>
      </c>
    </row>
    <row r="268" spans="1:13" x14ac:dyDescent="0.25">
      <c r="A268">
        <v>20927</v>
      </c>
      <c r="B268" t="s">
        <v>35</v>
      </c>
      <c r="C268" t="s">
        <v>33</v>
      </c>
      <c r="D268" s="32">
        <v>20000</v>
      </c>
      <c r="E268">
        <v>5</v>
      </c>
      <c r="F268" t="s">
        <v>27</v>
      </c>
      <c r="G268" t="s">
        <v>25</v>
      </c>
      <c r="H268" t="s">
        <v>15</v>
      </c>
      <c r="I268">
        <v>2</v>
      </c>
      <c r="J268" t="s">
        <v>16</v>
      </c>
      <c r="K268" t="s">
        <v>17</v>
      </c>
      <c r="L268">
        <v>27</v>
      </c>
      <c r="M268" t="s">
        <v>18</v>
      </c>
    </row>
    <row r="269" spans="1:13" x14ac:dyDescent="0.25">
      <c r="A269">
        <v>13133</v>
      </c>
      <c r="B269" t="s">
        <v>35</v>
      </c>
      <c r="C269" t="s">
        <v>34</v>
      </c>
      <c r="D269" s="32">
        <v>100000</v>
      </c>
      <c r="E269">
        <v>5</v>
      </c>
      <c r="F269" t="s">
        <v>13</v>
      </c>
      <c r="G269" t="s">
        <v>21</v>
      </c>
      <c r="H269" t="s">
        <v>15</v>
      </c>
      <c r="I269">
        <v>1</v>
      </c>
      <c r="J269" t="s">
        <v>23</v>
      </c>
      <c r="K269" t="s">
        <v>24</v>
      </c>
      <c r="L269">
        <v>47</v>
      </c>
      <c r="M269" t="s">
        <v>15</v>
      </c>
    </row>
    <row r="270" spans="1:13" x14ac:dyDescent="0.25">
      <c r="A270">
        <v>19626</v>
      </c>
      <c r="B270" t="s">
        <v>34</v>
      </c>
      <c r="C270" t="s">
        <v>34</v>
      </c>
      <c r="D270" s="32">
        <v>70000</v>
      </c>
      <c r="E270">
        <v>5</v>
      </c>
      <c r="F270" t="s">
        <v>19</v>
      </c>
      <c r="G270" t="s">
        <v>14</v>
      </c>
      <c r="H270" t="s">
        <v>15</v>
      </c>
      <c r="I270">
        <v>3</v>
      </c>
      <c r="J270" t="s">
        <v>23</v>
      </c>
      <c r="K270" t="s">
        <v>24</v>
      </c>
      <c r="L270">
        <v>45</v>
      </c>
      <c r="M270" t="s">
        <v>18</v>
      </c>
    </row>
    <row r="271" spans="1:13" x14ac:dyDescent="0.25">
      <c r="A271">
        <v>21039</v>
      </c>
      <c r="B271" t="s">
        <v>35</v>
      </c>
      <c r="C271" t="s">
        <v>33</v>
      </c>
      <c r="D271" s="32">
        <v>50000</v>
      </c>
      <c r="E271">
        <v>0</v>
      </c>
      <c r="F271" t="s">
        <v>31</v>
      </c>
      <c r="G271" t="s">
        <v>14</v>
      </c>
      <c r="H271" t="s">
        <v>18</v>
      </c>
      <c r="I271">
        <v>0</v>
      </c>
      <c r="J271" t="s">
        <v>16</v>
      </c>
      <c r="K271" t="s">
        <v>17</v>
      </c>
      <c r="L271">
        <v>37</v>
      </c>
      <c r="M271" t="s">
        <v>15</v>
      </c>
    </row>
    <row r="272" spans="1:13" x14ac:dyDescent="0.25">
      <c r="A272">
        <v>12231</v>
      </c>
      <c r="B272" t="s">
        <v>35</v>
      </c>
      <c r="C272" t="s">
        <v>33</v>
      </c>
      <c r="D272" s="32">
        <v>10000</v>
      </c>
      <c r="E272">
        <v>2</v>
      </c>
      <c r="F272" t="s">
        <v>19</v>
      </c>
      <c r="G272" t="s">
        <v>25</v>
      </c>
      <c r="H272" t="s">
        <v>15</v>
      </c>
      <c r="I272">
        <v>0</v>
      </c>
      <c r="J272" t="s">
        <v>16</v>
      </c>
      <c r="K272" t="s">
        <v>17</v>
      </c>
      <c r="L272">
        <v>51</v>
      </c>
      <c r="M272" t="s">
        <v>15</v>
      </c>
    </row>
    <row r="273" spans="1:13" x14ac:dyDescent="0.25">
      <c r="A273">
        <v>25665</v>
      </c>
      <c r="B273" t="s">
        <v>35</v>
      </c>
      <c r="C273" t="s">
        <v>33</v>
      </c>
      <c r="D273" s="32">
        <v>20000</v>
      </c>
      <c r="E273">
        <v>0</v>
      </c>
      <c r="F273" t="s">
        <v>27</v>
      </c>
      <c r="G273" t="s">
        <v>25</v>
      </c>
      <c r="H273" t="s">
        <v>18</v>
      </c>
      <c r="I273">
        <v>1</v>
      </c>
      <c r="J273" t="s">
        <v>26</v>
      </c>
      <c r="K273" t="s">
        <v>17</v>
      </c>
      <c r="L273">
        <v>28</v>
      </c>
      <c r="M273" t="s">
        <v>18</v>
      </c>
    </row>
    <row r="274" spans="1:13" x14ac:dyDescent="0.25">
      <c r="A274">
        <v>24061</v>
      </c>
      <c r="B274" t="s">
        <v>34</v>
      </c>
      <c r="C274" t="s">
        <v>34</v>
      </c>
      <c r="D274" s="32">
        <v>10000</v>
      </c>
      <c r="E274">
        <v>4</v>
      </c>
      <c r="F274" t="s">
        <v>29</v>
      </c>
      <c r="G274" t="s">
        <v>25</v>
      </c>
      <c r="H274" t="s">
        <v>15</v>
      </c>
      <c r="I274">
        <v>1</v>
      </c>
      <c r="J274" t="s">
        <v>16</v>
      </c>
      <c r="K274" t="s">
        <v>17</v>
      </c>
      <c r="L274">
        <v>40</v>
      </c>
      <c r="M274" t="s">
        <v>15</v>
      </c>
    </row>
    <row r="275" spans="1:13" x14ac:dyDescent="0.25">
      <c r="A275">
        <v>26879</v>
      </c>
      <c r="B275" t="s">
        <v>35</v>
      </c>
      <c r="C275" t="s">
        <v>33</v>
      </c>
      <c r="D275" s="32">
        <v>20000</v>
      </c>
      <c r="E275">
        <v>0</v>
      </c>
      <c r="F275" t="s">
        <v>27</v>
      </c>
      <c r="G275" t="s">
        <v>25</v>
      </c>
      <c r="H275" t="s">
        <v>18</v>
      </c>
      <c r="I275">
        <v>1</v>
      </c>
      <c r="J275" t="s">
        <v>22</v>
      </c>
      <c r="K275" t="s">
        <v>17</v>
      </c>
      <c r="L275">
        <v>30</v>
      </c>
      <c r="M275" t="s">
        <v>18</v>
      </c>
    </row>
    <row r="276" spans="1:13" x14ac:dyDescent="0.25">
      <c r="A276">
        <v>12284</v>
      </c>
      <c r="B276" t="s">
        <v>34</v>
      </c>
      <c r="C276" t="s">
        <v>33</v>
      </c>
      <c r="D276" s="32">
        <v>30000</v>
      </c>
      <c r="E276">
        <v>0</v>
      </c>
      <c r="F276" t="s">
        <v>13</v>
      </c>
      <c r="G276" t="s">
        <v>20</v>
      </c>
      <c r="H276" t="s">
        <v>18</v>
      </c>
      <c r="I276">
        <v>0</v>
      </c>
      <c r="J276" t="s">
        <v>16</v>
      </c>
      <c r="K276" t="s">
        <v>17</v>
      </c>
      <c r="L276">
        <v>36</v>
      </c>
      <c r="M276" t="s">
        <v>15</v>
      </c>
    </row>
    <row r="277" spans="1:13" x14ac:dyDescent="0.25">
      <c r="A277">
        <v>26654</v>
      </c>
      <c r="B277" t="s">
        <v>34</v>
      </c>
      <c r="C277" t="s">
        <v>33</v>
      </c>
      <c r="D277" s="32">
        <v>90000</v>
      </c>
      <c r="E277">
        <v>1</v>
      </c>
      <c r="F277" t="s">
        <v>31</v>
      </c>
      <c r="G277" t="s">
        <v>28</v>
      </c>
      <c r="H277" t="s">
        <v>15</v>
      </c>
      <c r="I277">
        <v>0</v>
      </c>
      <c r="J277" t="s">
        <v>16</v>
      </c>
      <c r="K277" t="s">
        <v>24</v>
      </c>
      <c r="L277">
        <v>37</v>
      </c>
      <c r="M277" t="s">
        <v>15</v>
      </c>
    </row>
    <row r="278" spans="1:13" x14ac:dyDescent="0.25">
      <c r="A278">
        <v>14545</v>
      </c>
      <c r="B278" t="s">
        <v>34</v>
      </c>
      <c r="C278" t="s">
        <v>33</v>
      </c>
      <c r="D278" s="32">
        <v>10000</v>
      </c>
      <c r="E278">
        <v>2</v>
      </c>
      <c r="F278" t="s">
        <v>19</v>
      </c>
      <c r="G278" t="s">
        <v>25</v>
      </c>
      <c r="H278" t="s">
        <v>15</v>
      </c>
      <c r="I278">
        <v>0</v>
      </c>
      <c r="J278" t="s">
        <v>26</v>
      </c>
      <c r="K278" t="s">
        <v>17</v>
      </c>
      <c r="L278">
        <v>49</v>
      </c>
      <c r="M278" t="s">
        <v>18</v>
      </c>
    </row>
    <row r="279" spans="1:13" x14ac:dyDescent="0.25">
      <c r="A279">
        <v>24201</v>
      </c>
      <c r="B279" t="s">
        <v>34</v>
      </c>
      <c r="C279" t="s">
        <v>33</v>
      </c>
      <c r="D279" s="32">
        <v>10000</v>
      </c>
      <c r="E279">
        <v>2</v>
      </c>
      <c r="F279" t="s">
        <v>27</v>
      </c>
      <c r="G279" t="s">
        <v>25</v>
      </c>
      <c r="H279" t="s">
        <v>15</v>
      </c>
      <c r="I279">
        <v>0</v>
      </c>
      <c r="J279" t="s">
        <v>16</v>
      </c>
      <c r="K279" t="s">
        <v>17</v>
      </c>
      <c r="L279">
        <v>37</v>
      </c>
      <c r="M279" t="s">
        <v>15</v>
      </c>
    </row>
    <row r="280" spans="1:13" x14ac:dyDescent="0.25">
      <c r="A280">
        <v>20625</v>
      </c>
      <c r="B280" t="s">
        <v>34</v>
      </c>
      <c r="C280" t="s">
        <v>34</v>
      </c>
      <c r="D280" s="32">
        <v>100000</v>
      </c>
      <c r="E280">
        <v>0</v>
      </c>
      <c r="F280" t="s">
        <v>27</v>
      </c>
      <c r="G280" t="s">
        <v>28</v>
      </c>
      <c r="H280" t="s">
        <v>15</v>
      </c>
      <c r="I280">
        <v>3</v>
      </c>
      <c r="J280" t="s">
        <v>30</v>
      </c>
      <c r="K280" t="s">
        <v>24</v>
      </c>
      <c r="L280">
        <v>35</v>
      </c>
      <c r="M280" t="s">
        <v>15</v>
      </c>
    </row>
    <row r="281" spans="1:13" x14ac:dyDescent="0.25">
      <c r="A281">
        <v>16390</v>
      </c>
      <c r="B281" t="s">
        <v>35</v>
      </c>
      <c r="C281" t="s">
        <v>34</v>
      </c>
      <c r="D281" s="32">
        <v>30000</v>
      </c>
      <c r="E281">
        <v>1</v>
      </c>
      <c r="F281" t="s">
        <v>13</v>
      </c>
      <c r="G281" t="s">
        <v>20</v>
      </c>
      <c r="H281" t="s">
        <v>18</v>
      </c>
      <c r="I281">
        <v>0</v>
      </c>
      <c r="J281" t="s">
        <v>16</v>
      </c>
      <c r="K281" t="s">
        <v>17</v>
      </c>
      <c r="L281">
        <v>38</v>
      </c>
      <c r="M281" t="s">
        <v>15</v>
      </c>
    </row>
    <row r="282" spans="1:13" x14ac:dyDescent="0.25">
      <c r="A282">
        <v>14804</v>
      </c>
      <c r="B282" t="s">
        <v>35</v>
      </c>
      <c r="C282" t="s">
        <v>33</v>
      </c>
      <c r="D282" s="32">
        <v>10000</v>
      </c>
      <c r="E282">
        <v>3</v>
      </c>
      <c r="F282" t="s">
        <v>29</v>
      </c>
      <c r="G282" t="s">
        <v>25</v>
      </c>
      <c r="H282" t="s">
        <v>15</v>
      </c>
      <c r="I282">
        <v>2</v>
      </c>
      <c r="J282" t="s">
        <v>16</v>
      </c>
      <c r="K282" t="s">
        <v>17</v>
      </c>
      <c r="L282">
        <v>43</v>
      </c>
      <c r="M282" t="s">
        <v>18</v>
      </c>
    </row>
    <row r="283" spans="1:13" x14ac:dyDescent="0.25">
      <c r="A283">
        <v>12629</v>
      </c>
      <c r="B283" t="s">
        <v>35</v>
      </c>
      <c r="C283" t="s">
        <v>34</v>
      </c>
      <c r="D283" s="32">
        <v>20000</v>
      </c>
      <c r="E283">
        <v>1</v>
      </c>
      <c r="F283" t="s">
        <v>19</v>
      </c>
      <c r="G283" t="s">
        <v>25</v>
      </c>
      <c r="H283" t="s">
        <v>18</v>
      </c>
      <c r="I283">
        <v>0</v>
      </c>
      <c r="J283" t="s">
        <v>16</v>
      </c>
      <c r="K283" t="s">
        <v>17</v>
      </c>
      <c r="L283">
        <v>37</v>
      </c>
      <c r="M283" t="s">
        <v>18</v>
      </c>
    </row>
    <row r="284" spans="1:13" x14ac:dyDescent="0.25">
      <c r="A284">
        <v>14696</v>
      </c>
      <c r="B284" t="s">
        <v>35</v>
      </c>
      <c r="C284" t="s">
        <v>34</v>
      </c>
      <c r="D284" s="32">
        <v>10000</v>
      </c>
      <c r="E284">
        <v>0</v>
      </c>
      <c r="F284" t="s">
        <v>29</v>
      </c>
      <c r="G284" t="s">
        <v>25</v>
      </c>
      <c r="H284" t="s">
        <v>18</v>
      </c>
      <c r="I284">
        <v>2</v>
      </c>
      <c r="J284" t="s">
        <v>16</v>
      </c>
      <c r="K284" t="s">
        <v>17</v>
      </c>
      <c r="L284">
        <v>34</v>
      </c>
      <c r="M284" t="s">
        <v>18</v>
      </c>
    </row>
    <row r="285" spans="1:13" x14ac:dyDescent="0.25">
      <c r="A285">
        <v>22005</v>
      </c>
      <c r="B285" t="s">
        <v>34</v>
      </c>
      <c r="C285" t="s">
        <v>33</v>
      </c>
      <c r="D285" s="32">
        <v>70000</v>
      </c>
      <c r="E285">
        <v>5</v>
      </c>
      <c r="F285" t="s">
        <v>19</v>
      </c>
      <c r="G285" t="s">
        <v>14</v>
      </c>
      <c r="H285" t="s">
        <v>18</v>
      </c>
      <c r="I285">
        <v>3</v>
      </c>
      <c r="J285" t="s">
        <v>23</v>
      </c>
      <c r="K285" t="s">
        <v>24</v>
      </c>
      <c r="L285">
        <v>46</v>
      </c>
      <c r="M285" t="s">
        <v>18</v>
      </c>
    </row>
    <row r="286" spans="1:13" x14ac:dyDescent="0.25">
      <c r="A286">
        <v>14544</v>
      </c>
      <c r="B286" t="s">
        <v>35</v>
      </c>
      <c r="C286" t="s">
        <v>34</v>
      </c>
      <c r="D286" s="32">
        <v>10000</v>
      </c>
      <c r="E286">
        <v>1</v>
      </c>
      <c r="F286" t="s">
        <v>19</v>
      </c>
      <c r="G286" t="s">
        <v>25</v>
      </c>
      <c r="H286" t="s">
        <v>15</v>
      </c>
      <c r="I286">
        <v>0</v>
      </c>
      <c r="J286" t="s">
        <v>16</v>
      </c>
      <c r="K286" t="s">
        <v>17</v>
      </c>
      <c r="L286">
        <v>49</v>
      </c>
      <c r="M286" t="s">
        <v>18</v>
      </c>
    </row>
    <row r="287" spans="1:13" x14ac:dyDescent="0.25">
      <c r="A287">
        <v>14312</v>
      </c>
      <c r="B287" t="s">
        <v>34</v>
      </c>
      <c r="C287" t="s">
        <v>33</v>
      </c>
      <c r="D287" s="32">
        <v>60000</v>
      </c>
      <c r="E287">
        <v>1</v>
      </c>
      <c r="F287" t="s">
        <v>19</v>
      </c>
      <c r="G287" t="s">
        <v>14</v>
      </c>
      <c r="H287" t="s">
        <v>15</v>
      </c>
      <c r="I287">
        <v>1</v>
      </c>
      <c r="J287" t="s">
        <v>23</v>
      </c>
      <c r="K287" t="s">
        <v>24</v>
      </c>
      <c r="L287">
        <v>45</v>
      </c>
      <c r="M287" t="s">
        <v>18</v>
      </c>
    </row>
    <row r="288" spans="1:13" x14ac:dyDescent="0.25">
      <c r="A288">
        <v>29120</v>
      </c>
      <c r="B288" t="s">
        <v>35</v>
      </c>
      <c r="C288" t="s">
        <v>33</v>
      </c>
      <c r="D288" s="32">
        <v>100000</v>
      </c>
      <c r="E288">
        <v>1</v>
      </c>
      <c r="F288" t="s">
        <v>13</v>
      </c>
      <c r="G288" t="s">
        <v>28</v>
      </c>
      <c r="H288" t="s">
        <v>15</v>
      </c>
      <c r="I288">
        <v>4</v>
      </c>
      <c r="J288" t="s">
        <v>22</v>
      </c>
      <c r="K288" t="s">
        <v>24</v>
      </c>
      <c r="L288">
        <v>48</v>
      </c>
      <c r="M288" t="s">
        <v>18</v>
      </c>
    </row>
    <row r="289" spans="1:13" x14ac:dyDescent="0.25">
      <c r="A289">
        <v>24187</v>
      </c>
      <c r="B289" t="s">
        <v>35</v>
      </c>
      <c r="C289" t="s">
        <v>33</v>
      </c>
      <c r="D289" s="32">
        <v>30000</v>
      </c>
      <c r="E289">
        <v>3</v>
      </c>
      <c r="F289" t="s">
        <v>31</v>
      </c>
      <c r="G289" t="s">
        <v>20</v>
      </c>
      <c r="H289" t="s">
        <v>18</v>
      </c>
      <c r="I289">
        <v>0</v>
      </c>
      <c r="J289" t="s">
        <v>16</v>
      </c>
      <c r="K289" t="s">
        <v>17</v>
      </c>
      <c r="L289">
        <v>46</v>
      </c>
      <c r="M289" t="s">
        <v>15</v>
      </c>
    </row>
    <row r="290" spans="1:13" x14ac:dyDescent="0.25">
      <c r="A290">
        <v>15758</v>
      </c>
      <c r="B290" t="s">
        <v>34</v>
      </c>
      <c r="C290" t="s">
        <v>34</v>
      </c>
      <c r="D290" s="32">
        <v>130000</v>
      </c>
      <c r="E290">
        <v>0</v>
      </c>
      <c r="F290" t="s">
        <v>31</v>
      </c>
      <c r="G290" t="s">
        <v>28</v>
      </c>
      <c r="H290" t="s">
        <v>15</v>
      </c>
      <c r="I290">
        <v>0</v>
      </c>
      <c r="J290" t="s">
        <v>23</v>
      </c>
      <c r="K290" t="s">
        <v>24</v>
      </c>
      <c r="L290">
        <v>48</v>
      </c>
      <c r="M290" t="s">
        <v>18</v>
      </c>
    </row>
    <row r="291" spans="1:13" x14ac:dyDescent="0.25">
      <c r="A291">
        <v>29094</v>
      </c>
      <c r="B291" t="s">
        <v>34</v>
      </c>
      <c r="C291" t="s">
        <v>34</v>
      </c>
      <c r="D291" s="32">
        <v>30000</v>
      </c>
      <c r="E291">
        <v>3</v>
      </c>
      <c r="F291" t="s">
        <v>27</v>
      </c>
      <c r="G291" t="s">
        <v>14</v>
      </c>
      <c r="H291" t="s">
        <v>15</v>
      </c>
      <c r="I291">
        <v>2</v>
      </c>
      <c r="J291" t="s">
        <v>23</v>
      </c>
      <c r="K291" t="s">
        <v>24</v>
      </c>
      <c r="L291">
        <v>54</v>
      </c>
      <c r="M291" t="s">
        <v>15</v>
      </c>
    </row>
    <row r="292" spans="1:13" x14ac:dyDescent="0.25">
      <c r="A292">
        <v>28319</v>
      </c>
      <c r="B292" t="s">
        <v>35</v>
      </c>
      <c r="C292" t="s">
        <v>33</v>
      </c>
      <c r="D292" s="32">
        <v>60000</v>
      </c>
      <c r="E292">
        <v>1</v>
      </c>
      <c r="F292" t="s">
        <v>19</v>
      </c>
      <c r="G292" t="s">
        <v>14</v>
      </c>
      <c r="H292" t="s">
        <v>18</v>
      </c>
      <c r="I292">
        <v>1</v>
      </c>
      <c r="J292" t="s">
        <v>16</v>
      </c>
      <c r="K292" t="s">
        <v>24</v>
      </c>
      <c r="L292">
        <v>46</v>
      </c>
      <c r="M292" t="s">
        <v>15</v>
      </c>
    </row>
    <row r="293" spans="1:13" x14ac:dyDescent="0.25">
      <c r="A293">
        <v>16406</v>
      </c>
      <c r="B293" t="s">
        <v>34</v>
      </c>
      <c r="C293" t="s">
        <v>34</v>
      </c>
      <c r="D293" s="32">
        <v>40000</v>
      </c>
      <c r="E293">
        <v>0</v>
      </c>
      <c r="F293" t="s">
        <v>13</v>
      </c>
      <c r="G293" t="s">
        <v>20</v>
      </c>
      <c r="H293" t="s">
        <v>18</v>
      </c>
      <c r="I293">
        <v>0</v>
      </c>
      <c r="J293" t="s">
        <v>16</v>
      </c>
      <c r="K293" t="s">
        <v>17</v>
      </c>
      <c r="L293">
        <v>38</v>
      </c>
      <c r="M293" t="s">
        <v>15</v>
      </c>
    </row>
    <row r="294" spans="1:13" x14ac:dyDescent="0.25">
      <c r="A294">
        <v>20923</v>
      </c>
      <c r="B294" t="s">
        <v>34</v>
      </c>
      <c r="C294" t="s">
        <v>33</v>
      </c>
      <c r="D294" s="32">
        <v>40000</v>
      </c>
      <c r="E294">
        <v>1</v>
      </c>
      <c r="F294" t="s">
        <v>13</v>
      </c>
      <c r="G294" t="s">
        <v>14</v>
      </c>
      <c r="H294" t="s">
        <v>15</v>
      </c>
      <c r="I294">
        <v>0</v>
      </c>
      <c r="J294" t="s">
        <v>16</v>
      </c>
      <c r="K294" t="s">
        <v>17</v>
      </c>
      <c r="L294">
        <v>42</v>
      </c>
      <c r="M294" t="s">
        <v>15</v>
      </c>
    </row>
    <row r="295" spans="1:13" x14ac:dyDescent="0.25">
      <c r="A295">
        <v>11378</v>
      </c>
      <c r="B295" t="s">
        <v>35</v>
      </c>
      <c r="C295" t="s">
        <v>33</v>
      </c>
      <c r="D295" s="32">
        <v>10000</v>
      </c>
      <c r="E295">
        <v>1</v>
      </c>
      <c r="F295" t="s">
        <v>27</v>
      </c>
      <c r="G295" t="s">
        <v>25</v>
      </c>
      <c r="H295" t="s">
        <v>18</v>
      </c>
      <c r="I295">
        <v>1</v>
      </c>
      <c r="J295" t="s">
        <v>22</v>
      </c>
      <c r="K295" t="s">
        <v>17</v>
      </c>
      <c r="L295">
        <v>46</v>
      </c>
      <c r="M295" t="s">
        <v>15</v>
      </c>
    </row>
    <row r="296" spans="1:13" x14ac:dyDescent="0.25">
      <c r="A296">
        <v>20851</v>
      </c>
      <c r="B296" t="s">
        <v>35</v>
      </c>
      <c r="C296" t="s">
        <v>34</v>
      </c>
      <c r="D296" s="32">
        <v>20000</v>
      </c>
      <c r="E296">
        <v>0</v>
      </c>
      <c r="F296" t="s">
        <v>19</v>
      </c>
      <c r="G296" t="s">
        <v>25</v>
      </c>
      <c r="H296" t="s">
        <v>18</v>
      </c>
      <c r="I296">
        <v>1</v>
      </c>
      <c r="J296" t="s">
        <v>22</v>
      </c>
      <c r="K296" t="s">
        <v>17</v>
      </c>
      <c r="L296">
        <v>36</v>
      </c>
      <c r="M296" t="s">
        <v>15</v>
      </c>
    </row>
    <row r="297" spans="1:13" x14ac:dyDescent="0.25">
      <c r="A297">
        <v>21557</v>
      </c>
      <c r="B297" t="s">
        <v>35</v>
      </c>
      <c r="C297" t="s">
        <v>33</v>
      </c>
      <c r="D297" s="32">
        <v>110000</v>
      </c>
      <c r="E297">
        <v>0</v>
      </c>
      <c r="F297" t="s">
        <v>19</v>
      </c>
      <c r="G297" t="s">
        <v>28</v>
      </c>
      <c r="H297" t="s">
        <v>15</v>
      </c>
      <c r="I297">
        <v>3</v>
      </c>
      <c r="J297" t="s">
        <v>30</v>
      </c>
      <c r="K297" t="s">
        <v>24</v>
      </c>
      <c r="L297">
        <v>32</v>
      </c>
      <c r="M297" t="s">
        <v>15</v>
      </c>
    </row>
    <row r="298" spans="1:13" x14ac:dyDescent="0.25">
      <c r="A298">
        <v>26663</v>
      </c>
      <c r="B298" t="s">
        <v>35</v>
      </c>
      <c r="C298" t="s">
        <v>33</v>
      </c>
      <c r="D298" s="32">
        <v>60000</v>
      </c>
      <c r="E298">
        <v>2</v>
      </c>
      <c r="F298" t="s">
        <v>13</v>
      </c>
      <c r="G298" t="s">
        <v>21</v>
      </c>
      <c r="H298" t="s">
        <v>18</v>
      </c>
      <c r="I298">
        <v>1</v>
      </c>
      <c r="J298" t="s">
        <v>16</v>
      </c>
      <c r="K298" t="s">
        <v>24</v>
      </c>
      <c r="L298">
        <v>39</v>
      </c>
      <c r="M298" t="s">
        <v>15</v>
      </c>
    </row>
    <row r="299" spans="1:13" x14ac:dyDescent="0.25">
      <c r="A299">
        <v>11896</v>
      </c>
      <c r="B299" t="s">
        <v>34</v>
      </c>
      <c r="C299" t="s">
        <v>34</v>
      </c>
      <c r="D299" s="32">
        <v>100000</v>
      </c>
      <c r="E299">
        <v>1</v>
      </c>
      <c r="F299" t="s">
        <v>31</v>
      </c>
      <c r="G299" t="s">
        <v>28</v>
      </c>
      <c r="H299" t="s">
        <v>15</v>
      </c>
      <c r="I299">
        <v>0</v>
      </c>
      <c r="J299" t="s">
        <v>22</v>
      </c>
      <c r="K299" t="s">
        <v>24</v>
      </c>
      <c r="L299">
        <v>36</v>
      </c>
      <c r="M299" t="s">
        <v>15</v>
      </c>
    </row>
    <row r="300" spans="1:13" x14ac:dyDescent="0.25">
      <c r="A300">
        <v>14189</v>
      </c>
      <c r="B300" t="s">
        <v>34</v>
      </c>
      <c r="C300" t="s">
        <v>33</v>
      </c>
      <c r="D300" s="32">
        <v>90000</v>
      </c>
      <c r="E300">
        <v>4</v>
      </c>
      <c r="F300" t="s">
        <v>27</v>
      </c>
      <c r="G300" t="s">
        <v>21</v>
      </c>
      <c r="H300" t="s">
        <v>18</v>
      </c>
      <c r="I300">
        <v>2</v>
      </c>
      <c r="J300" t="s">
        <v>22</v>
      </c>
      <c r="K300" t="s">
        <v>17</v>
      </c>
      <c r="L300">
        <v>54</v>
      </c>
      <c r="M300" t="s">
        <v>15</v>
      </c>
    </row>
    <row r="301" spans="1:13" x14ac:dyDescent="0.25">
      <c r="A301">
        <v>13136</v>
      </c>
      <c r="B301" t="s">
        <v>34</v>
      </c>
      <c r="C301" t="s">
        <v>33</v>
      </c>
      <c r="D301" s="32">
        <v>30000</v>
      </c>
      <c r="E301">
        <v>2</v>
      </c>
      <c r="F301" t="s">
        <v>19</v>
      </c>
      <c r="G301" t="s">
        <v>20</v>
      </c>
      <c r="H301" t="s">
        <v>18</v>
      </c>
      <c r="I301">
        <v>2</v>
      </c>
      <c r="J301" t="s">
        <v>23</v>
      </c>
      <c r="K301" t="s">
        <v>24</v>
      </c>
      <c r="L301">
        <v>69</v>
      </c>
      <c r="M301" t="s">
        <v>18</v>
      </c>
    </row>
    <row r="302" spans="1:13" x14ac:dyDescent="0.25">
      <c r="A302">
        <v>25906</v>
      </c>
      <c r="B302" t="s">
        <v>35</v>
      </c>
      <c r="C302" t="s">
        <v>33</v>
      </c>
      <c r="D302" s="32">
        <v>10000</v>
      </c>
      <c r="E302">
        <v>5</v>
      </c>
      <c r="F302" t="s">
        <v>27</v>
      </c>
      <c r="G302" t="s">
        <v>14</v>
      </c>
      <c r="H302" t="s">
        <v>18</v>
      </c>
      <c r="I302">
        <v>2</v>
      </c>
      <c r="J302" t="s">
        <v>26</v>
      </c>
      <c r="K302" t="s">
        <v>24</v>
      </c>
      <c r="L302">
        <v>62</v>
      </c>
      <c r="M302" t="s">
        <v>18</v>
      </c>
    </row>
    <row r="303" spans="1:13" x14ac:dyDescent="0.25">
      <c r="A303">
        <v>17926</v>
      </c>
      <c r="B303" t="s">
        <v>35</v>
      </c>
      <c r="C303" t="s">
        <v>33</v>
      </c>
      <c r="D303" s="32">
        <v>40000</v>
      </c>
      <c r="E303">
        <v>0</v>
      </c>
      <c r="F303" t="s">
        <v>13</v>
      </c>
      <c r="G303" t="s">
        <v>20</v>
      </c>
      <c r="H303" t="s">
        <v>18</v>
      </c>
      <c r="I303">
        <v>0</v>
      </c>
      <c r="J303" t="s">
        <v>16</v>
      </c>
      <c r="K303" t="s">
        <v>24</v>
      </c>
      <c r="L303">
        <v>28</v>
      </c>
      <c r="M303" t="s">
        <v>15</v>
      </c>
    </row>
    <row r="304" spans="1:13" x14ac:dyDescent="0.25">
      <c r="A304">
        <v>26928</v>
      </c>
      <c r="B304" t="s">
        <v>35</v>
      </c>
      <c r="C304" t="s">
        <v>34</v>
      </c>
      <c r="D304" s="32">
        <v>30000</v>
      </c>
      <c r="E304">
        <v>1</v>
      </c>
      <c r="F304" t="s">
        <v>13</v>
      </c>
      <c r="G304" t="s">
        <v>20</v>
      </c>
      <c r="H304" t="s">
        <v>15</v>
      </c>
      <c r="I304">
        <v>0</v>
      </c>
      <c r="J304" t="s">
        <v>16</v>
      </c>
      <c r="K304" t="s">
        <v>17</v>
      </c>
      <c r="L304">
        <v>62</v>
      </c>
      <c r="M304" t="s">
        <v>15</v>
      </c>
    </row>
    <row r="305" spans="1:13" x14ac:dyDescent="0.25">
      <c r="A305">
        <v>20897</v>
      </c>
      <c r="B305" t="s">
        <v>34</v>
      </c>
      <c r="C305" t="s">
        <v>33</v>
      </c>
      <c r="D305" s="32">
        <v>30000</v>
      </c>
      <c r="E305">
        <v>1</v>
      </c>
      <c r="F305" t="s">
        <v>13</v>
      </c>
      <c r="G305" t="s">
        <v>14</v>
      </c>
      <c r="H305" t="s">
        <v>15</v>
      </c>
      <c r="I305">
        <v>2</v>
      </c>
      <c r="J305" t="s">
        <v>16</v>
      </c>
      <c r="K305" t="s">
        <v>17</v>
      </c>
      <c r="L305">
        <v>40</v>
      </c>
      <c r="M305" t="s">
        <v>18</v>
      </c>
    </row>
    <row r="306" spans="1:13" x14ac:dyDescent="0.25">
      <c r="A306">
        <v>28207</v>
      </c>
      <c r="B306" t="s">
        <v>34</v>
      </c>
      <c r="C306" t="s">
        <v>34</v>
      </c>
      <c r="D306" s="32">
        <v>80000</v>
      </c>
      <c r="E306">
        <v>4</v>
      </c>
      <c r="F306" t="s">
        <v>31</v>
      </c>
      <c r="G306" t="s">
        <v>28</v>
      </c>
      <c r="H306" t="s">
        <v>15</v>
      </c>
      <c r="I306">
        <v>1</v>
      </c>
      <c r="J306" t="s">
        <v>16</v>
      </c>
      <c r="K306" t="s">
        <v>24</v>
      </c>
      <c r="L306">
        <v>36</v>
      </c>
      <c r="M306" t="s">
        <v>15</v>
      </c>
    </row>
    <row r="307" spans="1:13" x14ac:dyDescent="0.25">
      <c r="A307">
        <v>25923</v>
      </c>
      <c r="B307" t="s">
        <v>35</v>
      </c>
      <c r="C307" t="s">
        <v>34</v>
      </c>
      <c r="D307" s="32">
        <v>10000</v>
      </c>
      <c r="E307">
        <v>2</v>
      </c>
      <c r="F307" t="s">
        <v>29</v>
      </c>
      <c r="G307" t="s">
        <v>20</v>
      </c>
      <c r="H307" t="s">
        <v>15</v>
      </c>
      <c r="I307">
        <v>2</v>
      </c>
      <c r="J307" t="s">
        <v>23</v>
      </c>
      <c r="K307" t="s">
        <v>24</v>
      </c>
      <c r="L307">
        <v>58</v>
      </c>
      <c r="M307" t="s">
        <v>18</v>
      </c>
    </row>
    <row r="308" spans="1:13" x14ac:dyDescent="0.25">
      <c r="A308">
        <v>11000</v>
      </c>
      <c r="B308" t="s">
        <v>34</v>
      </c>
      <c r="C308" t="s">
        <v>34</v>
      </c>
      <c r="D308" s="32">
        <v>90000</v>
      </c>
      <c r="E308">
        <v>2</v>
      </c>
      <c r="F308" t="s">
        <v>13</v>
      </c>
      <c r="G308" t="s">
        <v>21</v>
      </c>
      <c r="H308" t="s">
        <v>15</v>
      </c>
      <c r="I308">
        <v>0</v>
      </c>
      <c r="J308" t="s">
        <v>26</v>
      </c>
      <c r="K308" t="s">
        <v>24</v>
      </c>
      <c r="L308">
        <v>40</v>
      </c>
      <c r="M308" t="s">
        <v>15</v>
      </c>
    </row>
    <row r="309" spans="1:13" x14ac:dyDescent="0.25">
      <c r="A309">
        <v>20974</v>
      </c>
      <c r="B309" t="s">
        <v>34</v>
      </c>
      <c r="C309" t="s">
        <v>34</v>
      </c>
      <c r="D309" s="32">
        <v>10000</v>
      </c>
      <c r="E309">
        <v>2</v>
      </c>
      <c r="F309" t="s">
        <v>13</v>
      </c>
      <c r="G309" t="s">
        <v>20</v>
      </c>
      <c r="H309" t="s">
        <v>15</v>
      </c>
      <c r="I309">
        <v>1</v>
      </c>
      <c r="J309" t="s">
        <v>16</v>
      </c>
      <c r="K309" t="s">
        <v>17</v>
      </c>
      <c r="L309">
        <v>66</v>
      </c>
      <c r="M309" t="s">
        <v>18</v>
      </c>
    </row>
    <row r="310" spans="1:13" x14ac:dyDescent="0.25">
      <c r="A310">
        <v>28758</v>
      </c>
      <c r="B310" t="s">
        <v>34</v>
      </c>
      <c r="C310" t="s">
        <v>34</v>
      </c>
      <c r="D310" s="32">
        <v>40000</v>
      </c>
      <c r="E310">
        <v>2</v>
      </c>
      <c r="F310" t="s">
        <v>19</v>
      </c>
      <c r="G310" t="s">
        <v>20</v>
      </c>
      <c r="H310" t="s">
        <v>15</v>
      </c>
      <c r="I310">
        <v>1</v>
      </c>
      <c r="J310" t="s">
        <v>26</v>
      </c>
      <c r="K310" t="s">
        <v>17</v>
      </c>
      <c r="L310">
        <v>35</v>
      </c>
      <c r="M310" t="s">
        <v>15</v>
      </c>
    </row>
    <row r="311" spans="1:13" x14ac:dyDescent="0.25">
      <c r="A311">
        <v>11381</v>
      </c>
      <c r="B311" t="s">
        <v>34</v>
      </c>
      <c r="C311" t="s">
        <v>33</v>
      </c>
      <c r="D311" s="32">
        <v>20000</v>
      </c>
      <c r="E311">
        <v>2</v>
      </c>
      <c r="F311" t="s">
        <v>19</v>
      </c>
      <c r="G311" t="s">
        <v>25</v>
      </c>
      <c r="H311" t="s">
        <v>15</v>
      </c>
      <c r="I311">
        <v>1</v>
      </c>
      <c r="J311" t="s">
        <v>22</v>
      </c>
      <c r="K311" t="s">
        <v>17</v>
      </c>
      <c r="L311">
        <v>47</v>
      </c>
      <c r="M311" t="s">
        <v>15</v>
      </c>
    </row>
    <row r="312" spans="1:13" x14ac:dyDescent="0.25">
      <c r="A312">
        <v>17522</v>
      </c>
      <c r="B312" t="s">
        <v>34</v>
      </c>
      <c r="C312" t="s">
        <v>34</v>
      </c>
      <c r="D312" s="32">
        <v>120000</v>
      </c>
      <c r="E312">
        <v>4</v>
      </c>
      <c r="F312" t="s">
        <v>13</v>
      </c>
      <c r="G312" t="s">
        <v>28</v>
      </c>
      <c r="H312" t="s">
        <v>15</v>
      </c>
      <c r="I312">
        <v>1</v>
      </c>
      <c r="J312" t="s">
        <v>22</v>
      </c>
      <c r="K312" t="s">
        <v>24</v>
      </c>
      <c r="L312">
        <v>47</v>
      </c>
      <c r="M312" t="s">
        <v>18</v>
      </c>
    </row>
    <row r="313" spans="1:13" x14ac:dyDescent="0.25">
      <c r="A313">
        <v>21207</v>
      </c>
      <c r="B313" t="s">
        <v>34</v>
      </c>
      <c r="C313" t="s">
        <v>34</v>
      </c>
      <c r="D313" s="32">
        <v>60000</v>
      </c>
      <c r="E313">
        <v>1</v>
      </c>
      <c r="F313" t="s">
        <v>19</v>
      </c>
      <c r="G313" t="s">
        <v>14</v>
      </c>
      <c r="H313" t="s">
        <v>15</v>
      </c>
      <c r="I313">
        <v>1</v>
      </c>
      <c r="J313" t="s">
        <v>23</v>
      </c>
      <c r="K313" t="s">
        <v>24</v>
      </c>
      <c r="L313">
        <v>46</v>
      </c>
      <c r="M313" t="s">
        <v>18</v>
      </c>
    </row>
    <row r="314" spans="1:13" x14ac:dyDescent="0.25">
      <c r="A314">
        <v>28102</v>
      </c>
      <c r="B314" t="s">
        <v>34</v>
      </c>
      <c r="C314" t="s">
        <v>34</v>
      </c>
      <c r="D314" s="32">
        <v>20000</v>
      </c>
      <c r="E314">
        <v>4</v>
      </c>
      <c r="F314" t="s">
        <v>27</v>
      </c>
      <c r="G314" t="s">
        <v>14</v>
      </c>
      <c r="H314" t="s">
        <v>15</v>
      </c>
      <c r="I314">
        <v>2</v>
      </c>
      <c r="J314" t="s">
        <v>23</v>
      </c>
      <c r="K314" t="s">
        <v>24</v>
      </c>
      <c r="L314">
        <v>58</v>
      </c>
      <c r="M314" t="s">
        <v>15</v>
      </c>
    </row>
    <row r="315" spans="1:13" x14ac:dyDescent="0.25">
      <c r="A315">
        <v>23105</v>
      </c>
      <c r="B315" t="s">
        <v>35</v>
      </c>
      <c r="C315" t="s">
        <v>34</v>
      </c>
      <c r="D315" s="32">
        <v>40000</v>
      </c>
      <c r="E315">
        <v>3</v>
      </c>
      <c r="F315" t="s">
        <v>29</v>
      </c>
      <c r="G315" t="s">
        <v>20</v>
      </c>
      <c r="H315" t="s">
        <v>18</v>
      </c>
      <c r="I315">
        <v>2</v>
      </c>
      <c r="J315" t="s">
        <v>23</v>
      </c>
      <c r="K315" t="s">
        <v>24</v>
      </c>
      <c r="L315">
        <v>52</v>
      </c>
      <c r="M315" t="s">
        <v>15</v>
      </c>
    </row>
    <row r="316" spans="1:13" x14ac:dyDescent="0.25">
      <c r="A316">
        <v>18740</v>
      </c>
      <c r="B316" t="s">
        <v>34</v>
      </c>
      <c r="C316" t="s">
        <v>34</v>
      </c>
      <c r="D316" s="32">
        <v>80000</v>
      </c>
      <c r="E316">
        <v>5</v>
      </c>
      <c r="F316" t="s">
        <v>13</v>
      </c>
      <c r="G316" t="s">
        <v>21</v>
      </c>
      <c r="H316" t="s">
        <v>18</v>
      </c>
      <c r="I316">
        <v>1</v>
      </c>
      <c r="J316" t="s">
        <v>16</v>
      </c>
      <c r="K316" t="s">
        <v>24</v>
      </c>
      <c r="L316">
        <v>47</v>
      </c>
      <c r="M316" t="s">
        <v>15</v>
      </c>
    </row>
    <row r="317" spans="1:13" x14ac:dyDescent="0.25">
      <c r="A317">
        <v>21213</v>
      </c>
      <c r="B317" t="s">
        <v>35</v>
      </c>
      <c r="C317" t="s">
        <v>34</v>
      </c>
      <c r="D317" s="32">
        <v>70000</v>
      </c>
      <c r="E317">
        <v>0</v>
      </c>
      <c r="F317" t="s">
        <v>13</v>
      </c>
      <c r="G317" t="s">
        <v>21</v>
      </c>
      <c r="H317" t="s">
        <v>18</v>
      </c>
      <c r="I317">
        <v>1</v>
      </c>
      <c r="J317" t="s">
        <v>23</v>
      </c>
      <c r="K317" t="s">
        <v>24</v>
      </c>
      <c r="L317">
        <v>41</v>
      </c>
      <c r="M317" t="s">
        <v>18</v>
      </c>
    </row>
    <row r="318" spans="1:13" x14ac:dyDescent="0.25">
      <c r="A318">
        <v>17352</v>
      </c>
      <c r="B318" t="s">
        <v>34</v>
      </c>
      <c r="C318" t="s">
        <v>34</v>
      </c>
      <c r="D318" s="32">
        <v>50000</v>
      </c>
      <c r="E318">
        <v>2</v>
      </c>
      <c r="F318" t="s">
        <v>31</v>
      </c>
      <c r="G318" t="s">
        <v>28</v>
      </c>
      <c r="H318" t="s">
        <v>15</v>
      </c>
      <c r="I318">
        <v>1</v>
      </c>
      <c r="J318" t="s">
        <v>23</v>
      </c>
      <c r="K318" t="s">
        <v>24</v>
      </c>
      <c r="L318">
        <v>64</v>
      </c>
      <c r="M318" t="s">
        <v>15</v>
      </c>
    </row>
    <row r="319" spans="1:13" x14ac:dyDescent="0.25">
      <c r="A319">
        <v>14154</v>
      </c>
      <c r="B319" t="s">
        <v>34</v>
      </c>
      <c r="C319" t="s">
        <v>34</v>
      </c>
      <c r="D319" s="32">
        <v>30000</v>
      </c>
      <c r="E319">
        <v>0</v>
      </c>
      <c r="F319" t="s">
        <v>13</v>
      </c>
      <c r="G319" t="s">
        <v>20</v>
      </c>
      <c r="H319" t="s">
        <v>15</v>
      </c>
      <c r="I319">
        <v>0</v>
      </c>
      <c r="J319" t="s">
        <v>16</v>
      </c>
      <c r="K319" t="s">
        <v>17</v>
      </c>
      <c r="L319">
        <v>35</v>
      </c>
      <c r="M319" t="s">
        <v>15</v>
      </c>
    </row>
    <row r="320" spans="1:13" x14ac:dyDescent="0.25">
      <c r="A320">
        <v>19066</v>
      </c>
      <c r="B320" t="s">
        <v>34</v>
      </c>
      <c r="C320" t="s">
        <v>34</v>
      </c>
      <c r="D320" s="32">
        <v>130000</v>
      </c>
      <c r="E320">
        <v>4</v>
      </c>
      <c r="F320" t="s">
        <v>19</v>
      </c>
      <c r="G320" t="s">
        <v>21</v>
      </c>
      <c r="H320" t="s">
        <v>18</v>
      </c>
      <c r="I320">
        <v>3</v>
      </c>
      <c r="J320" t="s">
        <v>30</v>
      </c>
      <c r="K320" t="s">
        <v>17</v>
      </c>
      <c r="L320">
        <v>54</v>
      </c>
      <c r="M320" t="s">
        <v>18</v>
      </c>
    </row>
    <row r="321" spans="1:13" x14ac:dyDescent="0.25">
      <c r="A321">
        <v>11386</v>
      </c>
      <c r="B321" t="s">
        <v>34</v>
      </c>
      <c r="C321" t="s">
        <v>33</v>
      </c>
      <c r="D321" s="32">
        <v>30000</v>
      </c>
      <c r="E321">
        <v>3</v>
      </c>
      <c r="F321" t="s">
        <v>13</v>
      </c>
      <c r="G321" t="s">
        <v>20</v>
      </c>
      <c r="H321" t="s">
        <v>15</v>
      </c>
      <c r="I321">
        <v>0</v>
      </c>
      <c r="J321" t="s">
        <v>16</v>
      </c>
      <c r="K321" t="s">
        <v>17</v>
      </c>
      <c r="L321">
        <v>45</v>
      </c>
      <c r="M321" t="s">
        <v>18</v>
      </c>
    </row>
    <row r="322" spans="1:13" x14ac:dyDescent="0.25">
      <c r="A322">
        <v>20228</v>
      </c>
      <c r="B322" t="s">
        <v>34</v>
      </c>
      <c r="C322" t="s">
        <v>34</v>
      </c>
      <c r="D322" s="32">
        <v>100000</v>
      </c>
      <c r="E322">
        <v>0</v>
      </c>
      <c r="F322" t="s">
        <v>31</v>
      </c>
      <c r="G322" t="s">
        <v>28</v>
      </c>
      <c r="H322" t="s">
        <v>15</v>
      </c>
      <c r="I322">
        <v>0</v>
      </c>
      <c r="J322" t="s">
        <v>22</v>
      </c>
      <c r="K322" t="s">
        <v>24</v>
      </c>
      <c r="L322">
        <v>40</v>
      </c>
      <c r="M322" t="s">
        <v>15</v>
      </c>
    </row>
    <row r="323" spans="1:13" x14ac:dyDescent="0.25">
      <c r="A323">
        <v>16675</v>
      </c>
      <c r="B323" t="s">
        <v>35</v>
      </c>
      <c r="C323" t="s">
        <v>33</v>
      </c>
      <c r="D323" s="32">
        <v>160000</v>
      </c>
      <c r="E323">
        <v>0</v>
      </c>
      <c r="F323" t="s">
        <v>31</v>
      </c>
      <c r="G323" t="s">
        <v>28</v>
      </c>
      <c r="H323" t="s">
        <v>18</v>
      </c>
      <c r="I323">
        <v>3</v>
      </c>
      <c r="J323" t="s">
        <v>16</v>
      </c>
      <c r="K323" t="s">
        <v>24</v>
      </c>
      <c r="L323">
        <v>47</v>
      </c>
      <c r="M323" t="s">
        <v>15</v>
      </c>
    </row>
    <row r="324" spans="1:13" x14ac:dyDescent="0.25">
      <c r="A324">
        <v>16410</v>
      </c>
      <c r="B324" t="s">
        <v>35</v>
      </c>
      <c r="C324" t="s">
        <v>33</v>
      </c>
      <c r="D324" s="32">
        <v>10000</v>
      </c>
      <c r="E324">
        <v>4</v>
      </c>
      <c r="F324" t="s">
        <v>29</v>
      </c>
      <c r="G324" t="s">
        <v>25</v>
      </c>
      <c r="H324" t="s">
        <v>15</v>
      </c>
      <c r="I324">
        <v>2</v>
      </c>
      <c r="J324" t="s">
        <v>16</v>
      </c>
      <c r="K324" t="s">
        <v>17</v>
      </c>
      <c r="L324">
        <v>41</v>
      </c>
      <c r="M324" t="s">
        <v>15</v>
      </c>
    </row>
    <row r="325" spans="1:13" x14ac:dyDescent="0.25">
      <c r="A325">
        <v>27760</v>
      </c>
      <c r="B325" t="s">
        <v>35</v>
      </c>
      <c r="C325" t="s">
        <v>33</v>
      </c>
      <c r="D325" s="32">
        <v>40000</v>
      </c>
      <c r="E325">
        <v>0</v>
      </c>
      <c r="F325" t="s">
        <v>31</v>
      </c>
      <c r="G325" t="s">
        <v>20</v>
      </c>
      <c r="H325" t="s">
        <v>18</v>
      </c>
      <c r="I325">
        <v>0</v>
      </c>
      <c r="J325" t="s">
        <v>16</v>
      </c>
      <c r="K325" t="s">
        <v>17</v>
      </c>
      <c r="L325">
        <v>37</v>
      </c>
      <c r="M325" t="s">
        <v>15</v>
      </c>
    </row>
    <row r="326" spans="1:13" x14ac:dyDescent="0.25">
      <c r="A326">
        <v>22930</v>
      </c>
      <c r="B326" t="s">
        <v>34</v>
      </c>
      <c r="C326" t="s">
        <v>34</v>
      </c>
      <c r="D326" s="32">
        <v>90000</v>
      </c>
      <c r="E326">
        <v>4</v>
      </c>
      <c r="F326" t="s">
        <v>13</v>
      </c>
      <c r="G326" t="s">
        <v>21</v>
      </c>
      <c r="H326" t="s">
        <v>15</v>
      </c>
      <c r="I326">
        <v>0</v>
      </c>
      <c r="J326" t="s">
        <v>26</v>
      </c>
      <c r="K326" t="s">
        <v>24</v>
      </c>
      <c r="L326">
        <v>38</v>
      </c>
      <c r="M326" t="s">
        <v>15</v>
      </c>
    </row>
    <row r="327" spans="1:13" x14ac:dyDescent="0.25">
      <c r="A327">
        <v>23780</v>
      </c>
      <c r="B327" t="s">
        <v>35</v>
      </c>
      <c r="C327" t="s">
        <v>34</v>
      </c>
      <c r="D327" s="32">
        <v>40000</v>
      </c>
      <c r="E327">
        <v>2</v>
      </c>
      <c r="F327" t="s">
        <v>19</v>
      </c>
      <c r="G327" t="s">
        <v>20</v>
      </c>
      <c r="H327" t="s">
        <v>18</v>
      </c>
      <c r="I327">
        <v>2</v>
      </c>
      <c r="J327" t="s">
        <v>16</v>
      </c>
      <c r="K327" t="s">
        <v>17</v>
      </c>
      <c r="L327">
        <v>36</v>
      </c>
      <c r="M327" t="s">
        <v>15</v>
      </c>
    </row>
    <row r="328" spans="1:13" x14ac:dyDescent="0.25">
      <c r="A328">
        <v>20994</v>
      </c>
      <c r="B328" t="s">
        <v>34</v>
      </c>
      <c r="C328" t="s">
        <v>33</v>
      </c>
      <c r="D328" s="32">
        <v>20000</v>
      </c>
      <c r="E328">
        <v>0</v>
      </c>
      <c r="F328" t="s">
        <v>13</v>
      </c>
      <c r="G328" t="s">
        <v>20</v>
      </c>
      <c r="H328" t="s">
        <v>18</v>
      </c>
      <c r="I328">
        <v>0</v>
      </c>
      <c r="J328" t="s">
        <v>16</v>
      </c>
      <c r="K328" t="s">
        <v>24</v>
      </c>
      <c r="L328">
        <v>26</v>
      </c>
      <c r="M328" t="s">
        <v>15</v>
      </c>
    </row>
    <row r="329" spans="1:13" x14ac:dyDescent="0.25">
      <c r="A329">
        <v>28379</v>
      </c>
      <c r="B329" t="s">
        <v>34</v>
      </c>
      <c r="C329" t="s">
        <v>34</v>
      </c>
      <c r="D329" s="32">
        <v>30000</v>
      </c>
      <c r="E329">
        <v>1</v>
      </c>
      <c r="F329" t="s">
        <v>13</v>
      </c>
      <c r="G329" t="s">
        <v>14</v>
      </c>
      <c r="H329" t="s">
        <v>15</v>
      </c>
      <c r="I329">
        <v>2</v>
      </c>
      <c r="J329" t="s">
        <v>16</v>
      </c>
      <c r="K329" t="s">
        <v>17</v>
      </c>
      <c r="L329">
        <v>40</v>
      </c>
      <c r="M329" t="s">
        <v>18</v>
      </c>
    </row>
    <row r="330" spans="1:13" x14ac:dyDescent="0.25">
      <c r="A330">
        <v>14865</v>
      </c>
      <c r="B330" t="s">
        <v>35</v>
      </c>
      <c r="C330" t="s">
        <v>34</v>
      </c>
      <c r="D330" s="32">
        <v>40000</v>
      </c>
      <c r="E330">
        <v>2</v>
      </c>
      <c r="F330" t="s">
        <v>19</v>
      </c>
      <c r="G330" t="s">
        <v>20</v>
      </c>
      <c r="H330" t="s">
        <v>15</v>
      </c>
      <c r="I330">
        <v>2</v>
      </c>
      <c r="J330" t="s">
        <v>26</v>
      </c>
      <c r="K330" t="s">
        <v>17</v>
      </c>
      <c r="L330">
        <v>36</v>
      </c>
      <c r="M330" t="s">
        <v>18</v>
      </c>
    </row>
    <row r="331" spans="1:13" x14ac:dyDescent="0.25">
      <c r="A331">
        <v>12663</v>
      </c>
      <c r="B331" t="s">
        <v>34</v>
      </c>
      <c r="C331" t="s">
        <v>33</v>
      </c>
      <c r="D331" s="32">
        <v>90000</v>
      </c>
      <c r="E331">
        <v>5</v>
      </c>
      <c r="F331" t="s">
        <v>29</v>
      </c>
      <c r="G331" t="s">
        <v>14</v>
      </c>
      <c r="H331" t="s">
        <v>15</v>
      </c>
      <c r="I331">
        <v>2</v>
      </c>
      <c r="J331" t="s">
        <v>30</v>
      </c>
      <c r="K331" t="s">
        <v>17</v>
      </c>
      <c r="L331">
        <v>59</v>
      </c>
      <c r="M331" t="s">
        <v>18</v>
      </c>
    </row>
    <row r="332" spans="1:13" x14ac:dyDescent="0.25">
      <c r="A332">
        <v>24898</v>
      </c>
      <c r="B332" t="s">
        <v>35</v>
      </c>
      <c r="C332" t="s">
        <v>33</v>
      </c>
      <c r="D332" s="32">
        <v>80000</v>
      </c>
      <c r="E332">
        <v>0</v>
      </c>
      <c r="F332" t="s">
        <v>13</v>
      </c>
      <c r="G332" t="s">
        <v>21</v>
      </c>
      <c r="H332" t="s">
        <v>15</v>
      </c>
      <c r="I332">
        <v>3</v>
      </c>
      <c r="J332" t="s">
        <v>30</v>
      </c>
      <c r="K332" t="s">
        <v>24</v>
      </c>
      <c r="L332">
        <v>32</v>
      </c>
      <c r="M332" t="s">
        <v>18</v>
      </c>
    </row>
    <row r="333" spans="1:13" x14ac:dyDescent="0.25">
      <c r="A333">
        <v>19508</v>
      </c>
      <c r="B333" t="s">
        <v>34</v>
      </c>
      <c r="C333" t="s">
        <v>34</v>
      </c>
      <c r="D333" s="32">
        <v>10000</v>
      </c>
      <c r="E333">
        <v>0</v>
      </c>
      <c r="F333" t="s">
        <v>29</v>
      </c>
      <c r="G333" t="s">
        <v>25</v>
      </c>
      <c r="H333" t="s">
        <v>18</v>
      </c>
      <c r="I333">
        <v>2</v>
      </c>
      <c r="J333" t="s">
        <v>16</v>
      </c>
      <c r="K333" t="s">
        <v>17</v>
      </c>
      <c r="L333">
        <v>30</v>
      </c>
      <c r="M333" t="s">
        <v>18</v>
      </c>
    </row>
    <row r="334" spans="1:13" x14ac:dyDescent="0.25">
      <c r="A334">
        <v>11489</v>
      </c>
      <c r="B334" t="s">
        <v>35</v>
      </c>
      <c r="C334" t="s">
        <v>33</v>
      </c>
      <c r="D334" s="32">
        <v>20000</v>
      </c>
      <c r="E334">
        <v>0</v>
      </c>
      <c r="F334" t="s">
        <v>29</v>
      </c>
      <c r="G334" t="s">
        <v>25</v>
      </c>
      <c r="H334" t="s">
        <v>18</v>
      </c>
      <c r="I334">
        <v>2</v>
      </c>
      <c r="J334" t="s">
        <v>26</v>
      </c>
      <c r="K334" t="s">
        <v>17</v>
      </c>
      <c r="L334">
        <v>35</v>
      </c>
      <c r="M334" t="s">
        <v>15</v>
      </c>
    </row>
    <row r="335" spans="1:13" x14ac:dyDescent="0.25">
      <c r="A335">
        <v>18160</v>
      </c>
      <c r="B335" t="s">
        <v>34</v>
      </c>
      <c r="C335" t="s">
        <v>34</v>
      </c>
      <c r="D335" s="32">
        <v>130000</v>
      </c>
      <c r="E335">
        <v>3</v>
      </c>
      <c r="F335" t="s">
        <v>27</v>
      </c>
      <c r="G335" t="s">
        <v>21</v>
      </c>
      <c r="H335" t="s">
        <v>15</v>
      </c>
      <c r="I335">
        <v>4</v>
      </c>
      <c r="J335" t="s">
        <v>23</v>
      </c>
      <c r="K335" t="s">
        <v>17</v>
      </c>
      <c r="L335">
        <v>51</v>
      </c>
      <c r="M335" t="s">
        <v>15</v>
      </c>
    </row>
    <row r="336" spans="1:13" x14ac:dyDescent="0.25">
      <c r="A336">
        <v>25241</v>
      </c>
      <c r="B336" t="s">
        <v>34</v>
      </c>
      <c r="C336" t="s">
        <v>34</v>
      </c>
      <c r="D336" s="32">
        <v>90000</v>
      </c>
      <c r="E336">
        <v>2</v>
      </c>
      <c r="F336" t="s">
        <v>13</v>
      </c>
      <c r="G336" t="s">
        <v>21</v>
      </c>
      <c r="H336" t="s">
        <v>15</v>
      </c>
      <c r="I336">
        <v>1</v>
      </c>
      <c r="J336" t="s">
        <v>23</v>
      </c>
      <c r="K336" t="s">
        <v>24</v>
      </c>
      <c r="L336">
        <v>47</v>
      </c>
      <c r="M336" t="s">
        <v>18</v>
      </c>
    </row>
    <row r="337" spans="1:13" x14ac:dyDescent="0.25">
      <c r="A337">
        <v>24369</v>
      </c>
      <c r="B337" t="s">
        <v>34</v>
      </c>
      <c r="C337" t="s">
        <v>34</v>
      </c>
      <c r="D337" s="32">
        <v>80000</v>
      </c>
      <c r="E337">
        <v>5</v>
      </c>
      <c r="F337" t="s">
        <v>31</v>
      </c>
      <c r="G337" t="s">
        <v>28</v>
      </c>
      <c r="H337" t="s">
        <v>18</v>
      </c>
      <c r="I337">
        <v>2</v>
      </c>
      <c r="J337" t="s">
        <v>16</v>
      </c>
      <c r="K337" t="s">
        <v>24</v>
      </c>
      <c r="L337">
        <v>39</v>
      </c>
      <c r="M337" t="s">
        <v>18</v>
      </c>
    </row>
    <row r="338" spans="1:13" x14ac:dyDescent="0.25">
      <c r="A338">
        <v>27165</v>
      </c>
      <c r="B338" t="s">
        <v>35</v>
      </c>
      <c r="C338" t="s">
        <v>34</v>
      </c>
      <c r="D338" s="32">
        <v>20000</v>
      </c>
      <c r="E338">
        <v>0</v>
      </c>
      <c r="F338" t="s">
        <v>29</v>
      </c>
      <c r="G338" t="s">
        <v>25</v>
      </c>
      <c r="H338" t="s">
        <v>18</v>
      </c>
      <c r="I338">
        <v>2</v>
      </c>
      <c r="J338" t="s">
        <v>16</v>
      </c>
      <c r="K338" t="s">
        <v>17</v>
      </c>
      <c r="L338">
        <v>34</v>
      </c>
      <c r="M338" t="s">
        <v>18</v>
      </c>
    </row>
    <row r="339" spans="1:13" x14ac:dyDescent="0.25">
      <c r="A339">
        <v>29424</v>
      </c>
      <c r="B339" t="s">
        <v>34</v>
      </c>
      <c r="C339" t="s">
        <v>34</v>
      </c>
      <c r="D339" s="32">
        <v>10000</v>
      </c>
      <c r="E339">
        <v>0</v>
      </c>
      <c r="F339" t="s">
        <v>29</v>
      </c>
      <c r="G339" t="s">
        <v>25</v>
      </c>
      <c r="H339" t="s">
        <v>15</v>
      </c>
      <c r="I339">
        <v>2</v>
      </c>
      <c r="J339" t="s">
        <v>16</v>
      </c>
      <c r="K339" t="s">
        <v>17</v>
      </c>
      <c r="L339">
        <v>32</v>
      </c>
      <c r="M339" t="s">
        <v>18</v>
      </c>
    </row>
    <row r="340" spans="1:13" x14ac:dyDescent="0.25">
      <c r="A340">
        <v>15926</v>
      </c>
      <c r="B340" t="s">
        <v>35</v>
      </c>
      <c r="C340" t="s">
        <v>33</v>
      </c>
      <c r="D340" s="32">
        <v>120000</v>
      </c>
      <c r="E340">
        <v>3</v>
      </c>
      <c r="F340" t="s">
        <v>27</v>
      </c>
      <c r="G340" t="s">
        <v>21</v>
      </c>
      <c r="H340" t="s">
        <v>15</v>
      </c>
      <c r="I340">
        <v>4</v>
      </c>
      <c r="J340" t="s">
        <v>23</v>
      </c>
      <c r="K340" t="s">
        <v>17</v>
      </c>
      <c r="L340">
        <v>50</v>
      </c>
      <c r="M340" t="s">
        <v>15</v>
      </c>
    </row>
    <row r="341" spans="1:13" x14ac:dyDescent="0.25">
      <c r="A341">
        <v>14554</v>
      </c>
      <c r="B341" t="s">
        <v>34</v>
      </c>
      <c r="C341" t="s">
        <v>34</v>
      </c>
      <c r="D341" s="32">
        <v>20000</v>
      </c>
      <c r="E341">
        <v>1</v>
      </c>
      <c r="F341" t="s">
        <v>13</v>
      </c>
      <c r="G341" t="s">
        <v>20</v>
      </c>
      <c r="H341" t="s">
        <v>15</v>
      </c>
      <c r="I341">
        <v>0</v>
      </c>
      <c r="J341" t="s">
        <v>16</v>
      </c>
      <c r="K341" t="s">
        <v>17</v>
      </c>
      <c r="L341">
        <v>66</v>
      </c>
      <c r="M341" t="s">
        <v>18</v>
      </c>
    </row>
    <row r="342" spans="1:13" x14ac:dyDescent="0.25">
      <c r="A342">
        <v>16468</v>
      </c>
      <c r="B342" t="s">
        <v>35</v>
      </c>
      <c r="C342" t="s">
        <v>34</v>
      </c>
      <c r="D342" s="32">
        <v>30000</v>
      </c>
      <c r="E342">
        <v>0</v>
      </c>
      <c r="F342" t="s">
        <v>19</v>
      </c>
      <c r="G342" t="s">
        <v>20</v>
      </c>
      <c r="H342" t="s">
        <v>15</v>
      </c>
      <c r="I342">
        <v>1</v>
      </c>
      <c r="J342" t="s">
        <v>22</v>
      </c>
      <c r="K342" t="s">
        <v>17</v>
      </c>
      <c r="L342">
        <v>30</v>
      </c>
      <c r="M342" t="s">
        <v>18</v>
      </c>
    </row>
    <row r="343" spans="1:13" x14ac:dyDescent="0.25">
      <c r="A343">
        <v>19174</v>
      </c>
      <c r="B343" t="s">
        <v>35</v>
      </c>
      <c r="C343" t="s">
        <v>33</v>
      </c>
      <c r="D343" s="32">
        <v>30000</v>
      </c>
      <c r="E343">
        <v>0</v>
      </c>
      <c r="F343" t="s">
        <v>27</v>
      </c>
      <c r="G343" t="s">
        <v>25</v>
      </c>
      <c r="H343" t="s">
        <v>18</v>
      </c>
      <c r="I343">
        <v>1</v>
      </c>
      <c r="J343" t="s">
        <v>22</v>
      </c>
      <c r="K343" t="s">
        <v>17</v>
      </c>
      <c r="L343">
        <v>32</v>
      </c>
      <c r="M343" t="s">
        <v>15</v>
      </c>
    </row>
    <row r="344" spans="1:13" x14ac:dyDescent="0.25">
      <c r="A344">
        <v>19183</v>
      </c>
      <c r="B344" t="s">
        <v>35</v>
      </c>
      <c r="C344" t="s">
        <v>34</v>
      </c>
      <c r="D344" s="32">
        <v>10000</v>
      </c>
      <c r="E344">
        <v>0</v>
      </c>
      <c r="F344" t="s">
        <v>29</v>
      </c>
      <c r="G344" t="s">
        <v>25</v>
      </c>
      <c r="H344" t="s">
        <v>15</v>
      </c>
      <c r="I344">
        <v>2</v>
      </c>
      <c r="J344" t="s">
        <v>26</v>
      </c>
      <c r="K344" t="s">
        <v>17</v>
      </c>
      <c r="L344">
        <v>35</v>
      </c>
      <c r="M344" t="s">
        <v>18</v>
      </c>
    </row>
    <row r="345" spans="1:13" x14ac:dyDescent="0.25">
      <c r="A345">
        <v>13683</v>
      </c>
      <c r="B345" t="s">
        <v>35</v>
      </c>
      <c r="C345" t="s">
        <v>33</v>
      </c>
      <c r="D345" s="32">
        <v>30000</v>
      </c>
      <c r="E345">
        <v>0</v>
      </c>
      <c r="F345" t="s">
        <v>27</v>
      </c>
      <c r="G345" t="s">
        <v>25</v>
      </c>
      <c r="H345" t="s">
        <v>18</v>
      </c>
      <c r="I345">
        <v>1</v>
      </c>
      <c r="J345" t="s">
        <v>22</v>
      </c>
      <c r="K345" t="s">
        <v>17</v>
      </c>
      <c r="L345">
        <v>32</v>
      </c>
      <c r="M345" t="s">
        <v>18</v>
      </c>
    </row>
    <row r="346" spans="1:13" x14ac:dyDescent="0.25">
      <c r="A346">
        <v>17848</v>
      </c>
      <c r="B346" t="s">
        <v>35</v>
      </c>
      <c r="C346" t="s">
        <v>34</v>
      </c>
      <c r="D346" s="32">
        <v>30000</v>
      </c>
      <c r="E346">
        <v>0</v>
      </c>
      <c r="F346" t="s">
        <v>19</v>
      </c>
      <c r="G346" t="s">
        <v>20</v>
      </c>
      <c r="H346" t="s">
        <v>18</v>
      </c>
      <c r="I346">
        <v>1</v>
      </c>
      <c r="J346" t="s">
        <v>22</v>
      </c>
      <c r="K346" t="s">
        <v>17</v>
      </c>
      <c r="L346">
        <v>31</v>
      </c>
      <c r="M346" t="s">
        <v>15</v>
      </c>
    </row>
    <row r="347" spans="1:13" x14ac:dyDescent="0.25">
      <c r="A347">
        <v>17894</v>
      </c>
      <c r="B347" t="s">
        <v>34</v>
      </c>
      <c r="C347" t="s">
        <v>33</v>
      </c>
      <c r="D347" s="32">
        <v>20000</v>
      </c>
      <c r="E347">
        <v>1</v>
      </c>
      <c r="F347" t="s">
        <v>13</v>
      </c>
      <c r="G347" t="s">
        <v>20</v>
      </c>
      <c r="H347" t="s">
        <v>15</v>
      </c>
      <c r="I347">
        <v>0</v>
      </c>
      <c r="J347" t="s">
        <v>16</v>
      </c>
      <c r="K347" t="s">
        <v>17</v>
      </c>
      <c r="L347">
        <v>50</v>
      </c>
      <c r="M347" t="s">
        <v>15</v>
      </c>
    </row>
    <row r="348" spans="1:13" x14ac:dyDescent="0.25">
      <c r="A348">
        <v>25651</v>
      </c>
      <c r="B348" t="s">
        <v>34</v>
      </c>
      <c r="C348" t="s">
        <v>34</v>
      </c>
      <c r="D348" s="32">
        <v>40000</v>
      </c>
      <c r="E348">
        <v>1</v>
      </c>
      <c r="F348" t="s">
        <v>13</v>
      </c>
      <c r="G348" t="s">
        <v>14</v>
      </c>
      <c r="H348" t="s">
        <v>18</v>
      </c>
      <c r="I348">
        <v>0</v>
      </c>
      <c r="J348" t="s">
        <v>16</v>
      </c>
      <c r="K348" t="s">
        <v>17</v>
      </c>
      <c r="L348">
        <v>43</v>
      </c>
      <c r="M348" t="s">
        <v>15</v>
      </c>
    </row>
    <row r="349" spans="1:13" x14ac:dyDescent="0.25">
      <c r="A349">
        <v>22936</v>
      </c>
      <c r="B349" t="s">
        <v>35</v>
      </c>
      <c r="C349" t="s">
        <v>33</v>
      </c>
      <c r="D349" s="32">
        <v>60000</v>
      </c>
      <c r="E349">
        <v>1</v>
      </c>
      <c r="F349" t="s">
        <v>19</v>
      </c>
      <c r="G349" t="s">
        <v>14</v>
      </c>
      <c r="H349" t="s">
        <v>18</v>
      </c>
      <c r="I349">
        <v>1</v>
      </c>
      <c r="J349" t="s">
        <v>16</v>
      </c>
      <c r="K349" t="s">
        <v>24</v>
      </c>
      <c r="L349">
        <v>45</v>
      </c>
      <c r="M349" t="s">
        <v>15</v>
      </c>
    </row>
    <row r="350" spans="1:13" x14ac:dyDescent="0.25">
      <c r="A350">
        <v>23915</v>
      </c>
      <c r="B350" t="s">
        <v>34</v>
      </c>
      <c r="C350" t="s">
        <v>34</v>
      </c>
      <c r="D350" s="32">
        <v>20000</v>
      </c>
      <c r="E350">
        <v>2</v>
      </c>
      <c r="F350" t="s">
        <v>27</v>
      </c>
      <c r="G350" t="s">
        <v>25</v>
      </c>
      <c r="H350" t="s">
        <v>15</v>
      </c>
      <c r="I350">
        <v>2</v>
      </c>
      <c r="J350" t="s">
        <v>16</v>
      </c>
      <c r="K350" t="s">
        <v>17</v>
      </c>
      <c r="L350">
        <v>42</v>
      </c>
      <c r="M350" t="s">
        <v>18</v>
      </c>
    </row>
    <row r="351" spans="1:13" x14ac:dyDescent="0.25">
      <c r="A351">
        <v>24121</v>
      </c>
      <c r="B351" t="s">
        <v>35</v>
      </c>
      <c r="C351" t="s">
        <v>33</v>
      </c>
      <c r="D351" s="32">
        <v>30000</v>
      </c>
      <c r="E351">
        <v>0</v>
      </c>
      <c r="F351" t="s">
        <v>19</v>
      </c>
      <c r="G351" t="s">
        <v>20</v>
      </c>
      <c r="H351" t="s">
        <v>18</v>
      </c>
      <c r="I351">
        <v>1</v>
      </c>
      <c r="J351" t="s">
        <v>16</v>
      </c>
      <c r="K351" t="s">
        <v>17</v>
      </c>
      <c r="L351">
        <v>29</v>
      </c>
      <c r="M351" t="s">
        <v>15</v>
      </c>
    </row>
    <row r="352" spans="1:13" x14ac:dyDescent="0.25">
      <c r="A352">
        <v>27878</v>
      </c>
      <c r="B352" t="s">
        <v>35</v>
      </c>
      <c r="C352" t="s">
        <v>34</v>
      </c>
      <c r="D352" s="32">
        <v>20000</v>
      </c>
      <c r="E352">
        <v>0</v>
      </c>
      <c r="F352" t="s">
        <v>19</v>
      </c>
      <c r="G352" t="s">
        <v>25</v>
      </c>
      <c r="H352" t="s">
        <v>18</v>
      </c>
      <c r="I352">
        <v>0</v>
      </c>
      <c r="J352" t="s">
        <v>16</v>
      </c>
      <c r="K352" t="s">
        <v>24</v>
      </c>
      <c r="L352">
        <v>28</v>
      </c>
      <c r="M352" t="s">
        <v>15</v>
      </c>
    </row>
    <row r="353" spans="1:13" x14ac:dyDescent="0.25">
      <c r="A353">
        <v>13572</v>
      </c>
      <c r="B353" t="s">
        <v>35</v>
      </c>
      <c r="C353" t="s">
        <v>34</v>
      </c>
      <c r="D353" s="32">
        <v>10000</v>
      </c>
      <c r="E353">
        <v>3</v>
      </c>
      <c r="F353" t="s">
        <v>27</v>
      </c>
      <c r="G353" t="s">
        <v>25</v>
      </c>
      <c r="H353" t="s">
        <v>15</v>
      </c>
      <c r="I353">
        <v>0</v>
      </c>
      <c r="J353" t="s">
        <v>16</v>
      </c>
      <c r="K353" t="s">
        <v>17</v>
      </c>
      <c r="L353">
        <v>37</v>
      </c>
      <c r="M353" t="s">
        <v>15</v>
      </c>
    </row>
    <row r="354" spans="1:13" x14ac:dyDescent="0.25">
      <c r="A354">
        <v>27941</v>
      </c>
      <c r="B354" t="s">
        <v>34</v>
      </c>
      <c r="C354" t="s">
        <v>33</v>
      </c>
      <c r="D354" s="32">
        <v>80000</v>
      </c>
      <c r="E354">
        <v>4</v>
      </c>
      <c r="F354" t="s">
        <v>19</v>
      </c>
      <c r="G354" t="s">
        <v>21</v>
      </c>
      <c r="H354" t="s">
        <v>15</v>
      </c>
      <c r="I354">
        <v>2</v>
      </c>
      <c r="J354" t="s">
        <v>22</v>
      </c>
      <c r="K354" t="s">
        <v>17</v>
      </c>
      <c r="L354">
        <v>53</v>
      </c>
      <c r="M354" t="s">
        <v>18</v>
      </c>
    </row>
    <row r="355" spans="1:13" x14ac:dyDescent="0.25">
      <c r="A355">
        <v>26354</v>
      </c>
      <c r="B355" t="s">
        <v>35</v>
      </c>
      <c r="C355" t="s">
        <v>34</v>
      </c>
      <c r="D355" s="32">
        <v>40000</v>
      </c>
      <c r="E355">
        <v>0</v>
      </c>
      <c r="F355" t="s">
        <v>31</v>
      </c>
      <c r="G355" t="s">
        <v>20</v>
      </c>
      <c r="H355" t="s">
        <v>18</v>
      </c>
      <c r="I355">
        <v>0</v>
      </c>
      <c r="J355" t="s">
        <v>16</v>
      </c>
      <c r="K355" t="s">
        <v>17</v>
      </c>
      <c r="L355">
        <v>38</v>
      </c>
      <c r="M355" t="s">
        <v>15</v>
      </c>
    </row>
    <row r="356" spans="1:13" x14ac:dyDescent="0.25">
      <c r="A356">
        <v>14785</v>
      </c>
      <c r="B356" t="s">
        <v>35</v>
      </c>
      <c r="C356" t="s">
        <v>34</v>
      </c>
      <c r="D356" s="32">
        <v>30000</v>
      </c>
      <c r="E356">
        <v>1</v>
      </c>
      <c r="F356" t="s">
        <v>13</v>
      </c>
      <c r="G356" t="s">
        <v>20</v>
      </c>
      <c r="H356" t="s">
        <v>18</v>
      </c>
      <c r="I356">
        <v>1</v>
      </c>
      <c r="J356" t="s">
        <v>26</v>
      </c>
      <c r="K356" t="s">
        <v>17</v>
      </c>
      <c r="L356">
        <v>39</v>
      </c>
      <c r="M356" t="s">
        <v>18</v>
      </c>
    </row>
    <row r="357" spans="1:13" x14ac:dyDescent="0.25">
      <c r="A357">
        <v>17238</v>
      </c>
      <c r="B357" t="s">
        <v>35</v>
      </c>
      <c r="C357" t="s">
        <v>34</v>
      </c>
      <c r="D357" s="32">
        <v>80000</v>
      </c>
      <c r="E357">
        <v>0</v>
      </c>
      <c r="F357" t="s">
        <v>13</v>
      </c>
      <c r="G357" t="s">
        <v>21</v>
      </c>
      <c r="H357" t="s">
        <v>15</v>
      </c>
      <c r="I357">
        <v>3</v>
      </c>
      <c r="J357" t="s">
        <v>30</v>
      </c>
      <c r="K357" t="s">
        <v>24</v>
      </c>
      <c r="L357">
        <v>32</v>
      </c>
      <c r="M357" t="s">
        <v>18</v>
      </c>
    </row>
    <row r="358" spans="1:13" x14ac:dyDescent="0.25">
      <c r="A358">
        <v>23608</v>
      </c>
      <c r="B358" t="s">
        <v>34</v>
      </c>
      <c r="C358" t="s">
        <v>33</v>
      </c>
      <c r="D358" s="32">
        <v>150000</v>
      </c>
      <c r="E358">
        <v>3</v>
      </c>
      <c r="F358" t="s">
        <v>27</v>
      </c>
      <c r="G358" t="s">
        <v>21</v>
      </c>
      <c r="H358" t="s">
        <v>15</v>
      </c>
      <c r="I358">
        <v>3</v>
      </c>
      <c r="J358" t="s">
        <v>16</v>
      </c>
      <c r="K358" t="s">
        <v>17</v>
      </c>
      <c r="L358">
        <v>51</v>
      </c>
      <c r="M358" t="s">
        <v>15</v>
      </c>
    </row>
    <row r="359" spans="1:13" x14ac:dyDescent="0.25">
      <c r="A359">
        <v>22538</v>
      </c>
      <c r="B359" t="s">
        <v>35</v>
      </c>
      <c r="C359" t="s">
        <v>33</v>
      </c>
      <c r="D359" s="32">
        <v>10000</v>
      </c>
      <c r="E359">
        <v>0</v>
      </c>
      <c r="F359" t="s">
        <v>29</v>
      </c>
      <c r="G359" t="s">
        <v>25</v>
      </c>
      <c r="H359" t="s">
        <v>15</v>
      </c>
      <c r="I359">
        <v>2</v>
      </c>
      <c r="J359" t="s">
        <v>26</v>
      </c>
      <c r="K359" t="s">
        <v>17</v>
      </c>
      <c r="L359">
        <v>33</v>
      </c>
      <c r="M359" t="s">
        <v>18</v>
      </c>
    </row>
    <row r="360" spans="1:13" x14ac:dyDescent="0.25">
      <c r="A360">
        <v>12332</v>
      </c>
      <c r="B360" t="s">
        <v>34</v>
      </c>
      <c r="C360" t="s">
        <v>34</v>
      </c>
      <c r="D360" s="32">
        <v>90000</v>
      </c>
      <c r="E360">
        <v>4</v>
      </c>
      <c r="F360" t="s">
        <v>27</v>
      </c>
      <c r="G360" t="s">
        <v>28</v>
      </c>
      <c r="H360" t="s">
        <v>15</v>
      </c>
      <c r="I360">
        <v>3</v>
      </c>
      <c r="J360" t="s">
        <v>23</v>
      </c>
      <c r="K360" t="s">
        <v>17</v>
      </c>
      <c r="L360">
        <v>58</v>
      </c>
      <c r="M360" t="s">
        <v>15</v>
      </c>
    </row>
    <row r="361" spans="1:13" x14ac:dyDescent="0.25">
      <c r="A361">
        <v>17230</v>
      </c>
      <c r="B361" t="s">
        <v>34</v>
      </c>
      <c r="C361" t="s">
        <v>34</v>
      </c>
      <c r="D361" s="32">
        <v>80000</v>
      </c>
      <c r="E361">
        <v>0</v>
      </c>
      <c r="F361" t="s">
        <v>13</v>
      </c>
      <c r="G361" t="s">
        <v>21</v>
      </c>
      <c r="H361" t="s">
        <v>15</v>
      </c>
      <c r="I361">
        <v>3</v>
      </c>
      <c r="J361" t="s">
        <v>30</v>
      </c>
      <c r="K361" t="s">
        <v>24</v>
      </c>
      <c r="L361">
        <v>30</v>
      </c>
      <c r="M361" t="s">
        <v>18</v>
      </c>
    </row>
    <row r="362" spans="1:13" x14ac:dyDescent="0.25">
      <c r="A362">
        <v>13082</v>
      </c>
      <c r="B362" t="s">
        <v>35</v>
      </c>
      <c r="C362" t="s">
        <v>34</v>
      </c>
      <c r="D362" s="32">
        <v>130000</v>
      </c>
      <c r="E362">
        <v>0</v>
      </c>
      <c r="F362" t="s">
        <v>31</v>
      </c>
      <c r="G362" t="s">
        <v>28</v>
      </c>
      <c r="H362" t="s">
        <v>15</v>
      </c>
      <c r="I362">
        <v>0</v>
      </c>
      <c r="J362" t="s">
        <v>22</v>
      </c>
      <c r="K362" t="s">
        <v>24</v>
      </c>
      <c r="L362">
        <v>48</v>
      </c>
      <c r="M362" t="s">
        <v>15</v>
      </c>
    </row>
    <row r="363" spans="1:13" x14ac:dyDescent="0.25">
      <c r="A363">
        <v>22518</v>
      </c>
      <c r="B363" t="s">
        <v>35</v>
      </c>
      <c r="C363" t="s">
        <v>33</v>
      </c>
      <c r="D363" s="32">
        <v>30000</v>
      </c>
      <c r="E363">
        <v>3</v>
      </c>
      <c r="F363" t="s">
        <v>19</v>
      </c>
      <c r="G363" t="s">
        <v>20</v>
      </c>
      <c r="H363" t="s">
        <v>18</v>
      </c>
      <c r="I363">
        <v>2</v>
      </c>
      <c r="J363" t="s">
        <v>16</v>
      </c>
      <c r="K363" t="s">
        <v>17</v>
      </c>
      <c r="L363">
        <v>27</v>
      </c>
      <c r="M363" t="s">
        <v>15</v>
      </c>
    </row>
    <row r="364" spans="1:13" x14ac:dyDescent="0.25">
      <c r="A364">
        <v>13687</v>
      </c>
      <c r="B364" t="s">
        <v>34</v>
      </c>
      <c r="C364" t="s">
        <v>34</v>
      </c>
      <c r="D364" s="32">
        <v>40000</v>
      </c>
      <c r="E364">
        <v>1</v>
      </c>
      <c r="F364" t="s">
        <v>13</v>
      </c>
      <c r="G364" t="s">
        <v>14</v>
      </c>
      <c r="H364" t="s">
        <v>15</v>
      </c>
      <c r="I364">
        <v>1</v>
      </c>
      <c r="J364" t="s">
        <v>16</v>
      </c>
      <c r="K364" t="s">
        <v>17</v>
      </c>
      <c r="L364">
        <v>33</v>
      </c>
      <c r="M364" t="s">
        <v>15</v>
      </c>
    </row>
    <row r="365" spans="1:13" x14ac:dyDescent="0.25">
      <c r="A365">
        <v>23571</v>
      </c>
      <c r="B365" t="s">
        <v>34</v>
      </c>
      <c r="C365" t="s">
        <v>33</v>
      </c>
      <c r="D365" s="32">
        <v>40000</v>
      </c>
      <c r="E365">
        <v>2</v>
      </c>
      <c r="F365" t="s">
        <v>13</v>
      </c>
      <c r="G365" t="s">
        <v>28</v>
      </c>
      <c r="H365" t="s">
        <v>15</v>
      </c>
      <c r="I365">
        <v>2</v>
      </c>
      <c r="J365" t="s">
        <v>16</v>
      </c>
      <c r="K365" t="s">
        <v>24</v>
      </c>
      <c r="L365">
        <v>66</v>
      </c>
      <c r="M365" t="s">
        <v>15</v>
      </c>
    </row>
    <row r="366" spans="1:13" x14ac:dyDescent="0.25">
      <c r="A366">
        <v>19305</v>
      </c>
      <c r="B366" t="s">
        <v>35</v>
      </c>
      <c r="C366" t="s">
        <v>33</v>
      </c>
      <c r="D366" s="32">
        <v>10000</v>
      </c>
      <c r="E366">
        <v>2</v>
      </c>
      <c r="F366" t="s">
        <v>27</v>
      </c>
      <c r="G366" t="s">
        <v>25</v>
      </c>
      <c r="H366" t="s">
        <v>15</v>
      </c>
      <c r="I366">
        <v>1</v>
      </c>
      <c r="J366" t="s">
        <v>16</v>
      </c>
      <c r="K366" t="s">
        <v>17</v>
      </c>
      <c r="L366">
        <v>38</v>
      </c>
      <c r="M366" t="s">
        <v>15</v>
      </c>
    </row>
    <row r="367" spans="1:13" x14ac:dyDescent="0.25">
      <c r="A367">
        <v>22636</v>
      </c>
      <c r="B367" t="s">
        <v>35</v>
      </c>
      <c r="C367" t="s">
        <v>33</v>
      </c>
      <c r="D367" s="32">
        <v>40000</v>
      </c>
      <c r="E367">
        <v>0</v>
      </c>
      <c r="F367" t="s">
        <v>13</v>
      </c>
      <c r="G367" t="s">
        <v>20</v>
      </c>
      <c r="H367" t="s">
        <v>18</v>
      </c>
      <c r="I367">
        <v>0</v>
      </c>
      <c r="J367" t="s">
        <v>16</v>
      </c>
      <c r="K367" t="s">
        <v>17</v>
      </c>
      <c r="L367">
        <v>38</v>
      </c>
      <c r="M367" t="s">
        <v>15</v>
      </c>
    </row>
    <row r="368" spans="1:13" x14ac:dyDescent="0.25">
      <c r="A368">
        <v>17310</v>
      </c>
      <c r="B368" t="s">
        <v>34</v>
      </c>
      <c r="C368" t="s">
        <v>34</v>
      </c>
      <c r="D368" s="32">
        <v>60000</v>
      </c>
      <c r="E368">
        <v>1</v>
      </c>
      <c r="F368" t="s">
        <v>19</v>
      </c>
      <c r="G368" t="s">
        <v>14</v>
      </c>
      <c r="H368" t="s">
        <v>15</v>
      </c>
      <c r="I368">
        <v>1</v>
      </c>
      <c r="J368" t="s">
        <v>16</v>
      </c>
      <c r="K368" t="s">
        <v>24</v>
      </c>
      <c r="L368">
        <v>45</v>
      </c>
      <c r="M368" t="s">
        <v>15</v>
      </c>
    </row>
    <row r="369" spans="1:13" x14ac:dyDescent="0.25">
      <c r="A369">
        <v>12133</v>
      </c>
      <c r="B369" t="s">
        <v>34</v>
      </c>
      <c r="C369" t="s">
        <v>33</v>
      </c>
      <c r="D369" s="32">
        <v>130000</v>
      </c>
      <c r="E369">
        <v>3</v>
      </c>
      <c r="F369" t="s">
        <v>19</v>
      </c>
      <c r="G369" t="s">
        <v>21</v>
      </c>
      <c r="H369" t="s">
        <v>15</v>
      </c>
      <c r="I369">
        <v>3</v>
      </c>
      <c r="J369" t="s">
        <v>23</v>
      </c>
      <c r="K369" t="s">
        <v>17</v>
      </c>
      <c r="L369">
        <v>50</v>
      </c>
      <c r="M369" t="s">
        <v>15</v>
      </c>
    </row>
    <row r="370" spans="1:13" x14ac:dyDescent="0.25">
      <c r="A370">
        <v>25918</v>
      </c>
      <c r="B370" t="s">
        <v>35</v>
      </c>
      <c r="C370" t="s">
        <v>33</v>
      </c>
      <c r="D370" s="32">
        <v>30000</v>
      </c>
      <c r="E370">
        <v>2</v>
      </c>
      <c r="F370" t="s">
        <v>19</v>
      </c>
      <c r="G370" t="s">
        <v>20</v>
      </c>
      <c r="H370" t="s">
        <v>18</v>
      </c>
      <c r="I370">
        <v>2</v>
      </c>
      <c r="J370" t="s">
        <v>23</v>
      </c>
      <c r="K370" t="s">
        <v>24</v>
      </c>
      <c r="L370">
        <v>60</v>
      </c>
      <c r="M370" t="s">
        <v>15</v>
      </c>
    </row>
    <row r="371" spans="1:13" x14ac:dyDescent="0.25">
      <c r="A371">
        <v>25752</v>
      </c>
      <c r="B371" t="s">
        <v>35</v>
      </c>
      <c r="C371" t="s">
        <v>33</v>
      </c>
      <c r="D371" s="32">
        <v>20000</v>
      </c>
      <c r="E371">
        <v>2</v>
      </c>
      <c r="F371" t="s">
        <v>19</v>
      </c>
      <c r="G371" t="s">
        <v>25</v>
      </c>
      <c r="H371" t="s">
        <v>18</v>
      </c>
      <c r="I371">
        <v>1</v>
      </c>
      <c r="J371" t="s">
        <v>16</v>
      </c>
      <c r="K371" t="s">
        <v>17</v>
      </c>
      <c r="L371">
        <v>53</v>
      </c>
      <c r="M371" t="s">
        <v>15</v>
      </c>
    </row>
    <row r="372" spans="1:13" x14ac:dyDescent="0.25">
      <c r="A372">
        <v>17324</v>
      </c>
      <c r="B372" t="s">
        <v>34</v>
      </c>
      <c r="C372" t="s">
        <v>33</v>
      </c>
      <c r="D372" s="32">
        <v>100000</v>
      </c>
      <c r="E372">
        <v>4</v>
      </c>
      <c r="F372" t="s">
        <v>13</v>
      </c>
      <c r="G372" t="s">
        <v>21</v>
      </c>
      <c r="H372" t="s">
        <v>15</v>
      </c>
      <c r="I372">
        <v>1</v>
      </c>
      <c r="J372" t="s">
        <v>30</v>
      </c>
      <c r="K372" t="s">
        <v>24</v>
      </c>
      <c r="L372">
        <v>46</v>
      </c>
      <c r="M372" t="s">
        <v>18</v>
      </c>
    </row>
    <row r="373" spans="1:13" x14ac:dyDescent="0.25">
      <c r="A373">
        <v>22918</v>
      </c>
      <c r="B373" t="s">
        <v>35</v>
      </c>
      <c r="C373" t="s">
        <v>34</v>
      </c>
      <c r="D373" s="32">
        <v>80000</v>
      </c>
      <c r="E373">
        <v>5</v>
      </c>
      <c r="F373" t="s">
        <v>31</v>
      </c>
      <c r="G373" t="s">
        <v>28</v>
      </c>
      <c r="H373" t="s">
        <v>15</v>
      </c>
      <c r="I373">
        <v>3</v>
      </c>
      <c r="J373" t="s">
        <v>16</v>
      </c>
      <c r="K373" t="s">
        <v>24</v>
      </c>
      <c r="L373">
        <v>50</v>
      </c>
      <c r="M373" t="s">
        <v>18</v>
      </c>
    </row>
    <row r="374" spans="1:13" x14ac:dyDescent="0.25">
      <c r="A374">
        <v>12510</v>
      </c>
      <c r="B374" t="s">
        <v>34</v>
      </c>
      <c r="C374" t="s">
        <v>34</v>
      </c>
      <c r="D374" s="32">
        <v>40000</v>
      </c>
      <c r="E374">
        <v>1</v>
      </c>
      <c r="F374" t="s">
        <v>13</v>
      </c>
      <c r="G374" t="s">
        <v>14</v>
      </c>
      <c r="H374" t="s">
        <v>15</v>
      </c>
      <c r="I374">
        <v>1</v>
      </c>
      <c r="J374" t="s">
        <v>16</v>
      </c>
      <c r="K374" t="s">
        <v>17</v>
      </c>
      <c r="L374">
        <v>43</v>
      </c>
      <c r="M374" t="s">
        <v>15</v>
      </c>
    </row>
    <row r="375" spans="1:13" x14ac:dyDescent="0.25">
      <c r="A375">
        <v>25512</v>
      </c>
      <c r="B375" t="s">
        <v>35</v>
      </c>
      <c r="C375" t="s">
        <v>34</v>
      </c>
      <c r="D375" s="32">
        <v>20000</v>
      </c>
      <c r="E375">
        <v>0</v>
      </c>
      <c r="F375" t="s">
        <v>27</v>
      </c>
      <c r="G375" t="s">
        <v>25</v>
      </c>
      <c r="H375" t="s">
        <v>18</v>
      </c>
      <c r="I375">
        <v>1</v>
      </c>
      <c r="J375" t="s">
        <v>22</v>
      </c>
      <c r="K375" t="s">
        <v>17</v>
      </c>
      <c r="L375">
        <v>30</v>
      </c>
      <c r="M375" t="s">
        <v>18</v>
      </c>
    </row>
    <row r="376" spans="1:13" x14ac:dyDescent="0.25">
      <c r="A376">
        <v>16179</v>
      </c>
      <c r="B376" t="s">
        <v>35</v>
      </c>
      <c r="C376" t="s">
        <v>33</v>
      </c>
      <c r="D376" s="32">
        <v>80000</v>
      </c>
      <c r="E376">
        <v>5</v>
      </c>
      <c r="F376" t="s">
        <v>13</v>
      </c>
      <c r="G376" t="s">
        <v>21</v>
      </c>
      <c r="H376" t="s">
        <v>15</v>
      </c>
      <c r="I376">
        <v>4</v>
      </c>
      <c r="J376" t="s">
        <v>26</v>
      </c>
      <c r="K376" t="s">
        <v>24</v>
      </c>
      <c r="L376">
        <v>38</v>
      </c>
      <c r="M376" t="s">
        <v>18</v>
      </c>
    </row>
    <row r="377" spans="1:13" x14ac:dyDescent="0.25">
      <c r="A377">
        <v>15628</v>
      </c>
      <c r="B377" t="s">
        <v>34</v>
      </c>
      <c r="C377" t="s">
        <v>33</v>
      </c>
      <c r="D377" s="32">
        <v>40000</v>
      </c>
      <c r="E377">
        <v>1</v>
      </c>
      <c r="F377" t="s">
        <v>13</v>
      </c>
      <c r="G377" t="s">
        <v>14</v>
      </c>
      <c r="H377" t="s">
        <v>15</v>
      </c>
      <c r="I377">
        <v>1</v>
      </c>
      <c r="J377" t="s">
        <v>16</v>
      </c>
      <c r="K377" t="s">
        <v>17</v>
      </c>
      <c r="L377">
        <v>89</v>
      </c>
      <c r="M377" t="s">
        <v>18</v>
      </c>
    </row>
    <row r="378" spans="1:13" x14ac:dyDescent="0.25">
      <c r="A378">
        <v>20977</v>
      </c>
      <c r="B378" t="s">
        <v>34</v>
      </c>
      <c r="C378" t="s">
        <v>34</v>
      </c>
      <c r="D378" s="32">
        <v>20000</v>
      </c>
      <c r="E378">
        <v>1</v>
      </c>
      <c r="F378" t="s">
        <v>13</v>
      </c>
      <c r="G378" t="s">
        <v>20</v>
      </c>
      <c r="H378" t="s">
        <v>15</v>
      </c>
      <c r="I378">
        <v>0</v>
      </c>
      <c r="J378" t="s">
        <v>16</v>
      </c>
      <c r="K378" t="s">
        <v>17</v>
      </c>
      <c r="L378">
        <v>64</v>
      </c>
      <c r="M378" t="s">
        <v>15</v>
      </c>
    </row>
    <row r="379" spans="1:13" x14ac:dyDescent="0.25">
      <c r="A379">
        <v>18140</v>
      </c>
      <c r="B379" t="s">
        <v>34</v>
      </c>
      <c r="C379" t="s">
        <v>34</v>
      </c>
      <c r="D379" s="32">
        <v>130000</v>
      </c>
      <c r="E379">
        <v>3</v>
      </c>
      <c r="F379" t="s">
        <v>19</v>
      </c>
      <c r="G379" t="s">
        <v>21</v>
      </c>
      <c r="H379" t="s">
        <v>18</v>
      </c>
      <c r="I379">
        <v>3</v>
      </c>
      <c r="J379" t="s">
        <v>23</v>
      </c>
      <c r="K379" t="s">
        <v>17</v>
      </c>
      <c r="L379">
        <v>51</v>
      </c>
      <c r="M379" t="s">
        <v>15</v>
      </c>
    </row>
    <row r="380" spans="1:13" x14ac:dyDescent="0.25">
      <c r="A380">
        <v>20417</v>
      </c>
      <c r="B380" t="s">
        <v>34</v>
      </c>
      <c r="C380" t="s">
        <v>34</v>
      </c>
      <c r="D380" s="32">
        <v>30000</v>
      </c>
      <c r="E380">
        <v>3</v>
      </c>
      <c r="F380" t="s">
        <v>19</v>
      </c>
      <c r="G380" t="s">
        <v>20</v>
      </c>
      <c r="H380" t="s">
        <v>18</v>
      </c>
      <c r="I380">
        <v>2</v>
      </c>
      <c r="J380" t="s">
        <v>23</v>
      </c>
      <c r="K380" t="s">
        <v>24</v>
      </c>
      <c r="L380">
        <v>56</v>
      </c>
      <c r="M380" t="s">
        <v>18</v>
      </c>
    </row>
    <row r="381" spans="1:13" x14ac:dyDescent="0.25">
      <c r="A381">
        <v>18267</v>
      </c>
      <c r="B381" t="s">
        <v>34</v>
      </c>
      <c r="C381" t="s">
        <v>34</v>
      </c>
      <c r="D381" s="32">
        <v>60000</v>
      </c>
      <c r="E381">
        <v>3</v>
      </c>
      <c r="F381" t="s">
        <v>13</v>
      </c>
      <c r="G381" t="s">
        <v>21</v>
      </c>
      <c r="H381" t="s">
        <v>15</v>
      </c>
      <c r="I381">
        <v>2</v>
      </c>
      <c r="J381" t="s">
        <v>23</v>
      </c>
      <c r="K381" t="s">
        <v>24</v>
      </c>
      <c r="L381">
        <v>43</v>
      </c>
      <c r="M381" t="s">
        <v>18</v>
      </c>
    </row>
    <row r="382" spans="1:13" x14ac:dyDescent="0.25">
      <c r="A382">
        <v>13620</v>
      </c>
      <c r="B382" t="s">
        <v>35</v>
      </c>
      <c r="C382" t="s">
        <v>34</v>
      </c>
      <c r="D382" s="32">
        <v>70000</v>
      </c>
      <c r="E382">
        <v>0</v>
      </c>
      <c r="F382" t="s">
        <v>13</v>
      </c>
      <c r="G382" t="s">
        <v>21</v>
      </c>
      <c r="H382" t="s">
        <v>18</v>
      </c>
      <c r="I382">
        <v>3</v>
      </c>
      <c r="J382" t="s">
        <v>30</v>
      </c>
      <c r="K382" t="s">
        <v>24</v>
      </c>
      <c r="L382">
        <v>30</v>
      </c>
      <c r="M382" t="s">
        <v>15</v>
      </c>
    </row>
    <row r="383" spans="1:13" x14ac:dyDescent="0.25">
      <c r="A383">
        <v>22974</v>
      </c>
      <c r="B383" t="s">
        <v>34</v>
      </c>
      <c r="C383" t="s">
        <v>33</v>
      </c>
      <c r="D383" s="32">
        <v>30000</v>
      </c>
      <c r="E383">
        <v>2</v>
      </c>
      <c r="F383" t="s">
        <v>19</v>
      </c>
      <c r="G383" t="s">
        <v>20</v>
      </c>
      <c r="H383" t="s">
        <v>15</v>
      </c>
      <c r="I383">
        <v>2</v>
      </c>
      <c r="J383" t="s">
        <v>23</v>
      </c>
      <c r="K383" t="s">
        <v>24</v>
      </c>
      <c r="L383">
        <v>69</v>
      </c>
      <c r="M383" t="s">
        <v>18</v>
      </c>
    </row>
    <row r="384" spans="1:13" x14ac:dyDescent="0.25">
      <c r="A384">
        <v>13586</v>
      </c>
      <c r="B384" t="s">
        <v>34</v>
      </c>
      <c r="C384" t="s">
        <v>34</v>
      </c>
      <c r="D384" s="32">
        <v>80000</v>
      </c>
      <c r="E384">
        <v>4</v>
      </c>
      <c r="F384" t="s">
        <v>19</v>
      </c>
      <c r="G384" t="s">
        <v>21</v>
      </c>
      <c r="H384" t="s">
        <v>15</v>
      </c>
      <c r="I384">
        <v>2</v>
      </c>
      <c r="J384" t="s">
        <v>30</v>
      </c>
      <c r="K384" t="s">
        <v>17</v>
      </c>
      <c r="L384">
        <v>53</v>
      </c>
      <c r="M384" t="s">
        <v>18</v>
      </c>
    </row>
    <row r="385" spans="1:13" x14ac:dyDescent="0.25">
      <c r="A385">
        <v>17978</v>
      </c>
      <c r="B385" t="s">
        <v>34</v>
      </c>
      <c r="C385" t="s">
        <v>34</v>
      </c>
      <c r="D385" s="32">
        <v>40000</v>
      </c>
      <c r="E385">
        <v>0</v>
      </c>
      <c r="F385" t="s">
        <v>31</v>
      </c>
      <c r="G385" t="s">
        <v>20</v>
      </c>
      <c r="H385" t="s">
        <v>15</v>
      </c>
      <c r="I385">
        <v>0</v>
      </c>
      <c r="J385" t="s">
        <v>16</v>
      </c>
      <c r="K385" t="s">
        <v>17</v>
      </c>
      <c r="L385">
        <v>37</v>
      </c>
      <c r="M385" t="s">
        <v>15</v>
      </c>
    </row>
    <row r="386" spans="1:13" x14ac:dyDescent="0.25">
      <c r="A386">
        <v>12581</v>
      </c>
      <c r="B386" t="s">
        <v>35</v>
      </c>
      <c r="C386" t="s">
        <v>33</v>
      </c>
      <c r="D386" s="32">
        <v>10000</v>
      </c>
      <c r="E386">
        <v>0</v>
      </c>
      <c r="F386" t="s">
        <v>19</v>
      </c>
      <c r="G386" t="s">
        <v>25</v>
      </c>
      <c r="H386" t="s">
        <v>18</v>
      </c>
      <c r="I386">
        <v>1</v>
      </c>
      <c r="J386" t="s">
        <v>16</v>
      </c>
      <c r="K386" t="s">
        <v>24</v>
      </c>
      <c r="L386">
        <v>28</v>
      </c>
      <c r="M386" t="s">
        <v>15</v>
      </c>
    </row>
    <row r="387" spans="1:13" x14ac:dyDescent="0.25">
      <c r="A387">
        <v>18018</v>
      </c>
      <c r="B387" t="s">
        <v>35</v>
      </c>
      <c r="C387" t="s">
        <v>34</v>
      </c>
      <c r="D387" s="32">
        <v>30000</v>
      </c>
      <c r="E387">
        <v>3</v>
      </c>
      <c r="F387" t="s">
        <v>19</v>
      </c>
      <c r="G387" t="s">
        <v>20</v>
      </c>
      <c r="H387" t="s">
        <v>15</v>
      </c>
      <c r="I387">
        <v>0</v>
      </c>
      <c r="J387" t="s">
        <v>16</v>
      </c>
      <c r="K387" t="s">
        <v>17</v>
      </c>
      <c r="L387">
        <v>43</v>
      </c>
      <c r="M387" t="s">
        <v>18</v>
      </c>
    </row>
    <row r="388" spans="1:13" x14ac:dyDescent="0.25">
      <c r="A388">
        <v>28957</v>
      </c>
      <c r="B388" t="s">
        <v>35</v>
      </c>
      <c r="C388" t="s">
        <v>33</v>
      </c>
      <c r="D388" s="32">
        <v>120000</v>
      </c>
      <c r="E388">
        <v>0</v>
      </c>
      <c r="F388" t="s">
        <v>29</v>
      </c>
      <c r="G388" t="s">
        <v>21</v>
      </c>
      <c r="H388" t="s">
        <v>15</v>
      </c>
      <c r="I388">
        <v>4</v>
      </c>
      <c r="J388" t="s">
        <v>30</v>
      </c>
      <c r="K388" t="s">
        <v>24</v>
      </c>
      <c r="L388">
        <v>34</v>
      </c>
      <c r="M388" t="s">
        <v>15</v>
      </c>
    </row>
    <row r="389" spans="1:13" x14ac:dyDescent="0.25">
      <c r="A389">
        <v>13690</v>
      </c>
      <c r="B389" t="s">
        <v>35</v>
      </c>
      <c r="C389" t="s">
        <v>33</v>
      </c>
      <c r="D389" s="32">
        <v>20000</v>
      </c>
      <c r="E389">
        <v>0</v>
      </c>
      <c r="F389" t="s">
        <v>29</v>
      </c>
      <c r="G389" t="s">
        <v>25</v>
      </c>
      <c r="H389" t="s">
        <v>18</v>
      </c>
      <c r="I389">
        <v>2</v>
      </c>
      <c r="J389" t="s">
        <v>26</v>
      </c>
      <c r="K389" t="s">
        <v>17</v>
      </c>
      <c r="L389">
        <v>34</v>
      </c>
      <c r="M389" t="s">
        <v>15</v>
      </c>
    </row>
    <row r="390" spans="1:13" x14ac:dyDescent="0.25">
      <c r="A390">
        <v>12568</v>
      </c>
      <c r="B390" t="s">
        <v>34</v>
      </c>
      <c r="C390" t="s">
        <v>33</v>
      </c>
      <c r="D390" s="32">
        <v>30000</v>
      </c>
      <c r="E390">
        <v>1</v>
      </c>
      <c r="F390" t="s">
        <v>13</v>
      </c>
      <c r="G390" t="s">
        <v>20</v>
      </c>
      <c r="H390" t="s">
        <v>15</v>
      </c>
      <c r="I390">
        <v>0</v>
      </c>
      <c r="J390" t="s">
        <v>16</v>
      </c>
      <c r="K390" t="s">
        <v>17</v>
      </c>
      <c r="L390">
        <v>64</v>
      </c>
      <c r="M390" t="s">
        <v>18</v>
      </c>
    </row>
    <row r="391" spans="1:13" x14ac:dyDescent="0.25">
      <c r="A391">
        <v>13122</v>
      </c>
      <c r="B391" t="s">
        <v>34</v>
      </c>
      <c r="C391" t="s">
        <v>33</v>
      </c>
      <c r="D391" s="32">
        <v>80000</v>
      </c>
      <c r="E391">
        <v>0</v>
      </c>
      <c r="F391" t="s">
        <v>13</v>
      </c>
      <c r="G391" t="s">
        <v>21</v>
      </c>
      <c r="H391" t="s">
        <v>15</v>
      </c>
      <c r="I391">
        <v>1</v>
      </c>
      <c r="J391" t="s">
        <v>26</v>
      </c>
      <c r="K391" t="s">
        <v>24</v>
      </c>
      <c r="L391">
        <v>41</v>
      </c>
      <c r="M391" t="s">
        <v>15</v>
      </c>
    </row>
    <row r="392" spans="1:13" x14ac:dyDescent="0.25">
      <c r="A392">
        <v>21184</v>
      </c>
      <c r="B392" t="s">
        <v>35</v>
      </c>
      <c r="C392" t="s">
        <v>34</v>
      </c>
      <c r="D392" s="32">
        <v>70000</v>
      </c>
      <c r="E392">
        <v>0</v>
      </c>
      <c r="F392" t="s">
        <v>13</v>
      </c>
      <c r="G392" t="s">
        <v>21</v>
      </c>
      <c r="H392" t="s">
        <v>18</v>
      </c>
      <c r="I392">
        <v>1</v>
      </c>
      <c r="J392" t="s">
        <v>23</v>
      </c>
      <c r="K392" t="s">
        <v>24</v>
      </c>
      <c r="L392">
        <v>38</v>
      </c>
      <c r="M392" t="s">
        <v>18</v>
      </c>
    </row>
    <row r="393" spans="1:13" x14ac:dyDescent="0.25">
      <c r="A393">
        <v>26150</v>
      </c>
      <c r="B393" t="s">
        <v>35</v>
      </c>
      <c r="C393" t="s">
        <v>33</v>
      </c>
      <c r="D393" s="32">
        <v>70000</v>
      </c>
      <c r="E393">
        <v>0</v>
      </c>
      <c r="F393" t="s">
        <v>13</v>
      </c>
      <c r="G393" t="s">
        <v>21</v>
      </c>
      <c r="H393" t="s">
        <v>18</v>
      </c>
      <c r="I393">
        <v>1</v>
      </c>
      <c r="J393" t="s">
        <v>16</v>
      </c>
      <c r="K393" t="s">
        <v>24</v>
      </c>
      <c r="L393">
        <v>41</v>
      </c>
      <c r="M393" t="s">
        <v>15</v>
      </c>
    </row>
    <row r="394" spans="1:13" x14ac:dyDescent="0.25">
      <c r="A394">
        <v>24151</v>
      </c>
      <c r="B394" t="s">
        <v>35</v>
      </c>
      <c r="C394" t="s">
        <v>34</v>
      </c>
      <c r="D394" s="32">
        <v>20000</v>
      </c>
      <c r="E394">
        <v>1</v>
      </c>
      <c r="F394" t="s">
        <v>13</v>
      </c>
      <c r="G394" t="s">
        <v>20</v>
      </c>
      <c r="H394" t="s">
        <v>18</v>
      </c>
      <c r="I394">
        <v>0</v>
      </c>
      <c r="J394" t="s">
        <v>16</v>
      </c>
      <c r="K394" t="s">
        <v>17</v>
      </c>
      <c r="L394">
        <v>51</v>
      </c>
      <c r="M394" t="s">
        <v>18</v>
      </c>
    </row>
    <row r="395" spans="1:13" x14ac:dyDescent="0.25">
      <c r="A395">
        <v>23962</v>
      </c>
      <c r="B395" t="s">
        <v>34</v>
      </c>
      <c r="C395" t="s">
        <v>33</v>
      </c>
      <c r="D395" s="32">
        <v>10000</v>
      </c>
      <c r="E395">
        <v>0</v>
      </c>
      <c r="F395" t="s">
        <v>29</v>
      </c>
      <c r="G395" t="s">
        <v>25</v>
      </c>
      <c r="H395" t="s">
        <v>15</v>
      </c>
      <c r="I395">
        <v>2</v>
      </c>
      <c r="J395" t="s">
        <v>26</v>
      </c>
      <c r="K395" t="s">
        <v>17</v>
      </c>
      <c r="L395">
        <v>32</v>
      </c>
      <c r="M395" t="s">
        <v>18</v>
      </c>
    </row>
    <row r="396" spans="1:13" x14ac:dyDescent="0.25">
      <c r="A396">
        <v>17793</v>
      </c>
      <c r="B396" t="s">
        <v>34</v>
      </c>
      <c r="C396" t="s">
        <v>33</v>
      </c>
      <c r="D396" s="32">
        <v>40000</v>
      </c>
      <c r="E396">
        <v>0</v>
      </c>
      <c r="F396" t="s">
        <v>13</v>
      </c>
      <c r="G396" t="s">
        <v>20</v>
      </c>
      <c r="H396" t="s">
        <v>15</v>
      </c>
      <c r="I396">
        <v>0</v>
      </c>
      <c r="J396" t="s">
        <v>16</v>
      </c>
      <c r="K396" t="s">
        <v>17</v>
      </c>
      <c r="L396">
        <v>38</v>
      </c>
      <c r="M396" t="s">
        <v>15</v>
      </c>
    </row>
    <row r="397" spans="1:13" x14ac:dyDescent="0.25">
      <c r="A397">
        <v>14926</v>
      </c>
      <c r="B397" t="s">
        <v>34</v>
      </c>
      <c r="C397" t="s">
        <v>34</v>
      </c>
      <c r="D397" s="32">
        <v>30000</v>
      </c>
      <c r="E397">
        <v>1</v>
      </c>
      <c r="F397" t="s">
        <v>13</v>
      </c>
      <c r="G397" t="s">
        <v>20</v>
      </c>
      <c r="H397" t="s">
        <v>15</v>
      </c>
      <c r="I397">
        <v>0</v>
      </c>
      <c r="J397" t="s">
        <v>16</v>
      </c>
      <c r="K397" t="s">
        <v>17</v>
      </c>
      <c r="L397">
        <v>38</v>
      </c>
      <c r="M397" t="s">
        <v>15</v>
      </c>
    </row>
    <row r="398" spans="1:13" x14ac:dyDescent="0.25">
      <c r="A398">
        <v>16163</v>
      </c>
      <c r="B398" t="s">
        <v>35</v>
      </c>
      <c r="C398" t="s">
        <v>34</v>
      </c>
      <c r="D398" s="32">
        <v>60000</v>
      </c>
      <c r="E398">
        <v>2</v>
      </c>
      <c r="F398" t="s">
        <v>13</v>
      </c>
      <c r="G398" t="s">
        <v>21</v>
      </c>
      <c r="H398" t="s">
        <v>15</v>
      </c>
      <c r="I398">
        <v>1</v>
      </c>
      <c r="J398" t="s">
        <v>22</v>
      </c>
      <c r="K398" t="s">
        <v>24</v>
      </c>
      <c r="L398">
        <v>38</v>
      </c>
      <c r="M398" t="s">
        <v>15</v>
      </c>
    </row>
    <row r="399" spans="1:13" x14ac:dyDescent="0.25">
      <c r="A399">
        <v>21365</v>
      </c>
      <c r="B399" t="s">
        <v>34</v>
      </c>
      <c r="C399" t="s">
        <v>33</v>
      </c>
      <c r="D399" s="32">
        <v>10000</v>
      </c>
      <c r="E399">
        <v>2</v>
      </c>
      <c r="F399" t="s">
        <v>29</v>
      </c>
      <c r="G399" t="s">
        <v>20</v>
      </c>
      <c r="H399" t="s">
        <v>15</v>
      </c>
      <c r="I399">
        <v>2</v>
      </c>
      <c r="J399" t="s">
        <v>23</v>
      </c>
      <c r="K399" t="s">
        <v>24</v>
      </c>
      <c r="L399">
        <v>58</v>
      </c>
      <c r="M399" t="s">
        <v>18</v>
      </c>
    </row>
    <row r="400" spans="1:13" x14ac:dyDescent="0.25">
      <c r="A400">
        <v>27771</v>
      </c>
      <c r="B400" t="s">
        <v>35</v>
      </c>
      <c r="C400" t="s">
        <v>34</v>
      </c>
      <c r="D400" s="32">
        <v>30000</v>
      </c>
      <c r="E400">
        <v>1</v>
      </c>
      <c r="F400" t="s">
        <v>13</v>
      </c>
      <c r="G400" t="s">
        <v>20</v>
      </c>
      <c r="H400" t="s">
        <v>15</v>
      </c>
      <c r="I400">
        <v>1</v>
      </c>
      <c r="J400" t="s">
        <v>26</v>
      </c>
      <c r="K400" t="s">
        <v>17</v>
      </c>
      <c r="L400">
        <v>39</v>
      </c>
      <c r="M400" t="s">
        <v>15</v>
      </c>
    </row>
    <row r="401" spans="1:13" x14ac:dyDescent="0.25">
      <c r="A401">
        <v>26167</v>
      </c>
      <c r="B401" t="s">
        <v>35</v>
      </c>
      <c r="C401" t="s">
        <v>33</v>
      </c>
      <c r="D401" s="32">
        <v>40000</v>
      </c>
      <c r="E401">
        <v>2</v>
      </c>
      <c r="F401" t="s">
        <v>13</v>
      </c>
      <c r="G401" t="s">
        <v>28</v>
      </c>
      <c r="H401" t="s">
        <v>18</v>
      </c>
      <c r="I401">
        <v>1</v>
      </c>
      <c r="J401" t="s">
        <v>23</v>
      </c>
      <c r="K401" t="s">
        <v>24</v>
      </c>
      <c r="L401">
        <v>53</v>
      </c>
      <c r="M401" t="s">
        <v>15</v>
      </c>
    </row>
    <row r="402" spans="1:13" x14ac:dyDescent="0.25">
      <c r="A402">
        <v>25792</v>
      </c>
      <c r="B402" t="s">
        <v>35</v>
      </c>
      <c r="C402" t="s">
        <v>33</v>
      </c>
      <c r="D402" s="32">
        <v>110000</v>
      </c>
      <c r="E402">
        <v>3</v>
      </c>
      <c r="F402" t="s">
        <v>13</v>
      </c>
      <c r="G402" t="s">
        <v>28</v>
      </c>
      <c r="H402" t="s">
        <v>15</v>
      </c>
      <c r="I402">
        <v>4</v>
      </c>
      <c r="J402" t="s">
        <v>30</v>
      </c>
      <c r="K402" t="s">
        <v>17</v>
      </c>
      <c r="L402">
        <v>53</v>
      </c>
      <c r="M402" t="s">
        <v>18</v>
      </c>
    </row>
    <row r="403" spans="1:13" x14ac:dyDescent="0.25">
      <c r="A403">
        <v>11555</v>
      </c>
      <c r="B403" t="s">
        <v>34</v>
      </c>
      <c r="C403" t="s">
        <v>33</v>
      </c>
      <c r="D403" s="32">
        <v>40000</v>
      </c>
      <c r="E403">
        <v>1</v>
      </c>
      <c r="F403" t="s">
        <v>13</v>
      </c>
      <c r="G403" t="s">
        <v>20</v>
      </c>
      <c r="H403" t="s">
        <v>15</v>
      </c>
      <c r="I403">
        <v>0</v>
      </c>
      <c r="J403" t="s">
        <v>16</v>
      </c>
      <c r="K403" t="s">
        <v>17</v>
      </c>
      <c r="L403">
        <v>80</v>
      </c>
      <c r="M403" t="s">
        <v>18</v>
      </c>
    </row>
    <row r="404" spans="1:13" x14ac:dyDescent="0.25">
      <c r="A404">
        <v>22381</v>
      </c>
      <c r="B404" t="s">
        <v>34</v>
      </c>
      <c r="C404" t="s">
        <v>34</v>
      </c>
      <c r="D404" s="32">
        <v>10000</v>
      </c>
      <c r="E404">
        <v>1</v>
      </c>
      <c r="F404" t="s">
        <v>31</v>
      </c>
      <c r="G404" t="s">
        <v>25</v>
      </c>
      <c r="H404" t="s">
        <v>15</v>
      </c>
      <c r="I404">
        <v>0</v>
      </c>
      <c r="J404" t="s">
        <v>16</v>
      </c>
      <c r="K404" t="s">
        <v>17</v>
      </c>
      <c r="L404">
        <v>44</v>
      </c>
      <c r="M404" t="s">
        <v>18</v>
      </c>
    </row>
    <row r="405" spans="1:13" x14ac:dyDescent="0.25">
      <c r="A405">
        <v>17882</v>
      </c>
      <c r="B405" t="s">
        <v>34</v>
      </c>
      <c r="C405" t="s">
        <v>34</v>
      </c>
      <c r="D405" s="32">
        <v>20000</v>
      </c>
      <c r="E405">
        <v>1</v>
      </c>
      <c r="F405" t="s">
        <v>31</v>
      </c>
      <c r="G405" t="s">
        <v>20</v>
      </c>
      <c r="H405" t="s">
        <v>15</v>
      </c>
      <c r="I405">
        <v>0</v>
      </c>
      <c r="J405" t="s">
        <v>16</v>
      </c>
      <c r="K405" t="s">
        <v>17</v>
      </c>
      <c r="L405">
        <v>44</v>
      </c>
      <c r="M405" t="s">
        <v>18</v>
      </c>
    </row>
    <row r="406" spans="1:13" x14ac:dyDescent="0.25">
      <c r="A406">
        <v>22174</v>
      </c>
      <c r="B406" t="s">
        <v>34</v>
      </c>
      <c r="C406" t="s">
        <v>34</v>
      </c>
      <c r="D406" s="32">
        <v>30000</v>
      </c>
      <c r="E406">
        <v>3</v>
      </c>
      <c r="F406" t="s">
        <v>27</v>
      </c>
      <c r="G406" t="s">
        <v>14</v>
      </c>
      <c r="H406" t="s">
        <v>15</v>
      </c>
      <c r="I406">
        <v>2</v>
      </c>
      <c r="J406" t="s">
        <v>23</v>
      </c>
      <c r="K406" t="s">
        <v>24</v>
      </c>
      <c r="L406">
        <v>54</v>
      </c>
      <c r="M406" t="s">
        <v>15</v>
      </c>
    </row>
    <row r="407" spans="1:13" x14ac:dyDescent="0.25">
      <c r="A407">
        <v>22439</v>
      </c>
      <c r="B407" t="s">
        <v>34</v>
      </c>
      <c r="C407" t="s">
        <v>33</v>
      </c>
      <c r="D407" s="32">
        <v>30000</v>
      </c>
      <c r="E407">
        <v>0</v>
      </c>
      <c r="F407" t="s">
        <v>13</v>
      </c>
      <c r="G407" t="s">
        <v>20</v>
      </c>
      <c r="H407" t="s">
        <v>15</v>
      </c>
      <c r="I407">
        <v>0</v>
      </c>
      <c r="J407" t="s">
        <v>16</v>
      </c>
      <c r="K407" t="s">
        <v>17</v>
      </c>
      <c r="L407">
        <v>37</v>
      </c>
      <c r="M407" t="s">
        <v>15</v>
      </c>
    </row>
    <row r="408" spans="1:13" x14ac:dyDescent="0.25">
      <c r="A408">
        <v>18012</v>
      </c>
      <c r="B408" t="s">
        <v>34</v>
      </c>
      <c r="C408" t="s">
        <v>33</v>
      </c>
      <c r="D408" s="32">
        <v>40000</v>
      </c>
      <c r="E408">
        <v>1</v>
      </c>
      <c r="F408" t="s">
        <v>13</v>
      </c>
      <c r="G408" t="s">
        <v>14</v>
      </c>
      <c r="H408" t="s">
        <v>15</v>
      </c>
      <c r="I408">
        <v>0</v>
      </c>
      <c r="J408" t="s">
        <v>16</v>
      </c>
      <c r="K408" t="s">
        <v>17</v>
      </c>
      <c r="L408">
        <v>41</v>
      </c>
      <c r="M408" t="s">
        <v>18</v>
      </c>
    </row>
    <row r="409" spans="1:13" x14ac:dyDescent="0.25">
      <c r="A409">
        <v>27582</v>
      </c>
      <c r="B409" t="s">
        <v>35</v>
      </c>
      <c r="C409" t="s">
        <v>33</v>
      </c>
      <c r="D409" s="32">
        <v>90000</v>
      </c>
      <c r="E409">
        <v>2</v>
      </c>
      <c r="F409" t="s">
        <v>13</v>
      </c>
      <c r="G409" t="s">
        <v>21</v>
      </c>
      <c r="H409" t="s">
        <v>18</v>
      </c>
      <c r="I409">
        <v>0</v>
      </c>
      <c r="J409" t="s">
        <v>16</v>
      </c>
      <c r="K409" t="s">
        <v>24</v>
      </c>
      <c r="L409">
        <v>36</v>
      </c>
      <c r="M409" t="s">
        <v>15</v>
      </c>
    </row>
    <row r="410" spans="1:13" x14ac:dyDescent="0.25">
      <c r="A410">
        <v>12744</v>
      </c>
      <c r="B410" t="s">
        <v>35</v>
      </c>
      <c r="C410" t="s">
        <v>33</v>
      </c>
      <c r="D410" s="32">
        <v>40000</v>
      </c>
      <c r="E410">
        <v>2</v>
      </c>
      <c r="F410" t="s">
        <v>19</v>
      </c>
      <c r="G410" t="s">
        <v>20</v>
      </c>
      <c r="H410" t="s">
        <v>15</v>
      </c>
      <c r="I410">
        <v>0</v>
      </c>
      <c r="J410" t="s">
        <v>16</v>
      </c>
      <c r="K410" t="s">
        <v>17</v>
      </c>
      <c r="L410">
        <v>33</v>
      </c>
      <c r="M410" t="s">
        <v>18</v>
      </c>
    </row>
    <row r="411" spans="1:13" x14ac:dyDescent="0.25">
      <c r="A411">
        <v>22821</v>
      </c>
      <c r="B411" t="s">
        <v>34</v>
      </c>
      <c r="C411" t="s">
        <v>33</v>
      </c>
      <c r="D411" s="32">
        <v>130000</v>
      </c>
      <c r="E411">
        <v>3</v>
      </c>
      <c r="F411" t="s">
        <v>19</v>
      </c>
      <c r="G411" t="s">
        <v>21</v>
      </c>
      <c r="H411" t="s">
        <v>15</v>
      </c>
      <c r="I411">
        <v>4</v>
      </c>
      <c r="J411" t="s">
        <v>16</v>
      </c>
      <c r="K411" t="s">
        <v>17</v>
      </c>
      <c r="L411">
        <v>52</v>
      </c>
      <c r="M411" t="s">
        <v>18</v>
      </c>
    </row>
    <row r="412" spans="1:13" x14ac:dyDescent="0.25">
      <c r="A412">
        <v>20171</v>
      </c>
      <c r="B412" t="s">
        <v>34</v>
      </c>
      <c r="C412" t="s">
        <v>33</v>
      </c>
      <c r="D412" s="32">
        <v>20000</v>
      </c>
      <c r="E412">
        <v>2</v>
      </c>
      <c r="F412" t="s">
        <v>19</v>
      </c>
      <c r="G412" t="s">
        <v>25</v>
      </c>
      <c r="H412" t="s">
        <v>15</v>
      </c>
      <c r="I412">
        <v>1</v>
      </c>
      <c r="J412" t="s">
        <v>16</v>
      </c>
      <c r="K412" t="s">
        <v>17</v>
      </c>
      <c r="L412">
        <v>46</v>
      </c>
      <c r="M412" t="s">
        <v>15</v>
      </c>
    </row>
    <row r="413" spans="1:13" x14ac:dyDescent="0.25">
      <c r="A413">
        <v>11116</v>
      </c>
      <c r="B413" t="s">
        <v>34</v>
      </c>
      <c r="C413" t="s">
        <v>34</v>
      </c>
      <c r="D413" s="32">
        <v>70000</v>
      </c>
      <c r="E413">
        <v>5</v>
      </c>
      <c r="F413" t="s">
        <v>19</v>
      </c>
      <c r="G413" t="s">
        <v>14</v>
      </c>
      <c r="H413" t="s">
        <v>15</v>
      </c>
      <c r="I413">
        <v>2</v>
      </c>
      <c r="J413" t="s">
        <v>23</v>
      </c>
      <c r="K413" t="s">
        <v>24</v>
      </c>
      <c r="L413">
        <v>43</v>
      </c>
      <c r="M413" t="s">
        <v>18</v>
      </c>
    </row>
    <row r="414" spans="1:13" x14ac:dyDescent="0.25">
      <c r="A414">
        <v>20053</v>
      </c>
      <c r="B414" t="s">
        <v>35</v>
      </c>
      <c r="C414" t="s">
        <v>34</v>
      </c>
      <c r="D414" s="32">
        <v>40000</v>
      </c>
      <c r="E414">
        <v>2</v>
      </c>
      <c r="F414" t="s">
        <v>19</v>
      </c>
      <c r="G414" t="s">
        <v>20</v>
      </c>
      <c r="H414" t="s">
        <v>15</v>
      </c>
      <c r="I414">
        <v>0</v>
      </c>
      <c r="J414" t="s">
        <v>16</v>
      </c>
      <c r="K414" t="s">
        <v>17</v>
      </c>
      <c r="L414">
        <v>34</v>
      </c>
      <c r="M414" t="s">
        <v>18</v>
      </c>
    </row>
    <row r="415" spans="1:13" x14ac:dyDescent="0.25">
      <c r="A415">
        <v>25266</v>
      </c>
      <c r="B415" t="s">
        <v>35</v>
      </c>
      <c r="C415" t="s">
        <v>33</v>
      </c>
      <c r="D415" s="32">
        <v>30000</v>
      </c>
      <c r="E415">
        <v>2</v>
      </c>
      <c r="F415" t="s">
        <v>19</v>
      </c>
      <c r="G415" t="s">
        <v>20</v>
      </c>
      <c r="H415" t="s">
        <v>18</v>
      </c>
      <c r="I415">
        <v>2</v>
      </c>
      <c r="J415" t="s">
        <v>23</v>
      </c>
      <c r="K415" t="s">
        <v>24</v>
      </c>
      <c r="L415">
        <v>67</v>
      </c>
      <c r="M415" t="s">
        <v>18</v>
      </c>
    </row>
    <row r="416" spans="1:13" x14ac:dyDescent="0.25">
      <c r="A416">
        <v>17960</v>
      </c>
      <c r="B416" t="s">
        <v>34</v>
      </c>
      <c r="C416" t="s">
        <v>33</v>
      </c>
      <c r="D416" s="32">
        <v>40000</v>
      </c>
      <c r="E416">
        <v>0</v>
      </c>
      <c r="F416" t="s">
        <v>31</v>
      </c>
      <c r="G416" t="s">
        <v>20</v>
      </c>
      <c r="H416" t="s">
        <v>15</v>
      </c>
      <c r="I416">
        <v>0</v>
      </c>
      <c r="J416" t="s">
        <v>16</v>
      </c>
      <c r="K416" t="s">
        <v>17</v>
      </c>
      <c r="L416">
        <v>35</v>
      </c>
      <c r="M416" t="s">
        <v>15</v>
      </c>
    </row>
    <row r="417" spans="1:13" x14ac:dyDescent="0.25">
      <c r="A417">
        <v>13961</v>
      </c>
      <c r="B417" t="s">
        <v>34</v>
      </c>
      <c r="C417" t="s">
        <v>33</v>
      </c>
      <c r="D417" s="32">
        <v>80000</v>
      </c>
      <c r="E417">
        <v>5</v>
      </c>
      <c r="F417" t="s">
        <v>31</v>
      </c>
      <c r="G417" t="s">
        <v>28</v>
      </c>
      <c r="H417" t="s">
        <v>15</v>
      </c>
      <c r="I417">
        <v>3</v>
      </c>
      <c r="J417" t="s">
        <v>16</v>
      </c>
      <c r="K417" t="s">
        <v>24</v>
      </c>
      <c r="L417">
        <v>40</v>
      </c>
      <c r="M417" t="s">
        <v>18</v>
      </c>
    </row>
    <row r="418" spans="1:13" x14ac:dyDescent="0.25">
      <c r="A418">
        <v>11897</v>
      </c>
      <c r="B418" t="s">
        <v>35</v>
      </c>
      <c r="C418" t="s">
        <v>34</v>
      </c>
      <c r="D418" s="32">
        <v>60000</v>
      </c>
      <c r="E418">
        <v>2</v>
      </c>
      <c r="F418" t="s">
        <v>13</v>
      </c>
      <c r="G418" t="s">
        <v>21</v>
      </c>
      <c r="H418" t="s">
        <v>18</v>
      </c>
      <c r="I418">
        <v>1</v>
      </c>
      <c r="J418" t="s">
        <v>16</v>
      </c>
      <c r="K418" t="s">
        <v>24</v>
      </c>
      <c r="L418">
        <v>37</v>
      </c>
      <c r="M418" t="s">
        <v>15</v>
      </c>
    </row>
    <row r="419" spans="1:13" x14ac:dyDescent="0.25">
      <c r="A419">
        <v>11139</v>
      </c>
      <c r="B419" t="s">
        <v>35</v>
      </c>
      <c r="C419" t="s">
        <v>33</v>
      </c>
      <c r="D419" s="32">
        <v>30000</v>
      </c>
      <c r="E419">
        <v>2</v>
      </c>
      <c r="F419" t="s">
        <v>19</v>
      </c>
      <c r="G419" t="s">
        <v>20</v>
      </c>
      <c r="H419" t="s">
        <v>18</v>
      </c>
      <c r="I419">
        <v>2</v>
      </c>
      <c r="J419" t="s">
        <v>23</v>
      </c>
      <c r="K419" t="s">
        <v>24</v>
      </c>
      <c r="L419">
        <v>67</v>
      </c>
      <c r="M419" t="s">
        <v>18</v>
      </c>
    </row>
    <row r="420" spans="1:13" x14ac:dyDescent="0.25">
      <c r="A420">
        <v>11576</v>
      </c>
      <c r="B420" t="s">
        <v>34</v>
      </c>
      <c r="C420" t="s">
        <v>34</v>
      </c>
      <c r="D420" s="32">
        <v>30000</v>
      </c>
      <c r="E420">
        <v>1</v>
      </c>
      <c r="F420" t="s">
        <v>13</v>
      </c>
      <c r="G420" t="s">
        <v>14</v>
      </c>
      <c r="H420" t="s">
        <v>15</v>
      </c>
      <c r="I420">
        <v>2</v>
      </c>
      <c r="J420" t="s">
        <v>16</v>
      </c>
      <c r="K420" t="s">
        <v>17</v>
      </c>
      <c r="L420">
        <v>41</v>
      </c>
      <c r="M420" t="s">
        <v>15</v>
      </c>
    </row>
    <row r="421" spans="1:13" x14ac:dyDescent="0.25">
      <c r="A421">
        <v>19255</v>
      </c>
      <c r="B421" t="s">
        <v>35</v>
      </c>
      <c r="C421" t="s">
        <v>34</v>
      </c>
      <c r="D421" s="32">
        <v>10000</v>
      </c>
      <c r="E421">
        <v>2</v>
      </c>
      <c r="F421" t="s">
        <v>19</v>
      </c>
      <c r="G421" t="s">
        <v>25</v>
      </c>
      <c r="H421" t="s">
        <v>15</v>
      </c>
      <c r="I421">
        <v>1</v>
      </c>
      <c r="J421" t="s">
        <v>16</v>
      </c>
      <c r="K421" t="s">
        <v>17</v>
      </c>
      <c r="L421">
        <v>51</v>
      </c>
      <c r="M421" t="s">
        <v>15</v>
      </c>
    </row>
    <row r="422" spans="1:13" x14ac:dyDescent="0.25">
      <c r="A422">
        <v>18153</v>
      </c>
      <c r="B422" t="s">
        <v>34</v>
      </c>
      <c r="C422" t="s">
        <v>33</v>
      </c>
      <c r="D422" s="32">
        <v>100000</v>
      </c>
      <c r="E422">
        <v>2</v>
      </c>
      <c r="F422" t="s">
        <v>13</v>
      </c>
      <c r="G422" t="s">
        <v>28</v>
      </c>
      <c r="H422" t="s">
        <v>15</v>
      </c>
      <c r="I422">
        <v>4</v>
      </c>
      <c r="J422" t="s">
        <v>30</v>
      </c>
      <c r="K422" t="s">
        <v>17</v>
      </c>
      <c r="L422">
        <v>59</v>
      </c>
      <c r="M422" t="s">
        <v>18</v>
      </c>
    </row>
    <row r="423" spans="1:13" x14ac:dyDescent="0.25">
      <c r="A423">
        <v>14547</v>
      </c>
      <c r="B423" t="s">
        <v>34</v>
      </c>
      <c r="C423" t="s">
        <v>34</v>
      </c>
      <c r="D423" s="32">
        <v>10000</v>
      </c>
      <c r="E423">
        <v>2</v>
      </c>
      <c r="F423" t="s">
        <v>19</v>
      </c>
      <c r="G423" t="s">
        <v>25</v>
      </c>
      <c r="H423" t="s">
        <v>15</v>
      </c>
      <c r="I423">
        <v>0</v>
      </c>
      <c r="J423" t="s">
        <v>26</v>
      </c>
      <c r="K423" t="s">
        <v>17</v>
      </c>
      <c r="L423">
        <v>51</v>
      </c>
      <c r="M423" t="s">
        <v>18</v>
      </c>
    </row>
    <row r="424" spans="1:13" x14ac:dyDescent="0.25">
      <c r="A424">
        <v>24901</v>
      </c>
      <c r="B424" t="s">
        <v>35</v>
      </c>
      <c r="C424" t="s">
        <v>34</v>
      </c>
      <c r="D424" s="32">
        <v>110000</v>
      </c>
      <c r="E424">
        <v>0</v>
      </c>
      <c r="F424" t="s">
        <v>19</v>
      </c>
      <c r="G424" t="s">
        <v>28</v>
      </c>
      <c r="H424" t="s">
        <v>18</v>
      </c>
      <c r="I424">
        <v>3</v>
      </c>
      <c r="J424" t="s">
        <v>30</v>
      </c>
      <c r="K424" t="s">
        <v>24</v>
      </c>
      <c r="L424">
        <v>32</v>
      </c>
      <c r="M424" t="s">
        <v>15</v>
      </c>
    </row>
    <row r="425" spans="1:13" x14ac:dyDescent="0.25">
      <c r="A425">
        <v>27169</v>
      </c>
      <c r="B425" t="s">
        <v>35</v>
      </c>
      <c r="C425" t="s">
        <v>34</v>
      </c>
      <c r="D425" s="32">
        <v>30000</v>
      </c>
      <c r="E425">
        <v>0</v>
      </c>
      <c r="F425" t="s">
        <v>27</v>
      </c>
      <c r="G425" t="s">
        <v>25</v>
      </c>
      <c r="H425" t="s">
        <v>15</v>
      </c>
      <c r="I425">
        <v>1</v>
      </c>
      <c r="J425" t="s">
        <v>22</v>
      </c>
      <c r="K425" t="s">
        <v>17</v>
      </c>
      <c r="L425">
        <v>34</v>
      </c>
      <c r="M425" t="s">
        <v>15</v>
      </c>
    </row>
    <row r="426" spans="1:13" x14ac:dyDescent="0.25">
      <c r="A426">
        <v>14805</v>
      </c>
      <c r="B426" t="s">
        <v>35</v>
      </c>
      <c r="C426" t="s">
        <v>33</v>
      </c>
      <c r="D426" s="32">
        <v>10000</v>
      </c>
      <c r="E426">
        <v>3</v>
      </c>
      <c r="F426" t="s">
        <v>29</v>
      </c>
      <c r="G426" t="s">
        <v>25</v>
      </c>
      <c r="H426" t="s">
        <v>15</v>
      </c>
      <c r="I426">
        <v>2</v>
      </c>
      <c r="J426" t="s">
        <v>16</v>
      </c>
      <c r="K426" t="s">
        <v>17</v>
      </c>
      <c r="L426">
        <v>43</v>
      </c>
      <c r="M426" t="s">
        <v>18</v>
      </c>
    </row>
    <row r="427" spans="1:13" x14ac:dyDescent="0.25">
      <c r="A427">
        <v>15822</v>
      </c>
      <c r="B427" t="s">
        <v>34</v>
      </c>
      <c r="C427" t="s">
        <v>34</v>
      </c>
      <c r="D427" s="32">
        <v>40000</v>
      </c>
      <c r="E427">
        <v>2</v>
      </c>
      <c r="F427" t="s">
        <v>13</v>
      </c>
      <c r="G427" t="s">
        <v>28</v>
      </c>
      <c r="H427" t="s">
        <v>15</v>
      </c>
      <c r="I427">
        <v>2</v>
      </c>
      <c r="J427" t="s">
        <v>16</v>
      </c>
      <c r="K427" t="s">
        <v>24</v>
      </c>
      <c r="L427">
        <v>67</v>
      </c>
      <c r="M427" t="s">
        <v>18</v>
      </c>
    </row>
    <row r="428" spans="1:13" x14ac:dyDescent="0.25">
      <c r="A428">
        <v>19389</v>
      </c>
      <c r="B428" t="s">
        <v>35</v>
      </c>
      <c r="C428" t="s">
        <v>34</v>
      </c>
      <c r="D428" s="32">
        <v>30000</v>
      </c>
      <c r="E428">
        <v>0</v>
      </c>
      <c r="F428" t="s">
        <v>19</v>
      </c>
      <c r="G428" t="s">
        <v>20</v>
      </c>
      <c r="H428" t="s">
        <v>18</v>
      </c>
      <c r="I428">
        <v>1</v>
      </c>
      <c r="J428" t="s">
        <v>22</v>
      </c>
      <c r="K428" t="s">
        <v>17</v>
      </c>
      <c r="L428">
        <v>28</v>
      </c>
      <c r="M428" t="s">
        <v>18</v>
      </c>
    </row>
    <row r="429" spans="1:13" x14ac:dyDescent="0.25">
      <c r="A429">
        <v>17048</v>
      </c>
      <c r="B429" t="s">
        <v>35</v>
      </c>
      <c r="C429" t="s">
        <v>33</v>
      </c>
      <c r="D429" s="32">
        <v>90000</v>
      </c>
      <c r="E429">
        <v>1</v>
      </c>
      <c r="F429" t="s">
        <v>31</v>
      </c>
      <c r="G429" t="s">
        <v>28</v>
      </c>
      <c r="H429" t="s">
        <v>15</v>
      </c>
      <c r="I429">
        <v>0</v>
      </c>
      <c r="J429" t="s">
        <v>16</v>
      </c>
      <c r="K429" t="s">
        <v>24</v>
      </c>
      <c r="L429">
        <v>36</v>
      </c>
      <c r="M429" t="s">
        <v>15</v>
      </c>
    </row>
    <row r="430" spans="1:13" x14ac:dyDescent="0.25">
      <c r="A430">
        <v>22204</v>
      </c>
      <c r="B430" t="s">
        <v>34</v>
      </c>
      <c r="C430" t="s">
        <v>34</v>
      </c>
      <c r="D430" s="32">
        <v>110000</v>
      </c>
      <c r="E430">
        <v>4</v>
      </c>
      <c r="F430" t="s">
        <v>13</v>
      </c>
      <c r="G430" t="s">
        <v>28</v>
      </c>
      <c r="H430" t="s">
        <v>15</v>
      </c>
      <c r="I430">
        <v>3</v>
      </c>
      <c r="J430" t="s">
        <v>22</v>
      </c>
      <c r="K430" t="s">
        <v>24</v>
      </c>
      <c r="L430">
        <v>48</v>
      </c>
      <c r="M430" t="s">
        <v>18</v>
      </c>
    </row>
    <row r="431" spans="1:13" x14ac:dyDescent="0.25">
      <c r="A431">
        <v>12718</v>
      </c>
      <c r="B431" t="s">
        <v>35</v>
      </c>
      <c r="C431" t="s">
        <v>33</v>
      </c>
      <c r="D431" s="32">
        <v>30000</v>
      </c>
      <c r="E431">
        <v>0</v>
      </c>
      <c r="F431" t="s">
        <v>19</v>
      </c>
      <c r="G431" t="s">
        <v>20</v>
      </c>
      <c r="H431" t="s">
        <v>15</v>
      </c>
      <c r="I431">
        <v>1</v>
      </c>
      <c r="J431" t="s">
        <v>22</v>
      </c>
      <c r="K431" t="s">
        <v>17</v>
      </c>
      <c r="L431">
        <v>31</v>
      </c>
      <c r="M431" t="s">
        <v>18</v>
      </c>
    </row>
    <row r="432" spans="1:13" x14ac:dyDescent="0.25">
      <c r="A432">
        <v>15019</v>
      </c>
      <c r="B432" t="s">
        <v>35</v>
      </c>
      <c r="C432" t="s">
        <v>33</v>
      </c>
      <c r="D432" s="32">
        <v>30000</v>
      </c>
      <c r="E432">
        <v>3</v>
      </c>
      <c r="F432" t="s">
        <v>27</v>
      </c>
      <c r="G432" t="s">
        <v>14</v>
      </c>
      <c r="H432" t="s">
        <v>15</v>
      </c>
      <c r="I432">
        <v>2</v>
      </c>
      <c r="J432" t="s">
        <v>23</v>
      </c>
      <c r="K432" t="s">
        <v>24</v>
      </c>
      <c r="L432">
        <v>55</v>
      </c>
      <c r="M432" t="s">
        <v>18</v>
      </c>
    </row>
    <row r="433" spans="1:13" x14ac:dyDescent="0.25">
      <c r="A433">
        <v>28488</v>
      </c>
      <c r="B433" t="s">
        <v>35</v>
      </c>
      <c r="C433" t="s">
        <v>34</v>
      </c>
      <c r="D433" s="32">
        <v>20000</v>
      </c>
      <c r="E433">
        <v>0</v>
      </c>
      <c r="F433" t="s">
        <v>19</v>
      </c>
      <c r="G433" t="s">
        <v>25</v>
      </c>
      <c r="H433" t="s">
        <v>15</v>
      </c>
      <c r="I433">
        <v>0</v>
      </c>
      <c r="J433" t="s">
        <v>16</v>
      </c>
      <c r="K433" t="s">
        <v>24</v>
      </c>
      <c r="L433">
        <v>28</v>
      </c>
      <c r="M433" t="s">
        <v>15</v>
      </c>
    </row>
    <row r="434" spans="1:13" x14ac:dyDescent="0.25">
      <c r="A434">
        <v>21891</v>
      </c>
      <c r="B434" t="s">
        <v>34</v>
      </c>
      <c r="C434" t="s">
        <v>33</v>
      </c>
      <c r="D434" s="32">
        <v>110000</v>
      </c>
      <c r="E434">
        <v>0</v>
      </c>
      <c r="F434" t="s">
        <v>27</v>
      </c>
      <c r="G434" t="s">
        <v>28</v>
      </c>
      <c r="H434" t="s">
        <v>15</v>
      </c>
      <c r="I434">
        <v>3</v>
      </c>
      <c r="J434" t="s">
        <v>30</v>
      </c>
      <c r="K434" t="s">
        <v>24</v>
      </c>
      <c r="L434">
        <v>34</v>
      </c>
      <c r="M434" t="s">
        <v>15</v>
      </c>
    </row>
    <row r="435" spans="1:13" x14ac:dyDescent="0.25">
      <c r="A435">
        <v>27814</v>
      </c>
      <c r="B435" t="s">
        <v>35</v>
      </c>
      <c r="C435" t="s">
        <v>33</v>
      </c>
      <c r="D435" s="32">
        <v>30000</v>
      </c>
      <c r="E435">
        <v>3</v>
      </c>
      <c r="F435" t="s">
        <v>19</v>
      </c>
      <c r="G435" t="s">
        <v>20</v>
      </c>
      <c r="H435" t="s">
        <v>18</v>
      </c>
      <c r="I435">
        <v>1</v>
      </c>
      <c r="J435" t="s">
        <v>16</v>
      </c>
      <c r="K435" t="s">
        <v>17</v>
      </c>
      <c r="L435">
        <v>26</v>
      </c>
      <c r="M435" t="s">
        <v>18</v>
      </c>
    </row>
    <row r="436" spans="1:13" x14ac:dyDescent="0.25">
      <c r="A436">
        <v>22175</v>
      </c>
      <c r="B436" t="s">
        <v>34</v>
      </c>
      <c r="C436" t="s">
        <v>33</v>
      </c>
      <c r="D436" s="32">
        <v>30000</v>
      </c>
      <c r="E436">
        <v>3</v>
      </c>
      <c r="F436" t="s">
        <v>27</v>
      </c>
      <c r="G436" t="s">
        <v>14</v>
      </c>
      <c r="H436" t="s">
        <v>15</v>
      </c>
      <c r="I436">
        <v>2</v>
      </c>
      <c r="J436" t="s">
        <v>23</v>
      </c>
      <c r="K436" t="s">
        <v>24</v>
      </c>
      <c r="L436">
        <v>53</v>
      </c>
      <c r="M436" t="s">
        <v>15</v>
      </c>
    </row>
    <row r="437" spans="1:13" x14ac:dyDescent="0.25">
      <c r="A437">
        <v>29447</v>
      </c>
      <c r="B437" t="s">
        <v>35</v>
      </c>
      <c r="C437" t="s">
        <v>33</v>
      </c>
      <c r="D437" s="32">
        <v>10000</v>
      </c>
      <c r="E437">
        <v>2</v>
      </c>
      <c r="F437" t="s">
        <v>13</v>
      </c>
      <c r="G437" t="s">
        <v>20</v>
      </c>
      <c r="H437" t="s">
        <v>18</v>
      </c>
      <c r="I437">
        <v>1</v>
      </c>
      <c r="J437" t="s">
        <v>22</v>
      </c>
      <c r="K437" t="s">
        <v>17</v>
      </c>
      <c r="L437">
        <v>68</v>
      </c>
      <c r="M437" t="s">
        <v>18</v>
      </c>
    </row>
    <row r="438" spans="1:13" x14ac:dyDescent="0.25">
      <c r="A438">
        <v>19784</v>
      </c>
      <c r="B438" t="s">
        <v>34</v>
      </c>
      <c r="C438" t="s">
        <v>33</v>
      </c>
      <c r="D438" s="32">
        <v>80000</v>
      </c>
      <c r="E438">
        <v>2</v>
      </c>
      <c r="F438" t="s">
        <v>27</v>
      </c>
      <c r="G438" t="s">
        <v>14</v>
      </c>
      <c r="H438" t="s">
        <v>15</v>
      </c>
      <c r="I438">
        <v>2</v>
      </c>
      <c r="J438" t="s">
        <v>23</v>
      </c>
      <c r="K438" t="s">
        <v>24</v>
      </c>
      <c r="L438">
        <v>50</v>
      </c>
      <c r="M438" t="s">
        <v>15</v>
      </c>
    </row>
    <row r="439" spans="1:13" x14ac:dyDescent="0.25">
      <c r="A439">
        <v>27824</v>
      </c>
      <c r="B439" t="s">
        <v>35</v>
      </c>
      <c r="C439" t="s">
        <v>33</v>
      </c>
      <c r="D439" s="32">
        <v>30000</v>
      </c>
      <c r="E439">
        <v>3</v>
      </c>
      <c r="F439" t="s">
        <v>19</v>
      </c>
      <c r="G439" t="s">
        <v>20</v>
      </c>
      <c r="H439" t="s">
        <v>15</v>
      </c>
      <c r="I439">
        <v>2</v>
      </c>
      <c r="J439" t="s">
        <v>16</v>
      </c>
      <c r="K439" t="s">
        <v>17</v>
      </c>
      <c r="L439">
        <v>28</v>
      </c>
      <c r="M439" t="s">
        <v>15</v>
      </c>
    </row>
    <row r="440" spans="1:13" x14ac:dyDescent="0.25">
      <c r="A440">
        <v>24093</v>
      </c>
      <c r="B440" t="s">
        <v>35</v>
      </c>
      <c r="C440" t="s">
        <v>33</v>
      </c>
      <c r="D440" s="32">
        <v>80000</v>
      </c>
      <c r="E440">
        <v>0</v>
      </c>
      <c r="F440" t="s">
        <v>31</v>
      </c>
      <c r="G440" t="s">
        <v>14</v>
      </c>
      <c r="H440" t="s">
        <v>18</v>
      </c>
      <c r="I440">
        <v>0</v>
      </c>
      <c r="J440" t="s">
        <v>16</v>
      </c>
      <c r="K440" t="s">
        <v>17</v>
      </c>
      <c r="L440">
        <v>40</v>
      </c>
      <c r="M440" t="s">
        <v>15</v>
      </c>
    </row>
    <row r="441" spans="1:13" x14ac:dyDescent="0.25">
      <c r="A441">
        <v>19618</v>
      </c>
      <c r="B441" t="s">
        <v>34</v>
      </c>
      <c r="C441" t="s">
        <v>34</v>
      </c>
      <c r="D441" s="32">
        <v>70000</v>
      </c>
      <c r="E441">
        <v>5</v>
      </c>
      <c r="F441" t="s">
        <v>19</v>
      </c>
      <c r="G441" t="s">
        <v>14</v>
      </c>
      <c r="H441" t="s">
        <v>15</v>
      </c>
      <c r="I441">
        <v>2</v>
      </c>
      <c r="J441" t="s">
        <v>16</v>
      </c>
      <c r="K441" t="s">
        <v>24</v>
      </c>
      <c r="L441">
        <v>44</v>
      </c>
      <c r="M441" t="s">
        <v>18</v>
      </c>
    </row>
    <row r="442" spans="1:13" x14ac:dyDescent="0.25">
      <c r="A442">
        <v>21561</v>
      </c>
      <c r="B442" t="s">
        <v>35</v>
      </c>
      <c r="C442" t="s">
        <v>34</v>
      </c>
      <c r="D442" s="32">
        <v>90000</v>
      </c>
      <c r="E442">
        <v>0</v>
      </c>
      <c r="F442" t="s">
        <v>13</v>
      </c>
      <c r="G442" t="s">
        <v>21</v>
      </c>
      <c r="H442" t="s">
        <v>18</v>
      </c>
      <c r="I442">
        <v>3</v>
      </c>
      <c r="J442" t="s">
        <v>30</v>
      </c>
      <c r="K442" t="s">
        <v>24</v>
      </c>
      <c r="L442">
        <v>34</v>
      </c>
      <c r="M442" t="s">
        <v>15</v>
      </c>
    </row>
    <row r="443" spans="1:13" x14ac:dyDescent="0.25">
      <c r="A443">
        <v>11061</v>
      </c>
      <c r="B443" t="s">
        <v>34</v>
      </c>
      <c r="C443" t="s">
        <v>34</v>
      </c>
      <c r="D443" s="32">
        <v>70000</v>
      </c>
      <c r="E443">
        <v>2</v>
      </c>
      <c r="F443" t="s">
        <v>19</v>
      </c>
      <c r="G443" t="s">
        <v>14</v>
      </c>
      <c r="H443" t="s">
        <v>15</v>
      </c>
      <c r="I443">
        <v>2</v>
      </c>
      <c r="J443" t="s">
        <v>23</v>
      </c>
      <c r="K443" t="s">
        <v>24</v>
      </c>
      <c r="L443">
        <v>52</v>
      </c>
      <c r="M443" t="s">
        <v>15</v>
      </c>
    </row>
    <row r="444" spans="1:13" x14ac:dyDescent="0.25">
      <c r="A444">
        <v>26651</v>
      </c>
      <c r="B444" t="s">
        <v>35</v>
      </c>
      <c r="C444" t="s">
        <v>34</v>
      </c>
      <c r="D444" s="32">
        <v>80000</v>
      </c>
      <c r="E444">
        <v>4</v>
      </c>
      <c r="F444" t="s">
        <v>31</v>
      </c>
      <c r="G444" t="s">
        <v>28</v>
      </c>
      <c r="H444" t="s">
        <v>15</v>
      </c>
      <c r="I444">
        <v>0</v>
      </c>
      <c r="J444" t="s">
        <v>16</v>
      </c>
      <c r="K444" t="s">
        <v>24</v>
      </c>
      <c r="L444">
        <v>36</v>
      </c>
      <c r="M444" t="s">
        <v>15</v>
      </c>
    </row>
    <row r="445" spans="1:13" x14ac:dyDescent="0.25">
      <c r="A445">
        <v>21108</v>
      </c>
      <c r="B445" t="s">
        <v>34</v>
      </c>
      <c r="C445" t="s">
        <v>33</v>
      </c>
      <c r="D445" s="32">
        <v>40000</v>
      </c>
      <c r="E445">
        <v>1</v>
      </c>
      <c r="F445" t="s">
        <v>13</v>
      </c>
      <c r="G445" t="s">
        <v>14</v>
      </c>
      <c r="H445" t="s">
        <v>15</v>
      </c>
      <c r="I445">
        <v>1</v>
      </c>
      <c r="J445" t="s">
        <v>16</v>
      </c>
      <c r="K445" t="s">
        <v>17</v>
      </c>
      <c r="L445">
        <v>43</v>
      </c>
      <c r="M445" t="s">
        <v>15</v>
      </c>
    </row>
    <row r="446" spans="1:13" x14ac:dyDescent="0.25">
      <c r="A446">
        <v>12731</v>
      </c>
      <c r="B446" t="s">
        <v>35</v>
      </c>
      <c r="C446" t="s">
        <v>34</v>
      </c>
      <c r="D446" s="32">
        <v>30000</v>
      </c>
      <c r="E446">
        <v>0</v>
      </c>
      <c r="F446" t="s">
        <v>27</v>
      </c>
      <c r="G446" t="s">
        <v>25</v>
      </c>
      <c r="H446" t="s">
        <v>18</v>
      </c>
      <c r="I446">
        <v>1</v>
      </c>
      <c r="J446" t="s">
        <v>26</v>
      </c>
      <c r="K446" t="s">
        <v>17</v>
      </c>
      <c r="L446">
        <v>32</v>
      </c>
      <c r="M446" t="s">
        <v>18</v>
      </c>
    </row>
    <row r="447" spans="1:13" x14ac:dyDescent="0.25">
      <c r="A447">
        <v>25307</v>
      </c>
      <c r="B447" t="s">
        <v>34</v>
      </c>
      <c r="C447" t="s">
        <v>33</v>
      </c>
      <c r="D447" s="32">
        <v>40000</v>
      </c>
      <c r="E447">
        <v>1</v>
      </c>
      <c r="F447" t="s">
        <v>13</v>
      </c>
      <c r="G447" t="s">
        <v>14</v>
      </c>
      <c r="H447" t="s">
        <v>15</v>
      </c>
      <c r="I447">
        <v>1</v>
      </c>
      <c r="J447" t="s">
        <v>26</v>
      </c>
      <c r="K447" t="s">
        <v>17</v>
      </c>
      <c r="L447">
        <v>32</v>
      </c>
      <c r="M447" t="s">
        <v>15</v>
      </c>
    </row>
    <row r="448" spans="1:13" x14ac:dyDescent="0.25">
      <c r="A448">
        <v>14278</v>
      </c>
      <c r="B448" t="s">
        <v>34</v>
      </c>
      <c r="C448" t="s">
        <v>33</v>
      </c>
      <c r="D448" s="32">
        <v>130000</v>
      </c>
      <c r="E448">
        <v>0</v>
      </c>
      <c r="F448" t="s">
        <v>31</v>
      </c>
      <c r="G448" t="s">
        <v>28</v>
      </c>
      <c r="H448" t="s">
        <v>15</v>
      </c>
      <c r="I448">
        <v>1</v>
      </c>
      <c r="J448" t="s">
        <v>30</v>
      </c>
      <c r="K448" t="s">
        <v>24</v>
      </c>
      <c r="L448">
        <v>48</v>
      </c>
      <c r="M448" t="s">
        <v>18</v>
      </c>
    </row>
    <row r="449" spans="1:13" x14ac:dyDescent="0.25">
      <c r="A449">
        <v>20711</v>
      </c>
      <c r="B449" t="s">
        <v>34</v>
      </c>
      <c r="C449" t="s">
        <v>33</v>
      </c>
      <c r="D449" s="32">
        <v>40000</v>
      </c>
      <c r="E449">
        <v>1</v>
      </c>
      <c r="F449" t="s">
        <v>13</v>
      </c>
      <c r="G449" t="s">
        <v>14</v>
      </c>
      <c r="H449" t="s">
        <v>15</v>
      </c>
      <c r="I449">
        <v>0</v>
      </c>
      <c r="J449" t="s">
        <v>26</v>
      </c>
      <c r="K449" t="s">
        <v>17</v>
      </c>
      <c r="L449">
        <v>32</v>
      </c>
      <c r="M449" t="s">
        <v>15</v>
      </c>
    </row>
    <row r="450" spans="1:13" x14ac:dyDescent="0.25">
      <c r="A450">
        <v>11383</v>
      </c>
      <c r="B450" t="s">
        <v>34</v>
      </c>
      <c r="C450" t="s">
        <v>33</v>
      </c>
      <c r="D450" s="32">
        <v>30000</v>
      </c>
      <c r="E450">
        <v>3</v>
      </c>
      <c r="F450" t="s">
        <v>31</v>
      </c>
      <c r="G450" t="s">
        <v>20</v>
      </c>
      <c r="H450" t="s">
        <v>15</v>
      </c>
      <c r="I450">
        <v>0</v>
      </c>
      <c r="J450" t="s">
        <v>16</v>
      </c>
      <c r="K450" t="s">
        <v>17</v>
      </c>
      <c r="L450">
        <v>46</v>
      </c>
      <c r="M450" t="s">
        <v>18</v>
      </c>
    </row>
    <row r="451" spans="1:13" x14ac:dyDescent="0.25">
      <c r="A451">
        <v>12497</v>
      </c>
      <c r="B451" t="s">
        <v>34</v>
      </c>
      <c r="C451" t="s">
        <v>33</v>
      </c>
      <c r="D451" s="32">
        <v>40000</v>
      </c>
      <c r="E451">
        <v>1</v>
      </c>
      <c r="F451" t="s">
        <v>13</v>
      </c>
      <c r="G451" t="s">
        <v>14</v>
      </c>
      <c r="H451" t="s">
        <v>15</v>
      </c>
      <c r="I451">
        <v>0</v>
      </c>
      <c r="J451" t="s">
        <v>16</v>
      </c>
      <c r="K451" t="s">
        <v>17</v>
      </c>
      <c r="L451">
        <v>42</v>
      </c>
      <c r="M451" t="s">
        <v>18</v>
      </c>
    </row>
    <row r="452" spans="1:13" x14ac:dyDescent="0.25">
      <c r="A452">
        <v>16559</v>
      </c>
      <c r="B452" t="s">
        <v>35</v>
      </c>
      <c r="C452" t="s">
        <v>33</v>
      </c>
      <c r="D452" s="32">
        <v>10000</v>
      </c>
      <c r="E452">
        <v>2</v>
      </c>
      <c r="F452" t="s">
        <v>27</v>
      </c>
      <c r="G452" t="s">
        <v>25</v>
      </c>
      <c r="H452" t="s">
        <v>15</v>
      </c>
      <c r="I452">
        <v>0</v>
      </c>
      <c r="J452" t="s">
        <v>16</v>
      </c>
      <c r="K452" t="s">
        <v>17</v>
      </c>
      <c r="L452">
        <v>36</v>
      </c>
      <c r="M452" t="s">
        <v>15</v>
      </c>
    </row>
    <row r="453" spans="1:13" x14ac:dyDescent="0.25">
      <c r="A453">
        <v>11585</v>
      </c>
      <c r="B453" t="s">
        <v>34</v>
      </c>
      <c r="C453" t="s">
        <v>33</v>
      </c>
      <c r="D453" s="32">
        <v>40000</v>
      </c>
      <c r="E453">
        <v>1</v>
      </c>
      <c r="F453" t="s">
        <v>13</v>
      </c>
      <c r="G453" t="s">
        <v>14</v>
      </c>
      <c r="H453" t="s">
        <v>15</v>
      </c>
      <c r="I453">
        <v>0</v>
      </c>
      <c r="J453" t="s">
        <v>16</v>
      </c>
      <c r="K453" t="s">
        <v>17</v>
      </c>
      <c r="L453">
        <v>41</v>
      </c>
      <c r="M453" t="s">
        <v>18</v>
      </c>
    </row>
    <row r="454" spans="1:13" x14ac:dyDescent="0.25">
      <c r="A454">
        <v>20277</v>
      </c>
      <c r="B454" t="s">
        <v>34</v>
      </c>
      <c r="C454" t="s">
        <v>33</v>
      </c>
      <c r="D454" s="32">
        <v>30000</v>
      </c>
      <c r="E454">
        <v>2</v>
      </c>
      <c r="F454" t="s">
        <v>19</v>
      </c>
      <c r="G454" t="s">
        <v>20</v>
      </c>
      <c r="H454" t="s">
        <v>18</v>
      </c>
      <c r="I454">
        <v>2</v>
      </c>
      <c r="J454" t="s">
        <v>16</v>
      </c>
      <c r="K454" t="s">
        <v>24</v>
      </c>
      <c r="L454">
        <v>69</v>
      </c>
      <c r="M454" t="s">
        <v>18</v>
      </c>
    </row>
    <row r="455" spans="1:13" x14ac:dyDescent="0.25">
      <c r="A455">
        <v>26765</v>
      </c>
      <c r="B455" t="s">
        <v>35</v>
      </c>
      <c r="C455" t="s">
        <v>33</v>
      </c>
      <c r="D455" s="32">
        <v>70000</v>
      </c>
      <c r="E455">
        <v>5</v>
      </c>
      <c r="F455" t="s">
        <v>19</v>
      </c>
      <c r="G455" t="s">
        <v>14</v>
      </c>
      <c r="H455" t="s">
        <v>15</v>
      </c>
      <c r="I455">
        <v>2</v>
      </c>
      <c r="J455" t="s">
        <v>23</v>
      </c>
      <c r="K455" t="s">
        <v>24</v>
      </c>
      <c r="L455">
        <v>45</v>
      </c>
      <c r="M455" t="s">
        <v>18</v>
      </c>
    </row>
    <row r="456" spans="1:13" x14ac:dyDescent="0.25">
      <c r="A456">
        <v>12389</v>
      </c>
      <c r="B456" t="s">
        <v>35</v>
      </c>
      <c r="C456" t="s">
        <v>34</v>
      </c>
      <c r="D456" s="32">
        <v>30000</v>
      </c>
      <c r="E456">
        <v>0</v>
      </c>
      <c r="F456" t="s">
        <v>27</v>
      </c>
      <c r="G456" t="s">
        <v>25</v>
      </c>
      <c r="H456" t="s">
        <v>18</v>
      </c>
      <c r="I456">
        <v>1</v>
      </c>
      <c r="J456" t="s">
        <v>22</v>
      </c>
      <c r="K456" t="s">
        <v>17</v>
      </c>
      <c r="L456">
        <v>34</v>
      </c>
      <c r="M456" t="s">
        <v>18</v>
      </c>
    </row>
    <row r="457" spans="1:13" x14ac:dyDescent="0.25">
      <c r="A457">
        <v>13585</v>
      </c>
      <c r="B457" t="s">
        <v>34</v>
      </c>
      <c r="C457" t="s">
        <v>33</v>
      </c>
      <c r="D457" s="32">
        <v>80000</v>
      </c>
      <c r="E457">
        <v>4</v>
      </c>
      <c r="F457" t="s">
        <v>19</v>
      </c>
      <c r="G457" t="s">
        <v>21</v>
      </c>
      <c r="H457" t="s">
        <v>18</v>
      </c>
      <c r="I457">
        <v>1</v>
      </c>
      <c r="J457" t="s">
        <v>22</v>
      </c>
      <c r="K457" t="s">
        <v>17</v>
      </c>
      <c r="L457">
        <v>53</v>
      </c>
      <c r="M457" t="s">
        <v>15</v>
      </c>
    </row>
    <row r="458" spans="1:13" x14ac:dyDescent="0.25">
      <c r="A458">
        <v>26385</v>
      </c>
      <c r="B458" t="s">
        <v>35</v>
      </c>
      <c r="C458" t="s">
        <v>34</v>
      </c>
      <c r="D458" s="32">
        <v>120000</v>
      </c>
      <c r="E458">
        <v>3</v>
      </c>
      <c r="F458" t="s">
        <v>27</v>
      </c>
      <c r="G458" t="s">
        <v>21</v>
      </c>
      <c r="H458" t="s">
        <v>18</v>
      </c>
      <c r="I458">
        <v>4</v>
      </c>
      <c r="J458" t="s">
        <v>23</v>
      </c>
      <c r="K458" t="s">
        <v>17</v>
      </c>
      <c r="L458">
        <v>50</v>
      </c>
      <c r="M458" t="s">
        <v>18</v>
      </c>
    </row>
    <row r="459" spans="1:13" x14ac:dyDescent="0.25">
      <c r="A459">
        <v>12236</v>
      </c>
      <c r="B459" t="s">
        <v>34</v>
      </c>
      <c r="C459" t="s">
        <v>33</v>
      </c>
      <c r="D459" s="32">
        <v>20000</v>
      </c>
      <c r="E459">
        <v>1</v>
      </c>
      <c r="F459" t="s">
        <v>19</v>
      </c>
      <c r="G459" t="s">
        <v>25</v>
      </c>
      <c r="H459" t="s">
        <v>15</v>
      </c>
      <c r="I459">
        <v>0</v>
      </c>
      <c r="J459" t="s">
        <v>16</v>
      </c>
      <c r="K459" t="s">
        <v>17</v>
      </c>
      <c r="L459">
        <v>65</v>
      </c>
      <c r="M459" t="s">
        <v>18</v>
      </c>
    </row>
    <row r="460" spans="1:13" x14ac:dyDescent="0.25">
      <c r="A460">
        <v>21560</v>
      </c>
      <c r="B460" t="s">
        <v>34</v>
      </c>
      <c r="C460" t="s">
        <v>34</v>
      </c>
      <c r="D460" s="32">
        <v>120000</v>
      </c>
      <c r="E460">
        <v>0</v>
      </c>
      <c r="F460" t="s">
        <v>29</v>
      </c>
      <c r="G460" t="s">
        <v>21</v>
      </c>
      <c r="H460" t="s">
        <v>15</v>
      </c>
      <c r="I460">
        <v>4</v>
      </c>
      <c r="J460" t="s">
        <v>30</v>
      </c>
      <c r="K460" t="s">
        <v>24</v>
      </c>
      <c r="L460">
        <v>32</v>
      </c>
      <c r="M460" t="s">
        <v>15</v>
      </c>
    </row>
    <row r="461" spans="1:13" x14ac:dyDescent="0.25">
      <c r="A461">
        <v>21554</v>
      </c>
      <c r="B461" t="s">
        <v>35</v>
      </c>
      <c r="C461" t="s">
        <v>33</v>
      </c>
      <c r="D461" s="32">
        <v>80000</v>
      </c>
      <c r="E461">
        <v>0</v>
      </c>
      <c r="F461" t="s">
        <v>13</v>
      </c>
      <c r="G461" t="s">
        <v>21</v>
      </c>
      <c r="H461" t="s">
        <v>18</v>
      </c>
      <c r="I461">
        <v>3</v>
      </c>
      <c r="J461" t="s">
        <v>30</v>
      </c>
      <c r="K461" t="s">
        <v>24</v>
      </c>
      <c r="L461">
        <v>33</v>
      </c>
      <c r="M461" t="s">
        <v>18</v>
      </c>
    </row>
    <row r="462" spans="1:13" x14ac:dyDescent="0.25">
      <c r="A462">
        <v>13662</v>
      </c>
      <c r="B462" t="s">
        <v>35</v>
      </c>
      <c r="C462" t="s">
        <v>34</v>
      </c>
      <c r="D462" s="32">
        <v>20000</v>
      </c>
      <c r="E462">
        <v>0</v>
      </c>
      <c r="F462" t="s">
        <v>29</v>
      </c>
      <c r="G462" t="s">
        <v>25</v>
      </c>
      <c r="H462" t="s">
        <v>15</v>
      </c>
      <c r="I462">
        <v>2</v>
      </c>
      <c r="J462" t="s">
        <v>26</v>
      </c>
      <c r="K462" t="s">
        <v>17</v>
      </c>
      <c r="L462">
        <v>31</v>
      </c>
      <c r="M462" t="s">
        <v>15</v>
      </c>
    </row>
    <row r="463" spans="1:13" x14ac:dyDescent="0.25">
      <c r="A463">
        <v>13089</v>
      </c>
      <c r="B463" t="s">
        <v>34</v>
      </c>
      <c r="C463" t="s">
        <v>33</v>
      </c>
      <c r="D463" s="32">
        <v>120000</v>
      </c>
      <c r="E463">
        <v>1</v>
      </c>
      <c r="F463" t="s">
        <v>13</v>
      </c>
      <c r="G463" t="s">
        <v>28</v>
      </c>
      <c r="H463" t="s">
        <v>15</v>
      </c>
      <c r="I463">
        <v>2</v>
      </c>
      <c r="J463" t="s">
        <v>16</v>
      </c>
      <c r="K463" t="s">
        <v>24</v>
      </c>
      <c r="L463">
        <v>46</v>
      </c>
      <c r="M463" t="s">
        <v>15</v>
      </c>
    </row>
    <row r="464" spans="1:13" x14ac:dyDescent="0.25">
      <c r="A464">
        <v>14791</v>
      </c>
      <c r="B464" t="s">
        <v>34</v>
      </c>
      <c r="C464" t="s">
        <v>33</v>
      </c>
      <c r="D464" s="32">
        <v>40000</v>
      </c>
      <c r="E464">
        <v>0</v>
      </c>
      <c r="F464" t="s">
        <v>13</v>
      </c>
      <c r="G464" t="s">
        <v>20</v>
      </c>
      <c r="H464" t="s">
        <v>15</v>
      </c>
      <c r="I464">
        <v>0</v>
      </c>
      <c r="J464" t="s">
        <v>16</v>
      </c>
      <c r="K464" t="s">
        <v>17</v>
      </c>
      <c r="L464">
        <v>39</v>
      </c>
      <c r="M464" t="s">
        <v>15</v>
      </c>
    </row>
    <row r="465" spans="1:13" x14ac:dyDescent="0.25">
      <c r="A465">
        <v>19331</v>
      </c>
      <c r="B465" t="s">
        <v>35</v>
      </c>
      <c r="C465" t="s">
        <v>34</v>
      </c>
      <c r="D465" s="32">
        <v>20000</v>
      </c>
      <c r="E465">
        <v>2</v>
      </c>
      <c r="F465" t="s">
        <v>27</v>
      </c>
      <c r="G465" t="s">
        <v>25</v>
      </c>
      <c r="H465" t="s">
        <v>15</v>
      </c>
      <c r="I465">
        <v>1</v>
      </c>
      <c r="J465" t="s">
        <v>16</v>
      </c>
      <c r="K465" t="s">
        <v>17</v>
      </c>
      <c r="L465">
        <v>40</v>
      </c>
      <c r="M465" t="s">
        <v>18</v>
      </c>
    </row>
    <row r="466" spans="1:13" x14ac:dyDescent="0.25">
      <c r="A466">
        <v>17754</v>
      </c>
      <c r="B466" t="s">
        <v>35</v>
      </c>
      <c r="C466" t="s">
        <v>33</v>
      </c>
      <c r="D466" s="32">
        <v>30000</v>
      </c>
      <c r="E466">
        <v>3</v>
      </c>
      <c r="F466" t="s">
        <v>13</v>
      </c>
      <c r="G466" t="s">
        <v>20</v>
      </c>
      <c r="H466" t="s">
        <v>15</v>
      </c>
      <c r="I466">
        <v>0</v>
      </c>
      <c r="J466" t="s">
        <v>16</v>
      </c>
      <c r="K466" t="s">
        <v>17</v>
      </c>
      <c r="L466">
        <v>46</v>
      </c>
      <c r="M466" t="s">
        <v>15</v>
      </c>
    </row>
    <row r="467" spans="1:13" x14ac:dyDescent="0.25">
      <c r="A467">
        <v>11149</v>
      </c>
      <c r="B467" t="s">
        <v>34</v>
      </c>
      <c r="C467" t="s">
        <v>34</v>
      </c>
      <c r="D467" s="32">
        <v>40000</v>
      </c>
      <c r="E467">
        <v>2</v>
      </c>
      <c r="F467" t="s">
        <v>13</v>
      </c>
      <c r="G467" t="s">
        <v>28</v>
      </c>
      <c r="H467" t="s">
        <v>15</v>
      </c>
      <c r="I467">
        <v>2</v>
      </c>
      <c r="J467" t="s">
        <v>16</v>
      </c>
      <c r="K467" t="s">
        <v>24</v>
      </c>
      <c r="L467">
        <v>65</v>
      </c>
      <c r="M467" t="s">
        <v>18</v>
      </c>
    </row>
    <row r="468" spans="1:13" x14ac:dyDescent="0.25">
      <c r="A468">
        <v>16549</v>
      </c>
      <c r="B468" t="s">
        <v>35</v>
      </c>
      <c r="C468" t="s">
        <v>33</v>
      </c>
      <c r="D468" s="32">
        <v>30000</v>
      </c>
      <c r="E468">
        <v>3</v>
      </c>
      <c r="F468" t="s">
        <v>13</v>
      </c>
      <c r="G468" t="s">
        <v>20</v>
      </c>
      <c r="H468" t="s">
        <v>15</v>
      </c>
      <c r="I468">
        <v>0</v>
      </c>
      <c r="J468" t="s">
        <v>16</v>
      </c>
      <c r="K468" t="s">
        <v>17</v>
      </c>
      <c r="L468">
        <v>47</v>
      </c>
      <c r="M468" t="s">
        <v>15</v>
      </c>
    </row>
    <row r="469" spans="1:13" x14ac:dyDescent="0.25">
      <c r="A469">
        <v>24305</v>
      </c>
      <c r="B469" t="s">
        <v>35</v>
      </c>
      <c r="C469" t="s">
        <v>34</v>
      </c>
      <c r="D469" s="32">
        <v>100000</v>
      </c>
      <c r="E469">
        <v>1</v>
      </c>
      <c r="F469" t="s">
        <v>13</v>
      </c>
      <c r="G469" t="s">
        <v>28</v>
      </c>
      <c r="H469" t="s">
        <v>18</v>
      </c>
      <c r="I469">
        <v>3</v>
      </c>
      <c r="J469" t="s">
        <v>16</v>
      </c>
      <c r="K469" t="s">
        <v>24</v>
      </c>
      <c r="L469">
        <v>46</v>
      </c>
      <c r="M469" t="s">
        <v>15</v>
      </c>
    </row>
    <row r="470" spans="1:13" x14ac:dyDescent="0.25">
      <c r="A470">
        <v>18253</v>
      </c>
      <c r="B470" t="s">
        <v>34</v>
      </c>
      <c r="C470" t="s">
        <v>33</v>
      </c>
      <c r="D470" s="32">
        <v>80000</v>
      </c>
      <c r="E470">
        <v>5</v>
      </c>
      <c r="F470" t="s">
        <v>31</v>
      </c>
      <c r="G470" t="s">
        <v>28</v>
      </c>
      <c r="H470" t="s">
        <v>15</v>
      </c>
      <c r="I470">
        <v>3</v>
      </c>
      <c r="J470" t="s">
        <v>16</v>
      </c>
      <c r="K470" t="s">
        <v>24</v>
      </c>
      <c r="L470">
        <v>40</v>
      </c>
      <c r="M470" t="s">
        <v>18</v>
      </c>
    </row>
    <row r="471" spans="1:13" x14ac:dyDescent="0.25">
      <c r="A471">
        <v>20147</v>
      </c>
      <c r="B471" t="s">
        <v>34</v>
      </c>
      <c r="C471" t="s">
        <v>33</v>
      </c>
      <c r="D471" s="32">
        <v>30000</v>
      </c>
      <c r="E471">
        <v>1</v>
      </c>
      <c r="F471" t="s">
        <v>13</v>
      </c>
      <c r="G471" t="s">
        <v>20</v>
      </c>
      <c r="H471" t="s">
        <v>15</v>
      </c>
      <c r="I471">
        <v>0</v>
      </c>
      <c r="J471" t="s">
        <v>16</v>
      </c>
      <c r="K471" t="s">
        <v>17</v>
      </c>
      <c r="L471">
        <v>65</v>
      </c>
      <c r="M471" t="s">
        <v>18</v>
      </c>
    </row>
    <row r="472" spans="1:13" x14ac:dyDescent="0.25">
      <c r="A472">
        <v>15612</v>
      </c>
      <c r="B472" t="s">
        <v>35</v>
      </c>
      <c r="C472" t="s">
        <v>34</v>
      </c>
      <c r="D472" s="32">
        <v>30000</v>
      </c>
      <c r="E472">
        <v>0</v>
      </c>
      <c r="F472" t="s">
        <v>27</v>
      </c>
      <c r="G472" t="s">
        <v>25</v>
      </c>
      <c r="H472" t="s">
        <v>18</v>
      </c>
      <c r="I472">
        <v>1</v>
      </c>
      <c r="J472" t="s">
        <v>26</v>
      </c>
      <c r="K472" t="s">
        <v>17</v>
      </c>
      <c r="L472">
        <v>28</v>
      </c>
      <c r="M472" t="s">
        <v>18</v>
      </c>
    </row>
    <row r="473" spans="1:13" x14ac:dyDescent="0.25">
      <c r="A473">
        <v>28323</v>
      </c>
      <c r="B473" t="s">
        <v>35</v>
      </c>
      <c r="C473" t="s">
        <v>34</v>
      </c>
      <c r="D473" s="32">
        <v>70000</v>
      </c>
      <c r="E473">
        <v>0</v>
      </c>
      <c r="F473" t="s">
        <v>13</v>
      </c>
      <c r="G473" t="s">
        <v>21</v>
      </c>
      <c r="H473" t="s">
        <v>18</v>
      </c>
      <c r="I473">
        <v>2</v>
      </c>
      <c r="J473" t="s">
        <v>23</v>
      </c>
      <c r="K473" t="s">
        <v>24</v>
      </c>
      <c r="L473">
        <v>43</v>
      </c>
      <c r="M473" t="s">
        <v>15</v>
      </c>
    </row>
    <row r="474" spans="1:13" x14ac:dyDescent="0.25">
      <c r="A474">
        <v>22634</v>
      </c>
      <c r="B474" t="s">
        <v>35</v>
      </c>
      <c r="C474" t="s">
        <v>33</v>
      </c>
      <c r="D474" s="32">
        <v>40000</v>
      </c>
      <c r="E474">
        <v>0</v>
      </c>
      <c r="F474" t="s">
        <v>31</v>
      </c>
      <c r="G474" t="s">
        <v>20</v>
      </c>
      <c r="H474" t="s">
        <v>15</v>
      </c>
      <c r="I474">
        <v>0</v>
      </c>
      <c r="J474" t="s">
        <v>16</v>
      </c>
      <c r="K474" t="s">
        <v>17</v>
      </c>
      <c r="L474">
        <v>38</v>
      </c>
      <c r="M474" t="s">
        <v>15</v>
      </c>
    </row>
    <row r="475" spans="1:13" x14ac:dyDescent="0.25">
      <c r="A475">
        <v>15665</v>
      </c>
      <c r="B475" t="s">
        <v>34</v>
      </c>
      <c r="C475" t="s">
        <v>33</v>
      </c>
      <c r="D475" s="32">
        <v>30000</v>
      </c>
      <c r="E475">
        <v>0</v>
      </c>
      <c r="F475" t="s">
        <v>13</v>
      </c>
      <c r="G475" t="s">
        <v>20</v>
      </c>
      <c r="H475" t="s">
        <v>15</v>
      </c>
      <c r="I475">
        <v>0</v>
      </c>
      <c r="J475" t="s">
        <v>16</v>
      </c>
      <c r="K475" t="s">
        <v>17</v>
      </c>
      <c r="L475">
        <v>47</v>
      </c>
      <c r="M475" t="s">
        <v>15</v>
      </c>
    </row>
    <row r="476" spans="1:13" x14ac:dyDescent="0.25">
      <c r="A476">
        <v>27585</v>
      </c>
      <c r="B476" t="s">
        <v>34</v>
      </c>
      <c r="C476" t="s">
        <v>33</v>
      </c>
      <c r="D476" s="32">
        <v>90000</v>
      </c>
      <c r="E476">
        <v>2</v>
      </c>
      <c r="F476" t="s">
        <v>13</v>
      </c>
      <c r="G476" t="s">
        <v>21</v>
      </c>
      <c r="H476" t="s">
        <v>18</v>
      </c>
      <c r="I476">
        <v>0</v>
      </c>
      <c r="J476" t="s">
        <v>16</v>
      </c>
      <c r="K476" t="s">
        <v>24</v>
      </c>
      <c r="L476">
        <v>36</v>
      </c>
      <c r="M476" t="s">
        <v>15</v>
      </c>
    </row>
    <row r="477" spans="1:13" x14ac:dyDescent="0.25">
      <c r="A477">
        <v>19748</v>
      </c>
      <c r="B477" t="s">
        <v>34</v>
      </c>
      <c r="C477" t="s">
        <v>34</v>
      </c>
      <c r="D477" s="32">
        <v>20000</v>
      </c>
      <c r="E477">
        <v>4</v>
      </c>
      <c r="F477" t="s">
        <v>27</v>
      </c>
      <c r="G477" t="s">
        <v>14</v>
      </c>
      <c r="H477" t="s">
        <v>18</v>
      </c>
      <c r="I477">
        <v>2</v>
      </c>
      <c r="J477" t="s">
        <v>26</v>
      </c>
      <c r="K477" t="s">
        <v>24</v>
      </c>
      <c r="L477">
        <v>60</v>
      </c>
      <c r="M477" t="s">
        <v>18</v>
      </c>
    </row>
    <row r="478" spans="1:13" x14ac:dyDescent="0.25">
      <c r="A478">
        <v>21974</v>
      </c>
      <c r="B478" t="s">
        <v>35</v>
      </c>
      <c r="C478" t="s">
        <v>33</v>
      </c>
      <c r="D478" s="32">
        <v>70000</v>
      </c>
      <c r="E478">
        <v>0</v>
      </c>
      <c r="F478" t="s">
        <v>13</v>
      </c>
      <c r="G478" t="s">
        <v>21</v>
      </c>
      <c r="H478" t="s">
        <v>15</v>
      </c>
      <c r="I478">
        <v>1</v>
      </c>
      <c r="J478" t="s">
        <v>23</v>
      </c>
      <c r="K478" t="s">
        <v>24</v>
      </c>
      <c r="L478">
        <v>42</v>
      </c>
      <c r="M478" t="s">
        <v>15</v>
      </c>
    </row>
    <row r="479" spans="1:13" x14ac:dyDescent="0.25">
      <c r="A479">
        <v>14032</v>
      </c>
      <c r="B479" t="s">
        <v>34</v>
      </c>
      <c r="C479" t="s">
        <v>34</v>
      </c>
      <c r="D479" s="32">
        <v>70000</v>
      </c>
      <c r="E479">
        <v>2</v>
      </c>
      <c r="F479" t="s">
        <v>27</v>
      </c>
      <c r="G479" t="s">
        <v>14</v>
      </c>
      <c r="H479" t="s">
        <v>18</v>
      </c>
      <c r="I479">
        <v>2</v>
      </c>
      <c r="J479" t="s">
        <v>26</v>
      </c>
      <c r="K479" t="s">
        <v>24</v>
      </c>
      <c r="L479">
        <v>50</v>
      </c>
      <c r="M479" t="s">
        <v>15</v>
      </c>
    </row>
    <row r="480" spans="1:13" x14ac:dyDescent="0.25">
      <c r="A480">
        <v>22610</v>
      </c>
      <c r="B480" t="s">
        <v>34</v>
      </c>
      <c r="C480" t="s">
        <v>34</v>
      </c>
      <c r="D480" s="32">
        <v>30000</v>
      </c>
      <c r="E480">
        <v>0</v>
      </c>
      <c r="F480" t="s">
        <v>13</v>
      </c>
      <c r="G480" t="s">
        <v>20</v>
      </c>
      <c r="H480" t="s">
        <v>15</v>
      </c>
      <c r="I480">
        <v>0</v>
      </c>
      <c r="J480" t="s">
        <v>16</v>
      </c>
      <c r="K480" t="s">
        <v>17</v>
      </c>
      <c r="L480">
        <v>35</v>
      </c>
      <c r="M480" t="s">
        <v>15</v>
      </c>
    </row>
    <row r="481" spans="1:13" x14ac:dyDescent="0.25">
      <c r="A481">
        <v>26984</v>
      </c>
      <c r="B481" t="s">
        <v>34</v>
      </c>
      <c r="C481" t="s">
        <v>34</v>
      </c>
      <c r="D481" s="32">
        <v>40000</v>
      </c>
      <c r="E481">
        <v>1</v>
      </c>
      <c r="F481" t="s">
        <v>13</v>
      </c>
      <c r="G481" t="s">
        <v>14</v>
      </c>
      <c r="H481" t="s">
        <v>15</v>
      </c>
      <c r="I481">
        <v>1</v>
      </c>
      <c r="J481" t="s">
        <v>16</v>
      </c>
      <c r="K481" t="s">
        <v>17</v>
      </c>
      <c r="L481">
        <v>32</v>
      </c>
      <c r="M481" t="s">
        <v>15</v>
      </c>
    </row>
    <row r="482" spans="1:13" x14ac:dyDescent="0.25">
      <c r="A482">
        <v>18294</v>
      </c>
      <c r="B482" t="s">
        <v>34</v>
      </c>
      <c r="C482" t="s">
        <v>33</v>
      </c>
      <c r="D482" s="32">
        <v>90000</v>
      </c>
      <c r="E482">
        <v>1</v>
      </c>
      <c r="F482" t="s">
        <v>13</v>
      </c>
      <c r="G482" t="s">
        <v>21</v>
      </c>
      <c r="H482" t="s">
        <v>15</v>
      </c>
      <c r="I482">
        <v>1</v>
      </c>
      <c r="J482" t="s">
        <v>23</v>
      </c>
      <c r="K482" t="s">
        <v>24</v>
      </c>
      <c r="L482">
        <v>46</v>
      </c>
      <c r="M482" t="s">
        <v>18</v>
      </c>
    </row>
    <row r="483" spans="1:13" x14ac:dyDescent="0.25">
      <c r="A483">
        <v>28564</v>
      </c>
      <c r="B483" t="s">
        <v>35</v>
      </c>
      <c r="C483" t="s">
        <v>33</v>
      </c>
      <c r="D483" s="32">
        <v>40000</v>
      </c>
      <c r="E483">
        <v>2</v>
      </c>
      <c r="F483" t="s">
        <v>19</v>
      </c>
      <c r="G483" t="s">
        <v>20</v>
      </c>
      <c r="H483" t="s">
        <v>15</v>
      </c>
      <c r="I483">
        <v>0</v>
      </c>
      <c r="J483" t="s">
        <v>26</v>
      </c>
      <c r="K483" t="s">
        <v>17</v>
      </c>
      <c r="L483">
        <v>33</v>
      </c>
      <c r="M483" t="s">
        <v>15</v>
      </c>
    </row>
    <row r="484" spans="1:13" x14ac:dyDescent="0.25">
      <c r="A484">
        <v>28521</v>
      </c>
      <c r="B484" t="s">
        <v>35</v>
      </c>
      <c r="C484" t="s">
        <v>34</v>
      </c>
      <c r="D484" s="32">
        <v>40000</v>
      </c>
      <c r="E484">
        <v>0</v>
      </c>
      <c r="F484" t="s">
        <v>31</v>
      </c>
      <c r="G484" t="s">
        <v>20</v>
      </c>
      <c r="H484" t="s">
        <v>18</v>
      </c>
      <c r="I484">
        <v>0</v>
      </c>
      <c r="J484" t="s">
        <v>16</v>
      </c>
      <c r="K484" t="s">
        <v>17</v>
      </c>
      <c r="L484">
        <v>36</v>
      </c>
      <c r="M484" t="s">
        <v>15</v>
      </c>
    </row>
    <row r="485" spans="1:13" x14ac:dyDescent="0.25">
      <c r="A485">
        <v>15450</v>
      </c>
      <c r="B485" t="s">
        <v>34</v>
      </c>
      <c r="C485" t="s">
        <v>34</v>
      </c>
      <c r="D485" s="32">
        <v>10000</v>
      </c>
      <c r="E485">
        <v>1</v>
      </c>
      <c r="F485" t="s">
        <v>31</v>
      </c>
      <c r="G485" t="s">
        <v>20</v>
      </c>
      <c r="H485" t="s">
        <v>15</v>
      </c>
      <c r="I485">
        <v>0</v>
      </c>
      <c r="J485" t="s">
        <v>16</v>
      </c>
      <c r="K485" t="s">
        <v>17</v>
      </c>
      <c r="L485">
        <v>70</v>
      </c>
      <c r="M485" t="s">
        <v>18</v>
      </c>
    </row>
    <row r="486" spans="1:13" x14ac:dyDescent="0.25">
      <c r="A486">
        <v>25681</v>
      </c>
      <c r="B486" t="s">
        <v>35</v>
      </c>
      <c r="C486" t="s">
        <v>33</v>
      </c>
      <c r="D486" s="32">
        <v>30000</v>
      </c>
      <c r="E486">
        <v>0</v>
      </c>
      <c r="F486" t="s">
        <v>19</v>
      </c>
      <c r="G486" t="s">
        <v>20</v>
      </c>
      <c r="H486" t="s">
        <v>18</v>
      </c>
      <c r="I486">
        <v>1</v>
      </c>
      <c r="J486" t="s">
        <v>22</v>
      </c>
      <c r="K486" t="s">
        <v>17</v>
      </c>
      <c r="L486">
        <v>31</v>
      </c>
      <c r="M486" t="s">
        <v>15</v>
      </c>
    </row>
    <row r="487" spans="1:13" x14ac:dyDescent="0.25">
      <c r="A487">
        <v>19491</v>
      </c>
      <c r="B487" t="s">
        <v>35</v>
      </c>
      <c r="C487" t="s">
        <v>34</v>
      </c>
      <c r="D487" s="32">
        <v>30000</v>
      </c>
      <c r="E487">
        <v>2</v>
      </c>
      <c r="F487" t="s">
        <v>19</v>
      </c>
      <c r="G487" t="s">
        <v>20</v>
      </c>
      <c r="H487" t="s">
        <v>15</v>
      </c>
      <c r="I487">
        <v>2</v>
      </c>
      <c r="J487" t="s">
        <v>16</v>
      </c>
      <c r="K487" t="s">
        <v>17</v>
      </c>
      <c r="L487">
        <v>42</v>
      </c>
      <c r="M487" t="s">
        <v>18</v>
      </c>
    </row>
    <row r="488" spans="1:13" x14ac:dyDescent="0.25">
      <c r="A488">
        <v>26415</v>
      </c>
      <c r="B488" t="s">
        <v>34</v>
      </c>
      <c r="C488" t="s">
        <v>33</v>
      </c>
      <c r="D488" s="32">
        <v>90000</v>
      </c>
      <c r="E488">
        <v>4</v>
      </c>
      <c r="F488" t="s">
        <v>29</v>
      </c>
      <c r="G488" t="s">
        <v>14</v>
      </c>
      <c r="H488" t="s">
        <v>15</v>
      </c>
      <c r="I488">
        <v>4</v>
      </c>
      <c r="J488" t="s">
        <v>30</v>
      </c>
      <c r="K488" t="s">
        <v>17</v>
      </c>
      <c r="L488">
        <v>58</v>
      </c>
      <c r="M488" t="s">
        <v>18</v>
      </c>
    </row>
    <row r="489" spans="1:13" x14ac:dyDescent="0.25">
      <c r="A489">
        <v>12821</v>
      </c>
      <c r="B489" t="s">
        <v>34</v>
      </c>
      <c r="C489" t="s">
        <v>34</v>
      </c>
      <c r="D489" s="32">
        <v>40000</v>
      </c>
      <c r="E489">
        <v>0</v>
      </c>
      <c r="F489" t="s">
        <v>13</v>
      </c>
      <c r="G489" t="s">
        <v>20</v>
      </c>
      <c r="H489" t="s">
        <v>15</v>
      </c>
      <c r="I489">
        <v>0</v>
      </c>
      <c r="J489" t="s">
        <v>16</v>
      </c>
      <c r="K489" t="s">
        <v>17</v>
      </c>
      <c r="L489">
        <v>39</v>
      </c>
      <c r="M489" t="s">
        <v>18</v>
      </c>
    </row>
    <row r="490" spans="1:13" x14ac:dyDescent="0.25">
      <c r="A490">
        <v>15629</v>
      </c>
      <c r="B490" t="s">
        <v>35</v>
      </c>
      <c r="C490" t="s">
        <v>33</v>
      </c>
      <c r="D490" s="32">
        <v>10000</v>
      </c>
      <c r="E490">
        <v>0</v>
      </c>
      <c r="F490" t="s">
        <v>29</v>
      </c>
      <c r="G490" t="s">
        <v>25</v>
      </c>
      <c r="H490" t="s">
        <v>15</v>
      </c>
      <c r="I490">
        <v>2</v>
      </c>
      <c r="J490" t="s">
        <v>26</v>
      </c>
      <c r="K490" t="s">
        <v>17</v>
      </c>
      <c r="L490">
        <v>34</v>
      </c>
      <c r="M490" t="s">
        <v>18</v>
      </c>
    </row>
    <row r="491" spans="1:13" x14ac:dyDescent="0.25">
      <c r="A491">
        <v>27835</v>
      </c>
      <c r="B491" t="s">
        <v>34</v>
      </c>
      <c r="C491" t="s">
        <v>34</v>
      </c>
      <c r="D491" s="32">
        <v>20000</v>
      </c>
      <c r="E491">
        <v>0</v>
      </c>
      <c r="F491" t="s">
        <v>29</v>
      </c>
      <c r="G491" t="s">
        <v>25</v>
      </c>
      <c r="H491" t="s">
        <v>15</v>
      </c>
      <c r="I491">
        <v>2</v>
      </c>
      <c r="J491" t="s">
        <v>16</v>
      </c>
      <c r="K491" t="s">
        <v>17</v>
      </c>
      <c r="L491">
        <v>32</v>
      </c>
      <c r="M491" t="s">
        <v>18</v>
      </c>
    </row>
    <row r="492" spans="1:13" x14ac:dyDescent="0.25">
      <c r="A492">
        <v>11738</v>
      </c>
      <c r="B492" t="s">
        <v>34</v>
      </c>
      <c r="C492" t="s">
        <v>34</v>
      </c>
      <c r="D492" s="32">
        <v>60000</v>
      </c>
      <c r="E492">
        <v>4</v>
      </c>
      <c r="F492" t="s">
        <v>13</v>
      </c>
      <c r="G492" t="s">
        <v>21</v>
      </c>
      <c r="H492" t="s">
        <v>15</v>
      </c>
      <c r="I492">
        <v>0</v>
      </c>
      <c r="J492" t="s">
        <v>22</v>
      </c>
      <c r="K492" t="s">
        <v>32</v>
      </c>
      <c r="L492">
        <v>46</v>
      </c>
      <c r="M492" t="s">
        <v>18</v>
      </c>
    </row>
    <row r="493" spans="1:13" x14ac:dyDescent="0.25">
      <c r="A493">
        <v>25065</v>
      </c>
      <c r="B493" t="s">
        <v>34</v>
      </c>
      <c r="C493" t="s">
        <v>34</v>
      </c>
      <c r="D493" s="32">
        <v>70000</v>
      </c>
      <c r="E493">
        <v>2</v>
      </c>
      <c r="F493" t="s">
        <v>29</v>
      </c>
      <c r="G493" t="s">
        <v>14</v>
      </c>
      <c r="H493" t="s">
        <v>15</v>
      </c>
      <c r="I493">
        <v>2</v>
      </c>
      <c r="J493" t="s">
        <v>23</v>
      </c>
      <c r="K493" t="s">
        <v>32</v>
      </c>
      <c r="L493">
        <v>48</v>
      </c>
      <c r="M493" t="s">
        <v>18</v>
      </c>
    </row>
    <row r="494" spans="1:13" x14ac:dyDescent="0.25">
      <c r="A494">
        <v>26238</v>
      </c>
      <c r="B494" t="s">
        <v>35</v>
      </c>
      <c r="C494" t="s">
        <v>33</v>
      </c>
      <c r="D494" s="32">
        <v>40000</v>
      </c>
      <c r="E494">
        <v>3</v>
      </c>
      <c r="F494" t="s">
        <v>19</v>
      </c>
      <c r="G494" t="s">
        <v>20</v>
      </c>
      <c r="H494" t="s">
        <v>15</v>
      </c>
      <c r="I494">
        <v>1</v>
      </c>
      <c r="J494" t="s">
        <v>26</v>
      </c>
      <c r="K494" t="s">
        <v>32</v>
      </c>
      <c r="L494">
        <v>31</v>
      </c>
      <c r="M494" t="s">
        <v>15</v>
      </c>
    </row>
    <row r="495" spans="1:13" x14ac:dyDescent="0.25">
      <c r="A495">
        <v>23707</v>
      </c>
      <c r="B495" t="s">
        <v>35</v>
      </c>
      <c r="C495" t="s">
        <v>34</v>
      </c>
      <c r="D495" s="32">
        <v>70000</v>
      </c>
      <c r="E495">
        <v>5</v>
      </c>
      <c r="F495" t="s">
        <v>13</v>
      </c>
      <c r="G495" t="s">
        <v>28</v>
      </c>
      <c r="H495" t="s">
        <v>15</v>
      </c>
      <c r="I495">
        <v>3</v>
      </c>
      <c r="J495" t="s">
        <v>30</v>
      </c>
      <c r="K495" t="s">
        <v>32</v>
      </c>
      <c r="L495">
        <v>60</v>
      </c>
      <c r="M495" t="s">
        <v>15</v>
      </c>
    </row>
    <row r="496" spans="1:13" x14ac:dyDescent="0.25">
      <c r="A496">
        <v>27650</v>
      </c>
      <c r="B496" t="s">
        <v>34</v>
      </c>
      <c r="C496" t="s">
        <v>34</v>
      </c>
      <c r="D496" s="32">
        <v>70000</v>
      </c>
      <c r="E496">
        <v>4</v>
      </c>
      <c r="F496" t="s">
        <v>27</v>
      </c>
      <c r="G496" t="s">
        <v>21</v>
      </c>
      <c r="H496" t="s">
        <v>15</v>
      </c>
      <c r="I496">
        <v>0</v>
      </c>
      <c r="J496" t="s">
        <v>23</v>
      </c>
      <c r="K496" t="s">
        <v>32</v>
      </c>
      <c r="L496">
        <v>51</v>
      </c>
      <c r="M496" t="s">
        <v>18</v>
      </c>
    </row>
    <row r="497" spans="1:13" x14ac:dyDescent="0.25">
      <c r="A497">
        <v>24981</v>
      </c>
      <c r="B497" t="s">
        <v>34</v>
      </c>
      <c r="C497" t="s">
        <v>34</v>
      </c>
      <c r="D497" s="32">
        <v>60000</v>
      </c>
      <c r="E497">
        <v>2</v>
      </c>
      <c r="F497" t="s">
        <v>19</v>
      </c>
      <c r="G497" t="s">
        <v>21</v>
      </c>
      <c r="H497" t="s">
        <v>15</v>
      </c>
      <c r="I497">
        <v>2</v>
      </c>
      <c r="J497" t="s">
        <v>30</v>
      </c>
      <c r="K497" t="s">
        <v>32</v>
      </c>
      <c r="L497">
        <v>56</v>
      </c>
      <c r="M497" t="s">
        <v>18</v>
      </c>
    </row>
    <row r="498" spans="1:13" x14ac:dyDescent="0.25">
      <c r="A498">
        <v>20678</v>
      </c>
      <c r="B498" t="s">
        <v>35</v>
      </c>
      <c r="C498" t="s">
        <v>33</v>
      </c>
      <c r="D498" s="32">
        <v>60000</v>
      </c>
      <c r="E498">
        <v>3</v>
      </c>
      <c r="F498" t="s">
        <v>13</v>
      </c>
      <c r="G498" t="s">
        <v>14</v>
      </c>
      <c r="H498" t="s">
        <v>15</v>
      </c>
      <c r="I498">
        <v>1</v>
      </c>
      <c r="J498" t="s">
        <v>22</v>
      </c>
      <c r="K498" t="s">
        <v>32</v>
      </c>
      <c r="L498">
        <v>40</v>
      </c>
      <c r="M498" t="s">
        <v>15</v>
      </c>
    </row>
    <row r="499" spans="1:13" x14ac:dyDescent="0.25">
      <c r="A499">
        <v>15302</v>
      </c>
      <c r="B499" t="s">
        <v>35</v>
      </c>
      <c r="C499" t="s">
        <v>33</v>
      </c>
      <c r="D499" s="32">
        <v>70000</v>
      </c>
      <c r="E499">
        <v>1</v>
      </c>
      <c r="F499" t="s">
        <v>31</v>
      </c>
      <c r="G499" t="s">
        <v>21</v>
      </c>
      <c r="H499" t="s">
        <v>15</v>
      </c>
      <c r="I499">
        <v>0</v>
      </c>
      <c r="J499" t="s">
        <v>22</v>
      </c>
      <c r="K499" t="s">
        <v>32</v>
      </c>
      <c r="L499">
        <v>34</v>
      </c>
      <c r="M499" t="s">
        <v>15</v>
      </c>
    </row>
    <row r="500" spans="1:13" x14ac:dyDescent="0.25">
      <c r="A500">
        <v>26012</v>
      </c>
      <c r="B500" t="s">
        <v>34</v>
      </c>
      <c r="C500" t="s">
        <v>34</v>
      </c>
      <c r="D500" s="32">
        <v>80000</v>
      </c>
      <c r="E500">
        <v>1</v>
      </c>
      <c r="F500" t="s">
        <v>19</v>
      </c>
      <c r="G500" t="s">
        <v>14</v>
      </c>
      <c r="H500" t="s">
        <v>15</v>
      </c>
      <c r="I500">
        <v>1</v>
      </c>
      <c r="J500" t="s">
        <v>22</v>
      </c>
      <c r="K500" t="s">
        <v>32</v>
      </c>
      <c r="L500">
        <v>48</v>
      </c>
      <c r="M500" t="s">
        <v>15</v>
      </c>
    </row>
    <row r="501" spans="1:13" x14ac:dyDescent="0.25">
      <c r="A501">
        <v>26575</v>
      </c>
      <c r="B501" t="s">
        <v>35</v>
      </c>
      <c r="C501" t="s">
        <v>33</v>
      </c>
      <c r="D501" s="32">
        <v>40000</v>
      </c>
      <c r="E501">
        <v>0</v>
      </c>
      <c r="F501" t="s">
        <v>27</v>
      </c>
      <c r="G501" t="s">
        <v>14</v>
      </c>
      <c r="H501" t="s">
        <v>18</v>
      </c>
      <c r="I501">
        <v>2</v>
      </c>
      <c r="J501" t="s">
        <v>26</v>
      </c>
      <c r="K501" t="s">
        <v>32</v>
      </c>
      <c r="L501">
        <v>31</v>
      </c>
      <c r="M501" t="s">
        <v>15</v>
      </c>
    </row>
    <row r="502" spans="1:13" x14ac:dyDescent="0.25">
      <c r="A502">
        <v>15559</v>
      </c>
      <c r="B502" t="s">
        <v>34</v>
      </c>
      <c r="C502" t="s">
        <v>34</v>
      </c>
      <c r="D502" s="32">
        <v>60000</v>
      </c>
      <c r="E502">
        <v>5</v>
      </c>
      <c r="F502" t="s">
        <v>13</v>
      </c>
      <c r="G502" t="s">
        <v>21</v>
      </c>
      <c r="H502" t="s">
        <v>15</v>
      </c>
      <c r="I502">
        <v>1</v>
      </c>
      <c r="J502" t="s">
        <v>22</v>
      </c>
      <c r="K502" t="s">
        <v>32</v>
      </c>
      <c r="L502">
        <v>47</v>
      </c>
      <c r="M502" t="s">
        <v>18</v>
      </c>
    </row>
    <row r="503" spans="1:13" x14ac:dyDescent="0.25">
      <c r="A503">
        <v>19235</v>
      </c>
      <c r="B503" t="s">
        <v>34</v>
      </c>
      <c r="C503" t="s">
        <v>33</v>
      </c>
      <c r="D503" s="32">
        <v>50000</v>
      </c>
      <c r="E503">
        <v>0</v>
      </c>
      <c r="F503" t="s">
        <v>31</v>
      </c>
      <c r="G503" t="s">
        <v>14</v>
      </c>
      <c r="H503" t="s">
        <v>15</v>
      </c>
      <c r="I503">
        <v>0</v>
      </c>
      <c r="J503" t="s">
        <v>16</v>
      </c>
      <c r="K503" t="s">
        <v>32</v>
      </c>
      <c r="L503">
        <v>34</v>
      </c>
      <c r="M503" t="s">
        <v>18</v>
      </c>
    </row>
    <row r="504" spans="1:13" x14ac:dyDescent="0.25">
      <c r="A504">
        <v>15275</v>
      </c>
      <c r="B504" t="s">
        <v>34</v>
      </c>
      <c r="C504" t="s">
        <v>34</v>
      </c>
      <c r="D504" s="32">
        <v>40000</v>
      </c>
      <c r="E504">
        <v>0</v>
      </c>
      <c r="F504" t="s">
        <v>19</v>
      </c>
      <c r="G504" t="s">
        <v>14</v>
      </c>
      <c r="H504" t="s">
        <v>15</v>
      </c>
      <c r="I504">
        <v>1</v>
      </c>
      <c r="J504" t="s">
        <v>23</v>
      </c>
      <c r="K504" t="s">
        <v>32</v>
      </c>
      <c r="L504">
        <v>29</v>
      </c>
      <c r="M504" t="s">
        <v>18</v>
      </c>
    </row>
    <row r="505" spans="1:13" x14ac:dyDescent="0.25">
      <c r="A505">
        <v>20339</v>
      </c>
      <c r="B505" t="s">
        <v>34</v>
      </c>
      <c r="C505" t="s">
        <v>33</v>
      </c>
      <c r="D505" s="32">
        <v>130000</v>
      </c>
      <c r="E505">
        <v>1</v>
      </c>
      <c r="F505" t="s">
        <v>13</v>
      </c>
      <c r="G505" t="s">
        <v>28</v>
      </c>
      <c r="H505" t="s">
        <v>15</v>
      </c>
      <c r="I505">
        <v>4</v>
      </c>
      <c r="J505" t="s">
        <v>22</v>
      </c>
      <c r="K505" t="s">
        <v>32</v>
      </c>
      <c r="L505">
        <v>44</v>
      </c>
      <c r="M505" t="s">
        <v>15</v>
      </c>
    </row>
    <row r="506" spans="1:13" x14ac:dyDescent="0.25">
      <c r="A506">
        <v>25405</v>
      </c>
      <c r="B506" t="s">
        <v>34</v>
      </c>
      <c r="C506" t="s">
        <v>34</v>
      </c>
      <c r="D506" s="32">
        <v>70000</v>
      </c>
      <c r="E506">
        <v>2</v>
      </c>
      <c r="F506" t="s">
        <v>13</v>
      </c>
      <c r="G506" t="s">
        <v>14</v>
      </c>
      <c r="H506" t="s">
        <v>15</v>
      </c>
      <c r="I506">
        <v>1</v>
      </c>
      <c r="J506" t="s">
        <v>22</v>
      </c>
      <c r="K506" t="s">
        <v>32</v>
      </c>
      <c r="L506">
        <v>38</v>
      </c>
      <c r="M506" t="s">
        <v>15</v>
      </c>
    </row>
    <row r="507" spans="1:13" x14ac:dyDescent="0.25">
      <c r="A507">
        <v>15940</v>
      </c>
      <c r="B507" t="s">
        <v>34</v>
      </c>
      <c r="C507" t="s">
        <v>34</v>
      </c>
      <c r="D507" s="32">
        <v>100000</v>
      </c>
      <c r="E507">
        <v>4</v>
      </c>
      <c r="F507" t="s">
        <v>19</v>
      </c>
      <c r="G507" t="s">
        <v>21</v>
      </c>
      <c r="H507" t="s">
        <v>15</v>
      </c>
      <c r="I507">
        <v>4</v>
      </c>
      <c r="J507" t="s">
        <v>16</v>
      </c>
      <c r="K507" t="s">
        <v>32</v>
      </c>
      <c r="L507">
        <v>40</v>
      </c>
      <c r="M507" t="s">
        <v>18</v>
      </c>
    </row>
    <row r="508" spans="1:13" x14ac:dyDescent="0.25">
      <c r="A508">
        <v>25074</v>
      </c>
      <c r="B508" t="s">
        <v>34</v>
      </c>
      <c r="C508" t="s">
        <v>33</v>
      </c>
      <c r="D508" s="32">
        <v>70000</v>
      </c>
      <c r="E508">
        <v>4</v>
      </c>
      <c r="F508" t="s">
        <v>13</v>
      </c>
      <c r="G508" t="s">
        <v>21</v>
      </c>
      <c r="H508" t="s">
        <v>15</v>
      </c>
      <c r="I508">
        <v>2</v>
      </c>
      <c r="J508" t="s">
        <v>22</v>
      </c>
      <c r="K508" t="s">
        <v>32</v>
      </c>
      <c r="L508">
        <v>42</v>
      </c>
      <c r="M508" t="s">
        <v>15</v>
      </c>
    </row>
    <row r="509" spans="1:13" x14ac:dyDescent="0.25">
      <c r="A509">
        <v>24738</v>
      </c>
      <c r="B509" t="s">
        <v>34</v>
      </c>
      <c r="C509" t="s">
        <v>33</v>
      </c>
      <c r="D509" s="32">
        <v>40000</v>
      </c>
      <c r="E509">
        <v>1</v>
      </c>
      <c r="F509" t="s">
        <v>19</v>
      </c>
      <c r="G509" t="s">
        <v>20</v>
      </c>
      <c r="H509" t="s">
        <v>15</v>
      </c>
      <c r="I509">
        <v>1</v>
      </c>
      <c r="J509" t="s">
        <v>26</v>
      </c>
      <c r="K509" t="s">
        <v>32</v>
      </c>
      <c r="L509">
        <v>51</v>
      </c>
      <c r="M509" t="s">
        <v>15</v>
      </c>
    </row>
    <row r="510" spans="1:13" x14ac:dyDescent="0.25">
      <c r="A510">
        <v>16337</v>
      </c>
      <c r="B510" t="s">
        <v>34</v>
      </c>
      <c r="C510" t="s">
        <v>34</v>
      </c>
      <c r="D510" s="32">
        <v>60000</v>
      </c>
      <c r="E510">
        <v>0</v>
      </c>
      <c r="F510" t="s">
        <v>19</v>
      </c>
      <c r="G510" t="s">
        <v>14</v>
      </c>
      <c r="H510" t="s">
        <v>18</v>
      </c>
      <c r="I510">
        <v>2</v>
      </c>
      <c r="J510" t="s">
        <v>26</v>
      </c>
      <c r="K510" t="s">
        <v>32</v>
      </c>
      <c r="L510">
        <v>29</v>
      </c>
      <c r="M510" t="s">
        <v>18</v>
      </c>
    </row>
    <row r="511" spans="1:13" x14ac:dyDescent="0.25">
      <c r="A511">
        <v>24357</v>
      </c>
      <c r="B511" t="s">
        <v>34</v>
      </c>
      <c r="C511" t="s">
        <v>34</v>
      </c>
      <c r="D511" s="32">
        <v>80000</v>
      </c>
      <c r="E511">
        <v>3</v>
      </c>
      <c r="F511" t="s">
        <v>13</v>
      </c>
      <c r="G511" t="s">
        <v>21</v>
      </c>
      <c r="H511" t="s">
        <v>15</v>
      </c>
      <c r="I511">
        <v>1</v>
      </c>
      <c r="J511" t="s">
        <v>22</v>
      </c>
      <c r="K511" t="s">
        <v>32</v>
      </c>
      <c r="L511">
        <v>48</v>
      </c>
      <c r="M511" t="s">
        <v>15</v>
      </c>
    </row>
    <row r="512" spans="1:13" x14ac:dyDescent="0.25">
      <c r="A512">
        <v>18613</v>
      </c>
      <c r="B512" t="s">
        <v>35</v>
      </c>
      <c r="C512" t="s">
        <v>34</v>
      </c>
      <c r="D512" s="32">
        <v>70000</v>
      </c>
      <c r="E512">
        <v>0</v>
      </c>
      <c r="F512" t="s">
        <v>13</v>
      </c>
      <c r="G512" t="s">
        <v>21</v>
      </c>
      <c r="H512" t="s">
        <v>18</v>
      </c>
      <c r="I512">
        <v>1</v>
      </c>
      <c r="J512" t="s">
        <v>22</v>
      </c>
      <c r="K512" t="s">
        <v>32</v>
      </c>
      <c r="L512">
        <v>37</v>
      </c>
      <c r="M512" t="s">
        <v>15</v>
      </c>
    </row>
    <row r="513" spans="1:13" x14ac:dyDescent="0.25">
      <c r="A513">
        <v>12207</v>
      </c>
      <c r="B513" t="s">
        <v>35</v>
      </c>
      <c r="C513" t="s">
        <v>34</v>
      </c>
      <c r="D513" s="32">
        <v>80000</v>
      </c>
      <c r="E513">
        <v>4</v>
      </c>
      <c r="F513" t="s">
        <v>13</v>
      </c>
      <c r="G513" t="s">
        <v>28</v>
      </c>
      <c r="H513" t="s">
        <v>15</v>
      </c>
      <c r="I513">
        <v>0</v>
      </c>
      <c r="J513" t="s">
        <v>23</v>
      </c>
      <c r="K513" t="s">
        <v>32</v>
      </c>
      <c r="L513">
        <v>66</v>
      </c>
      <c r="M513" t="s">
        <v>15</v>
      </c>
    </row>
    <row r="514" spans="1:13" x14ac:dyDescent="0.25">
      <c r="A514">
        <v>18052</v>
      </c>
      <c r="B514" t="s">
        <v>34</v>
      </c>
      <c r="C514" t="s">
        <v>33</v>
      </c>
      <c r="D514" s="32">
        <v>60000</v>
      </c>
      <c r="E514">
        <v>1</v>
      </c>
      <c r="F514" t="s">
        <v>19</v>
      </c>
      <c r="G514" t="s">
        <v>14</v>
      </c>
      <c r="H514" t="s">
        <v>15</v>
      </c>
      <c r="I514">
        <v>1</v>
      </c>
      <c r="J514" t="s">
        <v>16</v>
      </c>
      <c r="K514" t="s">
        <v>32</v>
      </c>
      <c r="L514">
        <v>45</v>
      </c>
      <c r="M514" t="s">
        <v>15</v>
      </c>
    </row>
    <row r="515" spans="1:13" x14ac:dyDescent="0.25">
      <c r="A515">
        <v>13353</v>
      </c>
      <c r="B515" t="s">
        <v>35</v>
      </c>
      <c r="C515" t="s">
        <v>33</v>
      </c>
      <c r="D515" s="32">
        <v>60000</v>
      </c>
      <c r="E515">
        <v>4</v>
      </c>
      <c r="F515" t="s">
        <v>31</v>
      </c>
      <c r="G515" t="s">
        <v>28</v>
      </c>
      <c r="H515" t="s">
        <v>15</v>
      </c>
      <c r="I515">
        <v>2</v>
      </c>
      <c r="J515" t="s">
        <v>30</v>
      </c>
      <c r="K515" t="s">
        <v>32</v>
      </c>
      <c r="L515">
        <v>61</v>
      </c>
      <c r="M515" t="s">
        <v>15</v>
      </c>
    </row>
    <row r="516" spans="1:13" x14ac:dyDescent="0.25">
      <c r="A516">
        <v>19399</v>
      </c>
      <c r="B516" t="s">
        <v>35</v>
      </c>
      <c r="C516" t="s">
        <v>34</v>
      </c>
      <c r="D516" s="32">
        <v>40000</v>
      </c>
      <c r="E516">
        <v>0</v>
      </c>
      <c r="F516" t="s">
        <v>13</v>
      </c>
      <c r="G516" t="s">
        <v>21</v>
      </c>
      <c r="H516" t="s">
        <v>18</v>
      </c>
      <c r="I516">
        <v>1</v>
      </c>
      <c r="J516" t="s">
        <v>22</v>
      </c>
      <c r="K516" t="s">
        <v>32</v>
      </c>
      <c r="L516">
        <v>45</v>
      </c>
      <c r="M516" t="s">
        <v>18</v>
      </c>
    </row>
    <row r="517" spans="1:13" x14ac:dyDescent="0.25">
      <c r="A517">
        <v>16154</v>
      </c>
      <c r="B517" t="s">
        <v>34</v>
      </c>
      <c r="C517" t="s">
        <v>33</v>
      </c>
      <c r="D517" s="32">
        <v>70000</v>
      </c>
      <c r="E517">
        <v>5</v>
      </c>
      <c r="F517" t="s">
        <v>13</v>
      </c>
      <c r="G517" t="s">
        <v>21</v>
      </c>
      <c r="H517" t="s">
        <v>15</v>
      </c>
      <c r="I517">
        <v>2</v>
      </c>
      <c r="J517" t="s">
        <v>22</v>
      </c>
      <c r="K517" t="s">
        <v>32</v>
      </c>
      <c r="L517">
        <v>47</v>
      </c>
      <c r="M517" t="s">
        <v>18</v>
      </c>
    </row>
    <row r="518" spans="1:13" x14ac:dyDescent="0.25">
      <c r="A518">
        <v>22219</v>
      </c>
      <c r="B518" t="s">
        <v>34</v>
      </c>
      <c r="C518" t="s">
        <v>33</v>
      </c>
      <c r="D518" s="32">
        <v>60000</v>
      </c>
      <c r="E518">
        <v>2</v>
      </c>
      <c r="F518" t="s">
        <v>27</v>
      </c>
      <c r="G518" t="s">
        <v>21</v>
      </c>
      <c r="H518" t="s">
        <v>15</v>
      </c>
      <c r="I518">
        <v>2</v>
      </c>
      <c r="J518" t="s">
        <v>23</v>
      </c>
      <c r="K518" t="s">
        <v>32</v>
      </c>
      <c r="L518">
        <v>49</v>
      </c>
      <c r="M518" t="s">
        <v>18</v>
      </c>
    </row>
    <row r="519" spans="1:13" x14ac:dyDescent="0.25">
      <c r="A519">
        <v>17269</v>
      </c>
      <c r="B519" t="s">
        <v>35</v>
      </c>
      <c r="C519" t="s">
        <v>34</v>
      </c>
      <c r="D519" s="32">
        <v>60000</v>
      </c>
      <c r="E519">
        <v>3</v>
      </c>
      <c r="F519" t="s">
        <v>13</v>
      </c>
      <c r="G519" t="s">
        <v>21</v>
      </c>
      <c r="H519" t="s">
        <v>18</v>
      </c>
      <c r="I519">
        <v>0</v>
      </c>
      <c r="J519" t="s">
        <v>16</v>
      </c>
      <c r="K519" t="s">
        <v>32</v>
      </c>
      <c r="L519">
        <v>47</v>
      </c>
      <c r="M519" t="s">
        <v>15</v>
      </c>
    </row>
    <row r="520" spans="1:13" x14ac:dyDescent="0.25">
      <c r="A520">
        <v>23586</v>
      </c>
      <c r="B520" t="s">
        <v>34</v>
      </c>
      <c r="C520" t="s">
        <v>33</v>
      </c>
      <c r="D520" s="32">
        <v>80000</v>
      </c>
      <c r="E520">
        <v>0</v>
      </c>
      <c r="F520" t="s">
        <v>13</v>
      </c>
      <c r="G520" t="s">
        <v>28</v>
      </c>
      <c r="H520" t="s">
        <v>15</v>
      </c>
      <c r="I520">
        <v>1</v>
      </c>
      <c r="J520" t="s">
        <v>26</v>
      </c>
      <c r="K520" t="s">
        <v>32</v>
      </c>
      <c r="L520">
        <v>34</v>
      </c>
      <c r="M520" t="s">
        <v>15</v>
      </c>
    </row>
    <row r="521" spans="1:13" x14ac:dyDescent="0.25">
      <c r="A521">
        <v>15740</v>
      </c>
      <c r="B521" t="s">
        <v>34</v>
      </c>
      <c r="C521" t="s">
        <v>34</v>
      </c>
      <c r="D521" s="32">
        <v>80000</v>
      </c>
      <c r="E521">
        <v>5</v>
      </c>
      <c r="F521" t="s">
        <v>13</v>
      </c>
      <c r="G521" t="s">
        <v>28</v>
      </c>
      <c r="H521" t="s">
        <v>15</v>
      </c>
      <c r="I521">
        <v>2</v>
      </c>
      <c r="J521" t="s">
        <v>26</v>
      </c>
      <c r="K521" t="s">
        <v>32</v>
      </c>
      <c r="L521">
        <v>64</v>
      </c>
      <c r="M521" t="s">
        <v>18</v>
      </c>
    </row>
    <row r="522" spans="1:13" x14ac:dyDescent="0.25">
      <c r="A522">
        <v>27638</v>
      </c>
      <c r="B522" t="s">
        <v>35</v>
      </c>
      <c r="C522" t="s">
        <v>34</v>
      </c>
      <c r="D522" s="32">
        <v>100000</v>
      </c>
      <c r="E522">
        <v>1</v>
      </c>
      <c r="F522" t="s">
        <v>19</v>
      </c>
      <c r="G522" t="s">
        <v>21</v>
      </c>
      <c r="H522" t="s">
        <v>18</v>
      </c>
      <c r="I522">
        <v>3</v>
      </c>
      <c r="J522" t="s">
        <v>26</v>
      </c>
      <c r="K522" t="s">
        <v>32</v>
      </c>
      <c r="L522">
        <v>44</v>
      </c>
      <c r="M522" t="s">
        <v>18</v>
      </c>
    </row>
    <row r="523" spans="1:13" x14ac:dyDescent="0.25">
      <c r="A523">
        <v>18976</v>
      </c>
      <c r="B523" t="s">
        <v>35</v>
      </c>
      <c r="C523" t="s">
        <v>34</v>
      </c>
      <c r="D523" s="32">
        <v>40000</v>
      </c>
      <c r="E523">
        <v>4</v>
      </c>
      <c r="F523" t="s">
        <v>27</v>
      </c>
      <c r="G523" t="s">
        <v>21</v>
      </c>
      <c r="H523" t="s">
        <v>15</v>
      </c>
      <c r="I523">
        <v>2</v>
      </c>
      <c r="J523" t="s">
        <v>30</v>
      </c>
      <c r="K523" t="s">
        <v>32</v>
      </c>
      <c r="L523">
        <v>62</v>
      </c>
      <c r="M523" t="s">
        <v>15</v>
      </c>
    </row>
    <row r="524" spans="1:13" x14ac:dyDescent="0.25">
      <c r="A524">
        <v>19413</v>
      </c>
      <c r="B524" t="s">
        <v>35</v>
      </c>
      <c r="C524" t="s">
        <v>34</v>
      </c>
      <c r="D524" s="32">
        <v>60000</v>
      </c>
      <c r="E524">
        <v>3</v>
      </c>
      <c r="F524" t="s">
        <v>13</v>
      </c>
      <c r="G524" t="s">
        <v>21</v>
      </c>
      <c r="H524" t="s">
        <v>18</v>
      </c>
      <c r="I524">
        <v>1</v>
      </c>
      <c r="J524" t="s">
        <v>16</v>
      </c>
      <c r="K524" t="s">
        <v>32</v>
      </c>
      <c r="L524">
        <v>47</v>
      </c>
      <c r="M524" t="s">
        <v>15</v>
      </c>
    </row>
    <row r="525" spans="1:13" x14ac:dyDescent="0.25">
      <c r="A525">
        <v>13283</v>
      </c>
      <c r="B525" t="s">
        <v>34</v>
      </c>
      <c r="C525" t="s">
        <v>34</v>
      </c>
      <c r="D525" s="32">
        <v>80000</v>
      </c>
      <c r="E525">
        <v>3</v>
      </c>
      <c r="F525" t="s">
        <v>19</v>
      </c>
      <c r="G525" t="s">
        <v>21</v>
      </c>
      <c r="H525" t="s">
        <v>18</v>
      </c>
      <c r="I525">
        <v>2</v>
      </c>
      <c r="J525" t="s">
        <v>16</v>
      </c>
      <c r="K525" t="s">
        <v>32</v>
      </c>
      <c r="L525">
        <v>49</v>
      </c>
      <c r="M525" t="s">
        <v>15</v>
      </c>
    </row>
    <row r="526" spans="1:13" x14ac:dyDescent="0.25">
      <c r="A526">
        <v>17471</v>
      </c>
      <c r="B526" t="s">
        <v>35</v>
      </c>
      <c r="C526" t="s">
        <v>33</v>
      </c>
      <c r="D526" s="32">
        <v>80000</v>
      </c>
      <c r="E526">
        <v>4</v>
      </c>
      <c r="F526" t="s">
        <v>31</v>
      </c>
      <c r="G526" t="s">
        <v>28</v>
      </c>
      <c r="H526" t="s">
        <v>15</v>
      </c>
      <c r="I526">
        <v>2</v>
      </c>
      <c r="J526" t="s">
        <v>23</v>
      </c>
      <c r="K526" t="s">
        <v>32</v>
      </c>
      <c r="L526">
        <v>67</v>
      </c>
      <c r="M526" t="s">
        <v>18</v>
      </c>
    </row>
    <row r="527" spans="1:13" x14ac:dyDescent="0.25">
      <c r="A527">
        <v>16791</v>
      </c>
      <c r="B527" t="s">
        <v>35</v>
      </c>
      <c r="C527" t="s">
        <v>34</v>
      </c>
      <c r="D527" s="32">
        <v>60000</v>
      </c>
      <c r="E527">
        <v>5</v>
      </c>
      <c r="F527" t="s">
        <v>13</v>
      </c>
      <c r="G527" t="s">
        <v>28</v>
      </c>
      <c r="H527" t="s">
        <v>15</v>
      </c>
      <c r="I527">
        <v>3</v>
      </c>
      <c r="J527" t="s">
        <v>30</v>
      </c>
      <c r="K527" t="s">
        <v>32</v>
      </c>
      <c r="L527">
        <v>59</v>
      </c>
      <c r="M527" t="s">
        <v>15</v>
      </c>
    </row>
    <row r="528" spans="1:13" x14ac:dyDescent="0.25">
      <c r="A528">
        <v>15382</v>
      </c>
      <c r="B528" t="s">
        <v>34</v>
      </c>
      <c r="C528" t="s">
        <v>33</v>
      </c>
      <c r="D528" s="32">
        <v>110000</v>
      </c>
      <c r="E528">
        <v>1</v>
      </c>
      <c r="F528" t="s">
        <v>13</v>
      </c>
      <c r="G528" t="s">
        <v>28</v>
      </c>
      <c r="H528" t="s">
        <v>15</v>
      </c>
      <c r="I528">
        <v>2</v>
      </c>
      <c r="J528" t="s">
        <v>26</v>
      </c>
      <c r="K528" t="s">
        <v>32</v>
      </c>
      <c r="L528">
        <v>44</v>
      </c>
      <c r="M528" t="s">
        <v>18</v>
      </c>
    </row>
    <row r="529" spans="1:13" x14ac:dyDescent="0.25">
      <c r="A529">
        <v>11641</v>
      </c>
      <c r="B529" t="s">
        <v>34</v>
      </c>
      <c r="C529" t="s">
        <v>34</v>
      </c>
      <c r="D529" s="32">
        <v>50000</v>
      </c>
      <c r="E529">
        <v>1</v>
      </c>
      <c r="F529" t="s">
        <v>13</v>
      </c>
      <c r="G529" t="s">
        <v>14</v>
      </c>
      <c r="H529" t="s">
        <v>15</v>
      </c>
      <c r="I529">
        <v>0</v>
      </c>
      <c r="J529" t="s">
        <v>16</v>
      </c>
      <c r="K529" t="s">
        <v>32</v>
      </c>
      <c r="L529">
        <v>36</v>
      </c>
      <c r="M529" t="s">
        <v>18</v>
      </c>
    </row>
    <row r="530" spans="1:13" x14ac:dyDescent="0.25">
      <c r="A530">
        <v>11935</v>
      </c>
      <c r="B530" t="s">
        <v>35</v>
      </c>
      <c r="C530" t="s">
        <v>33</v>
      </c>
      <c r="D530" s="32">
        <v>30000</v>
      </c>
      <c r="E530">
        <v>0</v>
      </c>
      <c r="F530" t="s">
        <v>19</v>
      </c>
      <c r="G530" t="s">
        <v>14</v>
      </c>
      <c r="H530" t="s">
        <v>15</v>
      </c>
      <c r="I530">
        <v>1</v>
      </c>
      <c r="J530" t="s">
        <v>23</v>
      </c>
      <c r="K530" t="s">
        <v>32</v>
      </c>
      <c r="L530">
        <v>28</v>
      </c>
      <c r="M530" t="s">
        <v>18</v>
      </c>
    </row>
    <row r="531" spans="1:13" x14ac:dyDescent="0.25">
      <c r="A531">
        <v>13233</v>
      </c>
      <c r="B531" t="s">
        <v>34</v>
      </c>
      <c r="C531" t="s">
        <v>34</v>
      </c>
      <c r="D531" s="32">
        <v>60000</v>
      </c>
      <c r="E531">
        <v>2</v>
      </c>
      <c r="F531" t="s">
        <v>19</v>
      </c>
      <c r="G531" t="s">
        <v>21</v>
      </c>
      <c r="H531" t="s">
        <v>15</v>
      </c>
      <c r="I531">
        <v>1</v>
      </c>
      <c r="J531" t="s">
        <v>30</v>
      </c>
      <c r="K531" t="s">
        <v>32</v>
      </c>
      <c r="L531">
        <v>57</v>
      </c>
      <c r="M531" t="s">
        <v>15</v>
      </c>
    </row>
    <row r="532" spans="1:13" x14ac:dyDescent="0.25">
      <c r="A532">
        <v>25909</v>
      </c>
      <c r="B532" t="s">
        <v>34</v>
      </c>
      <c r="C532" t="s">
        <v>34</v>
      </c>
      <c r="D532" s="32">
        <v>60000</v>
      </c>
      <c r="E532">
        <v>0</v>
      </c>
      <c r="F532" t="s">
        <v>19</v>
      </c>
      <c r="G532" t="s">
        <v>14</v>
      </c>
      <c r="H532" t="s">
        <v>15</v>
      </c>
      <c r="I532">
        <v>1</v>
      </c>
      <c r="J532" t="s">
        <v>23</v>
      </c>
      <c r="K532" t="s">
        <v>32</v>
      </c>
      <c r="L532">
        <v>27</v>
      </c>
      <c r="M532" t="s">
        <v>15</v>
      </c>
    </row>
    <row r="533" spans="1:13" x14ac:dyDescent="0.25">
      <c r="A533">
        <v>14092</v>
      </c>
      <c r="B533" t="s">
        <v>35</v>
      </c>
      <c r="C533" t="s">
        <v>34</v>
      </c>
      <c r="D533" s="32">
        <v>30000</v>
      </c>
      <c r="E533">
        <v>0</v>
      </c>
      <c r="F533" t="s">
        <v>29</v>
      </c>
      <c r="G533" t="s">
        <v>20</v>
      </c>
      <c r="H533" t="s">
        <v>15</v>
      </c>
      <c r="I533">
        <v>2</v>
      </c>
      <c r="J533" t="s">
        <v>23</v>
      </c>
      <c r="K533" t="s">
        <v>32</v>
      </c>
      <c r="L533">
        <v>28</v>
      </c>
      <c r="M533" t="s">
        <v>18</v>
      </c>
    </row>
    <row r="534" spans="1:13" x14ac:dyDescent="0.25">
      <c r="A534">
        <v>29143</v>
      </c>
      <c r="B534" t="s">
        <v>35</v>
      </c>
      <c r="C534" t="s">
        <v>33</v>
      </c>
      <c r="D534" s="32">
        <v>60000</v>
      </c>
      <c r="E534">
        <v>1</v>
      </c>
      <c r="F534" t="s">
        <v>13</v>
      </c>
      <c r="G534" t="s">
        <v>21</v>
      </c>
      <c r="H534" t="s">
        <v>18</v>
      </c>
      <c r="I534">
        <v>1</v>
      </c>
      <c r="J534" t="s">
        <v>16</v>
      </c>
      <c r="K534" t="s">
        <v>32</v>
      </c>
      <c r="L534">
        <v>44</v>
      </c>
      <c r="M534" t="s">
        <v>15</v>
      </c>
    </row>
    <row r="535" spans="1:13" x14ac:dyDescent="0.25">
      <c r="A535">
        <v>24941</v>
      </c>
      <c r="B535" t="s">
        <v>34</v>
      </c>
      <c r="C535" t="s">
        <v>34</v>
      </c>
      <c r="D535" s="32">
        <v>60000</v>
      </c>
      <c r="E535">
        <v>3</v>
      </c>
      <c r="F535" t="s">
        <v>13</v>
      </c>
      <c r="G535" t="s">
        <v>28</v>
      </c>
      <c r="H535" t="s">
        <v>15</v>
      </c>
      <c r="I535">
        <v>2</v>
      </c>
      <c r="J535" t="s">
        <v>30</v>
      </c>
      <c r="K535" t="s">
        <v>32</v>
      </c>
      <c r="L535">
        <v>66</v>
      </c>
      <c r="M535" t="s">
        <v>18</v>
      </c>
    </row>
    <row r="536" spans="1:13" x14ac:dyDescent="0.25">
      <c r="A536">
        <v>24637</v>
      </c>
      <c r="B536" t="s">
        <v>34</v>
      </c>
      <c r="C536" t="s">
        <v>34</v>
      </c>
      <c r="D536" s="32">
        <v>40000</v>
      </c>
      <c r="E536">
        <v>4</v>
      </c>
      <c r="F536" t="s">
        <v>27</v>
      </c>
      <c r="G536" t="s">
        <v>21</v>
      </c>
      <c r="H536" t="s">
        <v>15</v>
      </c>
      <c r="I536">
        <v>2</v>
      </c>
      <c r="J536" t="s">
        <v>30</v>
      </c>
      <c r="K536" t="s">
        <v>32</v>
      </c>
      <c r="L536">
        <v>64</v>
      </c>
      <c r="M536" t="s">
        <v>18</v>
      </c>
    </row>
    <row r="537" spans="1:13" x14ac:dyDescent="0.25">
      <c r="A537">
        <v>23893</v>
      </c>
      <c r="B537" t="s">
        <v>34</v>
      </c>
      <c r="C537" t="s">
        <v>34</v>
      </c>
      <c r="D537" s="32">
        <v>50000</v>
      </c>
      <c r="E537">
        <v>3</v>
      </c>
      <c r="F537" t="s">
        <v>13</v>
      </c>
      <c r="G537" t="s">
        <v>14</v>
      </c>
      <c r="H537" t="s">
        <v>15</v>
      </c>
      <c r="I537">
        <v>3</v>
      </c>
      <c r="J537" t="s">
        <v>30</v>
      </c>
      <c r="K537" t="s">
        <v>32</v>
      </c>
      <c r="L537">
        <v>41</v>
      </c>
      <c r="M537" t="s">
        <v>18</v>
      </c>
    </row>
    <row r="538" spans="1:13" x14ac:dyDescent="0.25">
      <c r="A538">
        <v>13907</v>
      </c>
      <c r="B538" t="s">
        <v>35</v>
      </c>
      <c r="C538" t="s">
        <v>33</v>
      </c>
      <c r="D538" s="32">
        <v>80000</v>
      </c>
      <c r="E538">
        <v>3</v>
      </c>
      <c r="F538" t="s">
        <v>13</v>
      </c>
      <c r="G538" t="s">
        <v>14</v>
      </c>
      <c r="H538" t="s">
        <v>15</v>
      </c>
      <c r="I538">
        <v>1</v>
      </c>
      <c r="J538" t="s">
        <v>16</v>
      </c>
      <c r="K538" t="s">
        <v>32</v>
      </c>
      <c r="L538">
        <v>41</v>
      </c>
      <c r="M538" t="s">
        <v>15</v>
      </c>
    </row>
    <row r="539" spans="1:13" x14ac:dyDescent="0.25">
      <c r="A539">
        <v>14900</v>
      </c>
      <c r="B539" t="s">
        <v>34</v>
      </c>
      <c r="C539" t="s">
        <v>33</v>
      </c>
      <c r="D539" s="32">
        <v>40000</v>
      </c>
      <c r="E539">
        <v>1</v>
      </c>
      <c r="F539" t="s">
        <v>19</v>
      </c>
      <c r="G539" t="s">
        <v>20</v>
      </c>
      <c r="H539" t="s">
        <v>15</v>
      </c>
      <c r="I539">
        <v>1</v>
      </c>
      <c r="J539" t="s">
        <v>26</v>
      </c>
      <c r="K539" t="s">
        <v>32</v>
      </c>
      <c r="L539">
        <v>49</v>
      </c>
      <c r="M539" t="s">
        <v>15</v>
      </c>
    </row>
    <row r="540" spans="1:13" x14ac:dyDescent="0.25">
      <c r="A540">
        <v>11262</v>
      </c>
      <c r="B540" t="s">
        <v>34</v>
      </c>
      <c r="C540" t="s">
        <v>33</v>
      </c>
      <c r="D540" s="32">
        <v>80000</v>
      </c>
      <c r="E540">
        <v>4</v>
      </c>
      <c r="F540" t="s">
        <v>13</v>
      </c>
      <c r="G540" t="s">
        <v>28</v>
      </c>
      <c r="H540" t="s">
        <v>15</v>
      </c>
      <c r="I540">
        <v>0</v>
      </c>
      <c r="J540" t="s">
        <v>16</v>
      </c>
      <c r="K540" t="s">
        <v>32</v>
      </c>
      <c r="L540">
        <v>42</v>
      </c>
      <c r="M540" t="s">
        <v>18</v>
      </c>
    </row>
    <row r="541" spans="1:13" x14ac:dyDescent="0.25">
      <c r="A541">
        <v>22294</v>
      </c>
      <c r="B541" t="s">
        <v>35</v>
      </c>
      <c r="C541" t="s">
        <v>33</v>
      </c>
      <c r="D541" s="32">
        <v>70000</v>
      </c>
      <c r="E541">
        <v>0</v>
      </c>
      <c r="F541" t="s">
        <v>13</v>
      </c>
      <c r="G541" t="s">
        <v>21</v>
      </c>
      <c r="H541" t="s">
        <v>18</v>
      </c>
      <c r="I541">
        <v>1</v>
      </c>
      <c r="J541" t="s">
        <v>22</v>
      </c>
      <c r="K541" t="s">
        <v>32</v>
      </c>
      <c r="L541">
        <v>37</v>
      </c>
      <c r="M541" t="s">
        <v>15</v>
      </c>
    </row>
    <row r="542" spans="1:13" x14ac:dyDescent="0.25">
      <c r="A542">
        <v>12195</v>
      </c>
      <c r="B542" t="s">
        <v>35</v>
      </c>
      <c r="C542" t="s">
        <v>33</v>
      </c>
      <c r="D542" s="32">
        <v>70000</v>
      </c>
      <c r="E542">
        <v>3</v>
      </c>
      <c r="F542" t="s">
        <v>31</v>
      </c>
      <c r="G542" t="s">
        <v>28</v>
      </c>
      <c r="H542" t="s">
        <v>15</v>
      </c>
      <c r="I542">
        <v>2</v>
      </c>
      <c r="J542" t="s">
        <v>26</v>
      </c>
      <c r="K542" t="s">
        <v>32</v>
      </c>
      <c r="L542">
        <v>52</v>
      </c>
      <c r="M542" t="s">
        <v>18</v>
      </c>
    </row>
    <row r="543" spans="1:13" x14ac:dyDescent="0.25">
      <c r="A543">
        <v>25375</v>
      </c>
      <c r="B543" t="s">
        <v>34</v>
      </c>
      <c r="C543" t="s">
        <v>34</v>
      </c>
      <c r="D543" s="32">
        <v>50000</v>
      </c>
      <c r="E543">
        <v>1</v>
      </c>
      <c r="F543" t="s">
        <v>31</v>
      </c>
      <c r="G543" t="s">
        <v>14</v>
      </c>
      <c r="H543" t="s">
        <v>15</v>
      </c>
      <c r="I543">
        <v>0</v>
      </c>
      <c r="J543" t="s">
        <v>26</v>
      </c>
      <c r="K543" t="s">
        <v>32</v>
      </c>
      <c r="L543">
        <v>34</v>
      </c>
      <c r="M543" t="s">
        <v>18</v>
      </c>
    </row>
    <row r="544" spans="1:13" x14ac:dyDescent="0.25">
      <c r="A544">
        <v>11143</v>
      </c>
      <c r="B544" t="s">
        <v>34</v>
      </c>
      <c r="C544" t="s">
        <v>34</v>
      </c>
      <c r="D544" s="32">
        <v>40000</v>
      </c>
      <c r="E544">
        <v>0</v>
      </c>
      <c r="F544" t="s">
        <v>27</v>
      </c>
      <c r="G544" t="s">
        <v>14</v>
      </c>
      <c r="H544" t="s">
        <v>15</v>
      </c>
      <c r="I544">
        <v>2</v>
      </c>
      <c r="J544" t="s">
        <v>23</v>
      </c>
      <c r="K544" t="s">
        <v>32</v>
      </c>
      <c r="L544">
        <v>29</v>
      </c>
      <c r="M544" t="s">
        <v>18</v>
      </c>
    </row>
    <row r="545" spans="1:13" x14ac:dyDescent="0.25">
      <c r="A545">
        <v>25898</v>
      </c>
      <c r="B545" t="s">
        <v>34</v>
      </c>
      <c r="C545" t="s">
        <v>33</v>
      </c>
      <c r="D545" s="32">
        <v>70000</v>
      </c>
      <c r="E545">
        <v>2</v>
      </c>
      <c r="F545" t="s">
        <v>27</v>
      </c>
      <c r="G545" t="s">
        <v>21</v>
      </c>
      <c r="H545" t="s">
        <v>15</v>
      </c>
      <c r="I545">
        <v>2</v>
      </c>
      <c r="J545" t="s">
        <v>22</v>
      </c>
      <c r="K545" t="s">
        <v>32</v>
      </c>
      <c r="L545">
        <v>53</v>
      </c>
      <c r="M545" t="s">
        <v>18</v>
      </c>
    </row>
    <row r="546" spans="1:13" x14ac:dyDescent="0.25">
      <c r="A546">
        <v>24397</v>
      </c>
      <c r="B546" t="s">
        <v>35</v>
      </c>
      <c r="C546" t="s">
        <v>34</v>
      </c>
      <c r="D546" s="32">
        <v>120000</v>
      </c>
      <c r="E546">
        <v>2</v>
      </c>
      <c r="F546" t="s">
        <v>13</v>
      </c>
      <c r="G546" t="s">
        <v>28</v>
      </c>
      <c r="H546" t="s">
        <v>18</v>
      </c>
      <c r="I546">
        <v>4</v>
      </c>
      <c r="J546" t="s">
        <v>26</v>
      </c>
      <c r="K546" t="s">
        <v>32</v>
      </c>
      <c r="L546">
        <v>40</v>
      </c>
      <c r="M546" t="s">
        <v>18</v>
      </c>
    </row>
    <row r="547" spans="1:13" x14ac:dyDescent="0.25">
      <c r="A547">
        <v>19758</v>
      </c>
      <c r="B547" t="s">
        <v>35</v>
      </c>
      <c r="C547" t="s">
        <v>34</v>
      </c>
      <c r="D547" s="32">
        <v>60000</v>
      </c>
      <c r="E547">
        <v>0</v>
      </c>
      <c r="F547" t="s">
        <v>19</v>
      </c>
      <c r="G547" t="s">
        <v>14</v>
      </c>
      <c r="H547" t="s">
        <v>18</v>
      </c>
      <c r="I547">
        <v>2</v>
      </c>
      <c r="J547" t="s">
        <v>26</v>
      </c>
      <c r="K547" t="s">
        <v>32</v>
      </c>
      <c r="L547">
        <v>29</v>
      </c>
      <c r="M547" t="s">
        <v>18</v>
      </c>
    </row>
    <row r="548" spans="1:13" x14ac:dyDescent="0.25">
      <c r="A548">
        <v>15529</v>
      </c>
      <c r="B548" t="s">
        <v>34</v>
      </c>
      <c r="C548" t="s">
        <v>34</v>
      </c>
      <c r="D548" s="32">
        <v>60000</v>
      </c>
      <c r="E548">
        <v>4</v>
      </c>
      <c r="F548" t="s">
        <v>13</v>
      </c>
      <c r="G548" t="s">
        <v>21</v>
      </c>
      <c r="H548" t="s">
        <v>15</v>
      </c>
      <c r="I548">
        <v>2</v>
      </c>
      <c r="J548" t="s">
        <v>22</v>
      </c>
      <c r="K548" t="s">
        <v>32</v>
      </c>
      <c r="L548">
        <v>43</v>
      </c>
      <c r="M548" t="s">
        <v>15</v>
      </c>
    </row>
    <row r="549" spans="1:13" x14ac:dyDescent="0.25">
      <c r="A549">
        <v>19884</v>
      </c>
      <c r="B549" t="s">
        <v>34</v>
      </c>
      <c r="C549" t="s">
        <v>34</v>
      </c>
      <c r="D549" s="32">
        <v>60000</v>
      </c>
      <c r="E549">
        <v>2</v>
      </c>
      <c r="F549" t="s">
        <v>27</v>
      </c>
      <c r="G549" t="s">
        <v>21</v>
      </c>
      <c r="H549" t="s">
        <v>15</v>
      </c>
      <c r="I549">
        <v>2</v>
      </c>
      <c r="J549" t="s">
        <v>22</v>
      </c>
      <c r="K549" t="s">
        <v>32</v>
      </c>
      <c r="L549">
        <v>55</v>
      </c>
      <c r="M549" t="s">
        <v>15</v>
      </c>
    </row>
    <row r="550" spans="1:13" x14ac:dyDescent="0.25">
      <c r="A550">
        <v>18674</v>
      </c>
      <c r="B550" t="s">
        <v>35</v>
      </c>
      <c r="C550" t="s">
        <v>33</v>
      </c>
      <c r="D550" s="32">
        <v>80000</v>
      </c>
      <c r="E550">
        <v>4</v>
      </c>
      <c r="F550" t="s">
        <v>31</v>
      </c>
      <c r="G550" t="s">
        <v>14</v>
      </c>
      <c r="H550" t="s">
        <v>18</v>
      </c>
      <c r="I550">
        <v>0</v>
      </c>
      <c r="J550" t="s">
        <v>16</v>
      </c>
      <c r="K550" t="s">
        <v>32</v>
      </c>
      <c r="L550">
        <v>48</v>
      </c>
      <c r="M550" t="s">
        <v>18</v>
      </c>
    </row>
    <row r="551" spans="1:13" x14ac:dyDescent="0.25">
      <c r="A551">
        <v>13453</v>
      </c>
      <c r="B551" t="s">
        <v>34</v>
      </c>
      <c r="C551" t="s">
        <v>33</v>
      </c>
      <c r="D551" s="32">
        <v>130000</v>
      </c>
      <c r="E551">
        <v>3</v>
      </c>
      <c r="F551" t="s">
        <v>13</v>
      </c>
      <c r="G551" t="s">
        <v>28</v>
      </c>
      <c r="H551" t="s">
        <v>15</v>
      </c>
      <c r="I551">
        <v>3</v>
      </c>
      <c r="J551" t="s">
        <v>16</v>
      </c>
      <c r="K551" t="s">
        <v>32</v>
      </c>
      <c r="L551">
        <v>45</v>
      </c>
      <c r="M551" t="s">
        <v>15</v>
      </c>
    </row>
    <row r="552" spans="1:13" x14ac:dyDescent="0.25">
      <c r="A552">
        <v>14063</v>
      </c>
      <c r="B552" t="s">
        <v>35</v>
      </c>
      <c r="C552" t="s">
        <v>33</v>
      </c>
      <c r="D552" s="32">
        <v>70000</v>
      </c>
      <c r="E552">
        <v>0</v>
      </c>
      <c r="F552" t="s">
        <v>13</v>
      </c>
      <c r="G552" t="s">
        <v>21</v>
      </c>
      <c r="H552" t="s">
        <v>18</v>
      </c>
      <c r="I552">
        <v>1</v>
      </c>
      <c r="J552" t="s">
        <v>16</v>
      </c>
      <c r="K552" t="s">
        <v>24</v>
      </c>
      <c r="L552">
        <v>42</v>
      </c>
      <c r="M552" t="s">
        <v>15</v>
      </c>
    </row>
    <row r="553" spans="1:13" x14ac:dyDescent="0.25">
      <c r="A553">
        <v>27393</v>
      </c>
      <c r="B553" t="s">
        <v>34</v>
      </c>
      <c r="C553" t="s">
        <v>33</v>
      </c>
      <c r="D553" s="32">
        <v>50000</v>
      </c>
      <c r="E553">
        <v>4</v>
      </c>
      <c r="F553" t="s">
        <v>13</v>
      </c>
      <c r="G553" t="s">
        <v>28</v>
      </c>
      <c r="H553" t="s">
        <v>15</v>
      </c>
      <c r="I553">
        <v>2</v>
      </c>
      <c r="J553" t="s">
        <v>30</v>
      </c>
      <c r="K553" t="s">
        <v>32</v>
      </c>
      <c r="L553">
        <v>63</v>
      </c>
      <c r="M553" t="s">
        <v>18</v>
      </c>
    </row>
    <row r="554" spans="1:13" x14ac:dyDescent="0.25">
      <c r="A554">
        <v>14417</v>
      </c>
      <c r="B554" t="s">
        <v>35</v>
      </c>
      <c r="C554" t="s">
        <v>34</v>
      </c>
      <c r="D554" s="32">
        <v>60000</v>
      </c>
      <c r="E554">
        <v>3</v>
      </c>
      <c r="F554" t="s">
        <v>27</v>
      </c>
      <c r="G554" t="s">
        <v>21</v>
      </c>
      <c r="H554" t="s">
        <v>15</v>
      </c>
      <c r="I554">
        <v>2</v>
      </c>
      <c r="J554" t="s">
        <v>30</v>
      </c>
      <c r="K554" t="s">
        <v>32</v>
      </c>
      <c r="L554">
        <v>54</v>
      </c>
      <c r="M554" t="s">
        <v>15</v>
      </c>
    </row>
    <row r="555" spans="1:13" x14ac:dyDescent="0.25">
      <c r="A555">
        <v>17533</v>
      </c>
      <c r="B555" t="s">
        <v>34</v>
      </c>
      <c r="C555" t="s">
        <v>34</v>
      </c>
      <c r="D555" s="32">
        <v>40000</v>
      </c>
      <c r="E555">
        <v>3</v>
      </c>
      <c r="F555" t="s">
        <v>19</v>
      </c>
      <c r="G555" t="s">
        <v>21</v>
      </c>
      <c r="H555" t="s">
        <v>18</v>
      </c>
      <c r="I555">
        <v>2</v>
      </c>
      <c r="J555" t="s">
        <v>23</v>
      </c>
      <c r="K555" t="s">
        <v>32</v>
      </c>
      <c r="L555">
        <v>73</v>
      </c>
      <c r="M555" t="s">
        <v>15</v>
      </c>
    </row>
    <row r="556" spans="1:13" x14ac:dyDescent="0.25">
      <c r="A556">
        <v>18580</v>
      </c>
      <c r="B556" t="s">
        <v>34</v>
      </c>
      <c r="C556" t="s">
        <v>33</v>
      </c>
      <c r="D556" s="32">
        <v>60000</v>
      </c>
      <c r="E556">
        <v>2</v>
      </c>
      <c r="F556" t="s">
        <v>31</v>
      </c>
      <c r="G556" t="s">
        <v>21</v>
      </c>
      <c r="H556" t="s">
        <v>15</v>
      </c>
      <c r="I556">
        <v>0</v>
      </c>
      <c r="J556" t="s">
        <v>22</v>
      </c>
      <c r="K556" t="s">
        <v>32</v>
      </c>
      <c r="L556">
        <v>40</v>
      </c>
      <c r="M556" t="s">
        <v>15</v>
      </c>
    </row>
    <row r="557" spans="1:13" x14ac:dyDescent="0.25">
      <c r="A557">
        <v>17025</v>
      </c>
      <c r="B557" t="s">
        <v>35</v>
      </c>
      <c r="C557" t="s">
        <v>34</v>
      </c>
      <c r="D557" s="32">
        <v>50000</v>
      </c>
      <c r="E557">
        <v>0</v>
      </c>
      <c r="F557" t="s">
        <v>19</v>
      </c>
      <c r="G557" t="s">
        <v>14</v>
      </c>
      <c r="H557" t="s">
        <v>18</v>
      </c>
      <c r="I557">
        <v>1</v>
      </c>
      <c r="J557" t="s">
        <v>22</v>
      </c>
      <c r="K557" t="s">
        <v>32</v>
      </c>
      <c r="L557">
        <v>39</v>
      </c>
      <c r="M557" t="s">
        <v>15</v>
      </c>
    </row>
    <row r="558" spans="1:13" x14ac:dyDescent="0.25">
      <c r="A558">
        <v>25293</v>
      </c>
      <c r="B558" t="s">
        <v>34</v>
      </c>
      <c r="C558" t="s">
        <v>34</v>
      </c>
      <c r="D558" s="32">
        <v>80000</v>
      </c>
      <c r="E558">
        <v>4</v>
      </c>
      <c r="F558" t="s">
        <v>13</v>
      </c>
      <c r="G558" t="s">
        <v>28</v>
      </c>
      <c r="H558" t="s">
        <v>15</v>
      </c>
      <c r="I558">
        <v>0</v>
      </c>
      <c r="J558" t="s">
        <v>26</v>
      </c>
      <c r="K558" t="s">
        <v>32</v>
      </c>
      <c r="L558">
        <v>42</v>
      </c>
      <c r="M558" t="s">
        <v>18</v>
      </c>
    </row>
    <row r="559" spans="1:13" x14ac:dyDescent="0.25">
      <c r="A559">
        <v>24725</v>
      </c>
      <c r="B559" t="s">
        <v>34</v>
      </c>
      <c r="C559" t="s">
        <v>33</v>
      </c>
      <c r="D559" s="32">
        <v>40000</v>
      </c>
      <c r="E559">
        <v>3</v>
      </c>
      <c r="F559" t="s">
        <v>19</v>
      </c>
      <c r="G559" t="s">
        <v>20</v>
      </c>
      <c r="H559" t="s">
        <v>15</v>
      </c>
      <c r="I559">
        <v>0</v>
      </c>
      <c r="J559" t="s">
        <v>26</v>
      </c>
      <c r="K559" t="s">
        <v>32</v>
      </c>
      <c r="L559">
        <v>31</v>
      </c>
      <c r="M559" t="s">
        <v>18</v>
      </c>
    </row>
    <row r="560" spans="1:13" x14ac:dyDescent="0.25">
      <c r="A560">
        <v>23200</v>
      </c>
      <c r="B560" t="s">
        <v>34</v>
      </c>
      <c r="C560" t="s">
        <v>33</v>
      </c>
      <c r="D560" s="32">
        <v>50000</v>
      </c>
      <c r="E560">
        <v>3</v>
      </c>
      <c r="F560" t="s">
        <v>13</v>
      </c>
      <c r="G560" t="s">
        <v>14</v>
      </c>
      <c r="H560" t="s">
        <v>15</v>
      </c>
      <c r="I560">
        <v>2</v>
      </c>
      <c r="J560" t="s">
        <v>16</v>
      </c>
      <c r="K560" t="s">
        <v>32</v>
      </c>
      <c r="L560">
        <v>41</v>
      </c>
      <c r="M560" t="s">
        <v>18</v>
      </c>
    </row>
    <row r="561" spans="1:13" x14ac:dyDescent="0.25">
      <c r="A561">
        <v>15895</v>
      </c>
      <c r="B561" t="s">
        <v>35</v>
      </c>
      <c r="C561" t="s">
        <v>33</v>
      </c>
      <c r="D561" s="32">
        <v>60000</v>
      </c>
      <c r="E561">
        <v>2</v>
      </c>
      <c r="F561" t="s">
        <v>13</v>
      </c>
      <c r="G561" t="s">
        <v>28</v>
      </c>
      <c r="H561" t="s">
        <v>15</v>
      </c>
      <c r="I561">
        <v>0</v>
      </c>
      <c r="J561" t="s">
        <v>30</v>
      </c>
      <c r="K561" t="s">
        <v>32</v>
      </c>
      <c r="L561">
        <v>58</v>
      </c>
      <c r="M561" t="s">
        <v>18</v>
      </c>
    </row>
    <row r="562" spans="1:13" x14ac:dyDescent="0.25">
      <c r="A562">
        <v>18577</v>
      </c>
      <c r="B562" t="s">
        <v>34</v>
      </c>
      <c r="C562" t="s">
        <v>33</v>
      </c>
      <c r="D562" s="32">
        <v>60000</v>
      </c>
      <c r="E562">
        <v>0</v>
      </c>
      <c r="F562" t="s">
        <v>31</v>
      </c>
      <c r="G562" t="s">
        <v>21</v>
      </c>
      <c r="H562" t="s">
        <v>15</v>
      </c>
      <c r="I562">
        <v>0</v>
      </c>
      <c r="J562" t="s">
        <v>16</v>
      </c>
      <c r="K562" t="s">
        <v>32</v>
      </c>
      <c r="L562">
        <v>40</v>
      </c>
      <c r="M562" t="s">
        <v>18</v>
      </c>
    </row>
    <row r="563" spans="1:13" x14ac:dyDescent="0.25">
      <c r="A563">
        <v>27218</v>
      </c>
      <c r="B563" t="s">
        <v>34</v>
      </c>
      <c r="C563" t="s">
        <v>33</v>
      </c>
      <c r="D563" s="32">
        <v>20000</v>
      </c>
      <c r="E563">
        <v>2</v>
      </c>
      <c r="F563" t="s">
        <v>29</v>
      </c>
      <c r="G563" t="s">
        <v>20</v>
      </c>
      <c r="H563" t="s">
        <v>18</v>
      </c>
      <c r="I563">
        <v>0</v>
      </c>
      <c r="J563" t="s">
        <v>16</v>
      </c>
      <c r="K563" t="s">
        <v>32</v>
      </c>
      <c r="L563">
        <v>48</v>
      </c>
      <c r="M563" t="s">
        <v>18</v>
      </c>
    </row>
    <row r="564" spans="1:13" x14ac:dyDescent="0.25">
      <c r="A564">
        <v>18560</v>
      </c>
      <c r="B564" t="s">
        <v>34</v>
      </c>
      <c r="C564" t="s">
        <v>33</v>
      </c>
      <c r="D564" s="32">
        <v>70000</v>
      </c>
      <c r="E564">
        <v>2</v>
      </c>
      <c r="F564" t="s">
        <v>31</v>
      </c>
      <c r="G564" t="s">
        <v>21</v>
      </c>
      <c r="H564" t="s">
        <v>15</v>
      </c>
      <c r="I564">
        <v>0</v>
      </c>
      <c r="J564" t="s">
        <v>22</v>
      </c>
      <c r="K564" t="s">
        <v>32</v>
      </c>
      <c r="L564">
        <v>34</v>
      </c>
      <c r="M564" t="s">
        <v>15</v>
      </c>
    </row>
    <row r="565" spans="1:13" x14ac:dyDescent="0.25">
      <c r="A565">
        <v>25006</v>
      </c>
      <c r="B565" t="s">
        <v>35</v>
      </c>
      <c r="C565" t="s">
        <v>33</v>
      </c>
      <c r="D565" s="32">
        <v>30000</v>
      </c>
      <c r="E565">
        <v>0</v>
      </c>
      <c r="F565" t="s">
        <v>19</v>
      </c>
      <c r="G565" t="s">
        <v>14</v>
      </c>
      <c r="H565" t="s">
        <v>15</v>
      </c>
      <c r="I565">
        <v>1</v>
      </c>
      <c r="J565" t="s">
        <v>23</v>
      </c>
      <c r="K565" t="s">
        <v>32</v>
      </c>
      <c r="L565">
        <v>28</v>
      </c>
      <c r="M565" t="s">
        <v>18</v>
      </c>
    </row>
    <row r="566" spans="1:13" x14ac:dyDescent="0.25">
      <c r="A566">
        <v>17369</v>
      </c>
      <c r="B566" t="s">
        <v>35</v>
      </c>
      <c r="C566" t="s">
        <v>34</v>
      </c>
      <c r="D566" s="32">
        <v>30000</v>
      </c>
      <c r="E566">
        <v>0</v>
      </c>
      <c r="F566" t="s">
        <v>19</v>
      </c>
      <c r="G566" t="s">
        <v>14</v>
      </c>
      <c r="H566" t="s">
        <v>15</v>
      </c>
      <c r="I566">
        <v>1</v>
      </c>
      <c r="J566" t="s">
        <v>23</v>
      </c>
      <c r="K566" t="s">
        <v>32</v>
      </c>
      <c r="L566">
        <v>27</v>
      </c>
      <c r="M566" t="s">
        <v>18</v>
      </c>
    </row>
    <row r="567" spans="1:13" x14ac:dyDescent="0.25">
      <c r="A567">
        <v>14495</v>
      </c>
      <c r="B567" t="s">
        <v>34</v>
      </c>
      <c r="C567" t="s">
        <v>34</v>
      </c>
      <c r="D567" s="32">
        <v>40000</v>
      </c>
      <c r="E567">
        <v>3</v>
      </c>
      <c r="F567" t="s">
        <v>19</v>
      </c>
      <c r="G567" t="s">
        <v>21</v>
      </c>
      <c r="H567" t="s">
        <v>18</v>
      </c>
      <c r="I567">
        <v>2</v>
      </c>
      <c r="J567" t="s">
        <v>23</v>
      </c>
      <c r="K567" t="s">
        <v>32</v>
      </c>
      <c r="L567">
        <v>54</v>
      </c>
      <c r="M567" t="s">
        <v>15</v>
      </c>
    </row>
    <row r="568" spans="1:13" x14ac:dyDescent="0.25">
      <c r="A568">
        <v>18847</v>
      </c>
      <c r="B568" t="s">
        <v>34</v>
      </c>
      <c r="C568" t="s">
        <v>33</v>
      </c>
      <c r="D568" s="32">
        <v>60000</v>
      </c>
      <c r="E568">
        <v>2</v>
      </c>
      <c r="F568" t="s">
        <v>31</v>
      </c>
      <c r="G568" t="s">
        <v>28</v>
      </c>
      <c r="H568" t="s">
        <v>15</v>
      </c>
      <c r="I568">
        <v>2</v>
      </c>
      <c r="J568" t="s">
        <v>23</v>
      </c>
      <c r="K568" t="s">
        <v>32</v>
      </c>
      <c r="L568">
        <v>70</v>
      </c>
      <c r="M568" t="s">
        <v>18</v>
      </c>
    </row>
    <row r="569" spans="1:13" x14ac:dyDescent="0.25">
      <c r="A569">
        <v>14754</v>
      </c>
      <c r="B569" t="s">
        <v>34</v>
      </c>
      <c r="C569" t="s">
        <v>34</v>
      </c>
      <c r="D569" s="32">
        <v>40000</v>
      </c>
      <c r="E569">
        <v>1</v>
      </c>
      <c r="F569" t="s">
        <v>19</v>
      </c>
      <c r="G569" t="s">
        <v>20</v>
      </c>
      <c r="H569" t="s">
        <v>15</v>
      </c>
      <c r="I569">
        <v>1</v>
      </c>
      <c r="J569" t="s">
        <v>26</v>
      </c>
      <c r="K569" t="s">
        <v>32</v>
      </c>
      <c r="L569">
        <v>48</v>
      </c>
      <c r="M569" t="s">
        <v>15</v>
      </c>
    </row>
    <row r="570" spans="1:13" x14ac:dyDescent="0.25">
      <c r="A570">
        <v>23378</v>
      </c>
      <c r="B570" t="s">
        <v>34</v>
      </c>
      <c r="C570" t="s">
        <v>34</v>
      </c>
      <c r="D570" s="32">
        <v>70000</v>
      </c>
      <c r="E570">
        <v>1</v>
      </c>
      <c r="F570" t="s">
        <v>19</v>
      </c>
      <c r="G570" t="s">
        <v>14</v>
      </c>
      <c r="H570" t="s">
        <v>15</v>
      </c>
      <c r="I570">
        <v>1</v>
      </c>
      <c r="J570" t="s">
        <v>22</v>
      </c>
      <c r="K570" t="s">
        <v>32</v>
      </c>
      <c r="L570">
        <v>44</v>
      </c>
      <c r="M570" t="s">
        <v>15</v>
      </c>
    </row>
    <row r="571" spans="1:13" x14ac:dyDescent="0.25">
      <c r="A571">
        <v>26452</v>
      </c>
      <c r="B571" t="s">
        <v>35</v>
      </c>
      <c r="C571" t="s">
        <v>34</v>
      </c>
      <c r="D571" s="32">
        <v>50000</v>
      </c>
      <c r="E571">
        <v>3</v>
      </c>
      <c r="F571" t="s">
        <v>31</v>
      </c>
      <c r="G571" t="s">
        <v>28</v>
      </c>
      <c r="H571" t="s">
        <v>15</v>
      </c>
      <c r="I571">
        <v>2</v>
      </c>
      <c r="J571" t="s">
        <v>30</v>
      </c>
      <c r="K571" t="s">
        <v>32</v>
      </c>
      <c r="L571">
        <v>69</v>
      </c>
      <c r="M571" t="s">
        <v>18</v>
      </c>
    </row>
    <row r="572" spans="1:13" x14ac:dyDescent="0.25">
      <c r="A572">
        <v>20370</v>
      </c>
      <c r="B572" t="s">
        <v>34</v>
      </c>
      <c r="C572" t="s">
        <v>34</v>
      </c>
      <c r="D572" s="32">
        <v>70000</v>
      </c>
      <c r="E572">
        <v>3</v>
      </c>
      <c r="F572" t="s">
        <v>29</v>
      </c>
      <c r="G572" t="s">
        <v>14</v>
      </c>
      <c r="H572" t="s">
        <v>15</v>
      </c>
      <c r="I572">
        <v>2</v>
      </c>
      <c r="J572" t="s">
        <v>23</v>
      </c>
      <c r="K572" t="s">
        <v>32</v>
      </c>
      <c r="L572">
        <v>52</v>
      </c>
      <c r="M572" t="s">
        <v>18</v>
      </c>
    </row>
    <row r="573" spans="1:13" x14ac:dyDescent="0.25">
      <c r="A573">
        <v>20528</v>
      </c>
      <c r="B573" t="s">
        <v>34</v>
      </c>
      <c r="C573" t="s">
        <v>34</v>
      </c>
      <c r="D573" s="32">
        <v>40000</v>
      </c>
      <c r="E573">
        <v>2</v>
      </c>
      <c r="F573" t="s">
        <v>29</v>
      </c>
      <c r="G573" t="s">
        <v>14</v>
      </c>
      <c r="H573" t="s">
        <v>15</v>
      </c>
      <c r="I573">
        <v>2</v>
      </c>
      <c r="J573" t="s">
        <v>22</v>
      </c>
      <c r="K573" t="s">
        <v>32</v>
      </c>
      <c r="L573">
        <v>55</v>
      </c>
      <c r="M573" t="s">
        <v>18</v>
      </c>
    </row>
    <row r="574" spans="1:13" x14ac:dyDescent="0.25">
      <c r="A574">
        <v>23549</v>
      </c>
      <c r="B574" t="s">
        <v>35</v>
      </c>
      <c r="C574" t="s">
        <v>34</v>
      </c>
      <c r="D574" s="32">
        <v>30000</v>
      </c>
      <c r="E574">
        <v>0</v>
      </c>
      <c r="F574" t="s">
        <v>27</v>
      </c>
      <c r="G574" t="s">
        <v>14</v>
      </c>
      <c r="H574" t="s">
        <v>15</v>
      </c>
      <c r="I574">
        <v>2</v>
      </c>
      <c r="J574" t="s">
        <v>23</v>
      </c>
      <c r="K574" t="s">
        <v>32</v>
      </c>
      <c r="L574">
        <v>30</v>
      </c>
      <c r="M574" t="s">
        <v>18</v>
      </c>
    </row>
    <row r="575" spans="1:13" x14ac:dyDescent="0.25">
      <c r="A575">
        <v>21751</v>
      </c>
      <c r="B575" t="s">
        <v>34</v>
      </c>
      <c r="C575" t="s">
        <v>34</v>
      </c>
      <c r="D575" s="32">
        <v>60000</v>
      </c>
      <c r="E575">
        <v>3</v>
      </c>
      <c r="F575" t="s">
        <v>31</v>
      </c>
      <c r="G575" t="s">
        <v>28</v>
      </c>
      <c r="H575" t="s">
        <v>15</v>
      </c>
      <c r="I575">
        <v>2</v>
      </c>
      <c r="J575" t="s">
        <v>26</v>
      </c>
      <c r="K575" t="s">
        <v>32</v>
      </c>
      <c r="L575">
        <v>63</v>
      </c>
      <c r="M575" t="s">
        <v>18</v>
      </c>
    </row>
    <row r="576" spans="1:13" x14ac:dyDescent="0.25">
      <c r="A576">
        <v>21266</v>
      </c>
      <c r="B576" t="s">
        <v>35</v>
      </c>
      <c r="C576" t="s">
        <v>33</v>
      </c>
      <c r="D576" s="32">
        <v>80000</v>
      </c>
      <c r="E576">
        <v>0</v>
      </c>
      <c r="F576" t="s">
        <v>13</v>
      </c>
      <c r="G576" t="s">
        <v>28</v>
      </c>
      <c r="H576" t="s">
        <v>15</v>
      </c>
      <c r="I576">
        <v>1</v>
      </c>
      <c r="J576" t="s">
        <v>26</v>
      </c>
      <c r="K576" t="s">
        <v>32</v>
      </c>
      <c r="L576">
        <v>34</v>
      </c>
      <c r="M576" t="s">
        <v>15</v>
      </c>
    </row>
    <row r="577" spans="1:13" x14ac:dyDescent="0.25">
      <c r="A577">
        <v>13388</v>
      </c>
      <c r="B577" t="s">
        <v>35</v>
      </c>
      <c r="C577" t="s">
        <v>34</v>
      </c>
      <c r="D577" s="32">
        <v>60000</v>
      </c>
      <c r="E577">
        <v>2</v>
      </c>
      <c r="F577" t="s">
        <v>19</v>
      </c>
      <c r="G577" t="s">
        <v>21</v>
      </c>
      <c r="H577" t="s">
        <v>15</v>
      </c>
      <c r="I577">
        <v>1</v>
      </c>
      <c r="J577" t="s">
        <v>30</v>
      </c>
      <c r="K577" t="s">
        <v>32</v>
      </c>
      <c r="L577">
        <v>56</v>
      </c>
      <c r="M577" t="s">
        <v>18</v>
      </c>
    </row>
    <row r="578" spans="1:13" x14ac:dyDescent="0.25">
      <c r="A578">
        <v>18752</v>
      </c>
      <c r="B578" t="s">
        <v>35</v>
      </c>
      <c r="C578" t="s">
        <v>33</v>
      </c>
      <c r="D578" s="32">
        <v>40000</v>
      </c>
      <c r="E578">
        <v>0</v>
      </c>
      <c r="F578" t="s">
        <v>27</v>
      </c>
      <c r="G578" t="s">
        <v>14</v>
      </c>
      <c r="H578" t="s">
        <v>15</v>
      </c>
      <c r="I578">
        <v>1</v>
      </c>
      <c r="J578" t="s">
        <v>23</v>
      </c>
      <c r="K578" t="s">
        <v>32</v>
      </c>
      <c r="L578">
        <v>31</v>
      </c>
      <c r="M578" t="s">
        <v>18</v>
      </c>
    </row>
    <row r="579" spans="1:13" x14ac:dyDescent="0.25">
      <c r="A579">
        <v>16917</v>
      </c>
      <c r="B579" t="s">
        <v>34</v>
      </c>
      <c r="C579" t="s">
        <v>34</v>
      </c>
      <c r="D579" s="32">
        <v>120000</v>
      </c>
      <c r="E579">
        <v>1</v>
      </c>
      <c r="F579" t="s">
        <v>13</v>
      </c>
      <c r="G579" t="s">
        <v>28</v>
      </c>
      <c r="H579" t="s">
        <v>15</v>
      </c>
      <c r="I579">
        <v>4</v>
      </c>
      <c r="J579" t="s">
        <v>16</v>
      </c>
      <c r="K579" t="s">
        <v>32</v>
      </c>
      <c r="L579">
        <v>38</v>
      </c>
      <c r="M579" t="s">
        <v>18</v>
      </c>
    </row>
    <row r="580" spans="1:13" x14ac:dyDescent="0.25">
      <c r="A580">
        <v>15313</v>
      </c>
      <c r="B580" t="s">
        <v>34</v>
      </c>
      <c r="C580" t="s">
        <v>34</v>
      </c>
      <c r="D580" s="32">
        <v>60000</v>
      </c>
      <c r="E580">
        <v>4</v>
      </c>
      <c r="F580" t="s">
        <v>13</v>
      </c>
      <c r="G580" t="s">
        <v>28</v>
      </c>
      <c r="H580" t="s">
        <v>15</v>
      </c>
      <c r="I580">
        <v>2</v>
      </c>
      <c r="J580" t="s">
        <v>22</v>
      </c>
      <c r="K580" t="s">
        <v>32</v>
      </c>
      <c r="L580">
        <v>59</v>
      </c>
      <c r="M580" t="s">
        <v>18</v>
      </c>
    </row>
    <row r="581" spans="1:13" x14ac:dyDescent="0.25">
      <c r="A581">
        <v>25329</v>
      </c>
      <c r="B581" t="s">
        <v>35</v>
      </c>
      <c r="C581" t="s">
        <v>33</v>
      </c>
      <c r="D581" s="32">
        <v>40000</v>
      </c>
      <c r="E581">
        <v>3</v>
      </c>
      <c r="F581" t="s">
        <v>19</v>
      </c>
      <c r="G581" t="s">
        <v>20</v>
      </c>
      <c r="H581" t="s">
        <v>18</v>
      </c>
      <c r="I581">
        <v>2</v>
      </c>
      <c r="J581" t="s">
        <v>16</v>
      </c>
      <c r="K581" t="s">
        <v>32</v>
      </c>
      <c r="L581">
        <v>32</v>
      </c>
      <c r="M581" t="s">
        <v>18</v>
      </c>
    </row>
    <row r="582" spans="1:13" x14ac:dyDescent="0.25">
      <c r="A582">
        <v>20380</v>
      </c>
      <c r="B582" t="s">
        <v>34</v>
      </c>
      <c r="C582" t="s">
        <v>33</v>
      </c>
      <c r="D582" s="32">
        <v>60000</v>
      </c>
      <c r="E582">
        <v>3</v>
      </c>
      <c r="F582" t="s">
        <v>31</v>
      </c>
      <c r="G582" t="s">
        <v>28</v>
      </c>
      <c r="H582" t="s">
        <v>15</v>
      </c>
      <c r="I582">
        <v>2</v>
      </c>
      <c r="J582" t="s">
        <v>30</v>
      </c>
      <c r="K582" t="s">
        <v>32</v>
      </c>
      <c r="L582">
        <v>69</v>
      </c>
      <c r="M582" t="s">
        <v>18</v>
      </c>
    </row>
    <row r="583" spans="1:13" x14ac:dyDescent="0.25">
      <c r="A583">
        <v>23089</v>
      </c>
      <c r="B583" t="s">
        <v>34</v>
      </c>
      <c r="C583" t="s">
        <v>34</v>
      </c>
      <c r="D583" s="32">
        <v>40000</v>
      </c>
      <c r="E583">
        <v>0</v>
      </c>
      <c r="F583" t="s">
        <v>19</v>
      </c>
      <c r="G583" t="s">
        <v>14</v>
      </c>
      <c r="H583" t="s">
        <v>15</v>
      </c>
      <c r="I583">
        <v>1</v>
      </c>
      <c r="J583" t="s">
        <v>23</v>
      </c>
      <c r="K583" t="s">
        <v>32</v>
      </c>
      <c r="L583">
        <v>28</v>
      </c>
      <c r="M583" t="s">
        <v>18</v>
      </c>
    </row>
    <row r="584" spans="1:13" x14ac:dyDescent="0.25">
      <c r="A584">
        <v>13749</v>
      </c>
      <c r="B584" t="s">
        <v>34</v>
      </c>
      <c r="C584" t="s">
        <v>34</v>
      </c>
      <c r="D584" s="32">
        <v>80000</v>
      </c>
      <c r="E584">
        <v>4</v>
      </c>
      <c r="F584" t="s">
        <v>31</v>
      </c>
      <c r="G584" t="s">
        <v>14</v>
      </c>
      <c r="H584" t="s">
        <v>15</v>
      </c>
      <c r="I584">
        <v>0</v>
      </c>
      <c r="J584" t="s">
        <v>26</v>
      </c>
      <c r="K584" t="s">
        <v>32</v>
      </c>
      <c r="L584">
        <v>47</v>
      </c>
      <c r="M584" t="s">
        <v>18</v>
      </c>
    </row>
    <row r="585" spans="1:13" x14ac:dyDescent="0.25">
      <c r="A585">
        <v>24943</v>
      </c>
      <c r="B585" t="s">
        <v>34</v>
      </c>
      <c r="C585" t="s">
        <v>34</v>
      </c>
      <c r="D585" s="32">
        <v>60000</v>
      </c>
      <c r="E585">
        <v>3</v>
      </c>
      <c r="F585" t="s">
        <v>13</v>
      </c>
      <c r="G585" t="s">
        <v>28</v>
      </c>
      <c r="H585" t="s">
        <v>15</v>
      </c>
      <c r="I585">
        <v>2</v>
      </c>
      <c r="J585" t="s">
        <v>30</v>
      </c>
      <c r="K585" t="s">
        <v>32</v>
      </c>
      <c r="L585">
        <v>66</v>
      </c>
      <c r="M585" t="s">
        <v>18</v>
      </c>
    </row>
    <row r="586" spans="1:13" x14ac:dyDescent="0.25">
      <c r="A586">
        <v>28667</v>
      </c>
      <c r="B586" t="s">
        <v>35</v>
      </c>
      <c r="C586" t="s">
        <v>34</v>
      </c>
      <c r="D586" s="32">
        <v>70000</v>
      </c>
      <c r="E586">
        <v>2</v>
      </c>
      <c r="F586" t="s">
        <v>13</v>
      </c>
      <c r="G586" t="s">
        <v>14</v>
      </c>
      <c r="H586" t="s">
        <v>18</v>
      </c>
      <c r="I586">
        <v>1</v>
      </c>
      <c r="J586" t="s">
        <v>16</v>
      </c>
      <c r="K586" t="s">
        <v>32</v>
      </c>
      <c r="L586">
        <v>37</v>
      </c>
      <c r="M586" t="s">
        <v>15</v>
      </c>
    </row>
    <row r="587" spans="1:13" x14ac:dyDescent="0.25">
      <c r="A587">
        <v>15194</v>
      </c>
      <c r="B587" t="s">
        <v>35</v>
      </c>
      <c r="C587" t="s">
        <v>34</v>
      </c>
      <c r="D587" s="32">
        <v>120000</v>
      </c>
      <c r="E587">
        <v>2</v>
      </c>
      <c r="F587" t="s">
        <v>13</v>
      </c>
      <c r="G587" t="s">
        <v>28</v>
      </c>
      <c r="H587" t="s">
        <v>18</v>
      </c>
      <c r="I587">
        <v>3</v>
      </c>
      <c r="J587" t="s">
        <v>16</v>
      </c>
      <c r="K587" t="s">
        <v>32</v>
      </c>
      <c r="L587">
        <v>39</v>
      </c>
      <c r="M587" t="s">
        <v>15</v>
      </c>
    </row>
    <row r="588" spans="1:13" x14ac:dyDescent="0.25">
      <c r="A588">
        <v>17436</v>
      </c>
      <c r="B588" t="s">
        <v>34</v>
      </c>
      <c r="C588" t="s">
        <v>34</v>
      </c>
      <c r="D588" s="32">
        <v>60000</v>
      </c>
      <c r="E588">
        <v>2</v>
      </c>
      <c r="F588" t="s">
        <v>27</v>
      </c>
      <c r="G588" t="s">
        <v>21</v>
      </c>
      <c r="H588" t="s">
        <v>18</v>
      </c>
      <c r="I588">
        <v>2</v>
      </c>
      <c r="J588" t="s">
        <v>26</v>
      </c>
      <c r="K588" t="s">
        <v>32</v>
      </c>
      <c r="L588">
        <v>51</v>
      </c>
      <c r="M588" t="s">
        <v>18</v>
      </c>
    </row>
    <row r="589" spans="1:13" x14ac:dyDescent="0.25">
      <c r="A589">
        <v>18935</v>
      </c>
      <c r="B589" t="s">
        <v>34</v>
      </c>
      <c r="C589" t="s">
        <v>33</v>
      </c>
      <c r="D589" s="32">
        <v>130000</v>
      </c>
      <c r="E589">
        <v>0</v>
      </c>
      <c r="F589" t="s">
        <v>31</v>
      </c>
      <c r="G589" t="s">
        <v>28</v>
      </c>
      <c r="H589" t="s">
        <v>15</v>
      </c>
      <c r="I589">
        <v>3</v>
      </c>
      <c r="J589" t="s">
        <v>26</v>
      </c>
      <c r="K589" t="s">
        <v>32</v>
      </c>
      <c r="L589">
        <v>40</v>
      </c>
      <c r="M589" t="s">
        <v>18</v>
      </c>
    </row>
    <row r="590" spans="1:13" x14ac:dyDescent="0.25">
      <c r="A590">
        <v>16871</v>
      </c>
      <c r="B590" t="s">
        <v>34</v>
      </c>
      <c r="C590" t="s">
        <v>33</v>
      </c>
      <c r="D590" s="32">
        <v>90000</v>
      </c>
      <c r="E590">
        <v>2</v>
      </c>
      <c r="F590" t="s">
        <v>27</v>
      </c>
      <c r="G590" t="s">
        <v>21</v>
      </c>
      <c r="H590" t="s">
        <v>15</v>
      </c>
      <c r="I590">
        <v>1</v>
      </c>
      <c r="J590" t="s">
        <v>30</v>
      </c>
      <c r="K590" t="s">
        <v>32</v>
      </c>
      <c r="L590">
        <v>51</v>
      </c>
      <c r="M590" t="s">
        <v>15</v>
      </c>
    </row>
    <row r="591" spans="1:13" x14ac:dyDescent="0.25">
      <c r="A591">
        <v>12100</v>
      </c>
      <c r="B591" t="s">
        <v>35</v>
      </c>
      <c r="C591" t="s">
        <v>34</v>
      </c>
      <c r="D591" s="32">
        <v>60000</v>
      </c>
      <c r="E591">
        <v>2</v>
      </c>
      <c r="F591" t="s">
        <v>13</v>
      </c>
      <c r="G591" t="s">
        <v>28</v>
      </c>
      <c r="H591" t="s">
        <v>15</v>
      </c>
      <c r="I591">
        <v>0</v>
      </c>
      <c r="J591" t="s">
        <v>30</v>
      </c>
      <c r="K591" t="s">
        <v>32</v>
      </c>
      <c r="L591">
        <v>57</v>
      </c>
      <c r="M591" t="s">
        <v>18</v>
      </c>
    </row>
    <row r="592" spans="1:13" x14ac:dyDescent="0.25">
      <c r="A592">
        <v>23158</v>
      </c>
      <c r="B592" t="s">
        <v>34</v>
      </c>
      <c r="C592" t="s">
        <v>33</v>
      </c>
      <c r="D592" s="32">
        <v>60000</v>
      </c>
      <c r="E592">
        <v>1</v>
      </c>
      <c r="F592" t="s">
        <v>31</v>
      </c>
      <c r="G592" t="s">
        <v>21</v>
      </c>
      <c r="H592" t="s">
        <v>18</v>
      </c>
      <c r="I592">
        <v>0</v>
      </c>
      <c r="J592" t="s">
        <v>16</v>
      </c>
      <c r="K592" t="s">
        <v>32</v>
      </c>
      <c r="L592">
        <v>35</v>
      </c>
      <c r="M592" t="s">
        <v>15</v>
      </c>
    </row>
    <row r="593" spans="1:13" x14ac:dyDescent="0.25">
      <c r="A593">
        <v>18545</v>
      </c>
      <c r="B593" t="s">
        <v>34</v>
      </c>
      <c r="C593" t="s">
        <v>34</v>
      </c>
      <c r="D593" s="32">
        <v>40000</v>
      </c>
      <c r="E593">
        <v>4</v>
      </c>
      <c r="F593" t="s">
        <v>27</v>
      </c>
      <c r="G593" t="s">
        <v>21</v>
      </c>
      <c r="H593" t="s">
        <v>18</v>
      </c>
      <c r="I593">
        <v>2</v>
      </c>
      <c r="J593" t="s">
        <v>30</v>
      </c>
      <c r="K593" t="s">
        <v>32</v>
      </c>
      <c r="L593">
        <v>61</v>
      </c>
      <c r="M593" t="s">
        <v>15</v>
      </c>
    </row>
    <row r="594" spans="1:13" x14ac:dyDescent="0.25">
      <c r="A594">
        <v>18391</v>
      </c>
      <c r="B594" t="s">
        <v>35</v>
      </c>
      <c r="C594" t="s">
        <v>33</v>
      </c>
      <c r="D594" s="32">
        <v>80000</v>
      </c>
      <c r="E594">
        <v>5</v>
      </c>
      <c r="F594" t="s">
        <v>19</v>
      </c>
      <c r="G594" t="s">
        <v>21</v>
      </c>
      <c r="H594" t="s">
        <v>15</v>
      </c>
      <c r="I594">
        <v>2</v>
      </c>
      <c r="J594" t="s">
        <v>23</v>
      </c>
      <c r="K594" t="s">
        <v>32</v>
      </c>
      <c r="L594">
        <v>44</v>
      </c>
      <c r="M594" t="s">
        <v>18</v>
      </c>
    </row>
    <row r="595" spans="1:13" x14ac:dyDescent="0.25">
      <c r="A595">
        <v>19812</v>
      </c>
      <c r="B595" t="s">
        <v>35</v>
      </c>
      <c r="C595" t="s">
        <v>33</v>
      </c>
      <c r="D595" s="32">
        <v>70000</v>
      </c>
      <c r="E595">
        <v>2</v>
      </c>
      <c r="F595" t="s">
        <v>19</v>
      </c>
      <c r="G595" t="s">
        <v>21</v>
      </c>
      <c r="H595" t="s">
        <v>15</v>
      </c>
      <c r="I595">
        <v>0</v>
      </c>
      <c r="J595" t="s">
        <v>23</v>
      </c>
      <c r="K595" t="s">
        <v>32</v>
      </c>
      <c r="L595">
        <v>49</v>
      </c>
      <c r="M595" t="s">
        <v>15</v>
      </c>
    </row>
    <row r="596" spans="1:13" x14ac:dyDescent="0.25">
      <c r="A596">
        <v>27660</v>
      </c>
      <c r="B596" t="s">
        <v>34</v>
      </c>
      <c r="C596" t="s">
        <v>34</v>
      </c>
      <c r="D596" s="32">
        <v>80000</v>
      </c>
      <c r="E596">
        <v>4</v>
      </c>
      <c r="F596" t="s">
        <v>31</v>
      </c>
      <c r="G596" t="s">
        <v>28</v>
      </c>
      <c r="H596" t="s">
        <v>15</v>
      </c>
      <c r="I596">
        <v>2</v>
      </c>
      <c r="J596" t="s">
        <v>23</v>
      </c>
      <c r="K596" t="s">
        <v>32</v>
      </c>
      <c r="L596">
        <v>70</v>
      </c>
      <c r="M596" t="s">
        <v>18</v>
      </c>
    </row>
    <row r="597" spans="1:13" x14ac:dyDescent="0.25">
      <c r="A597">
        <v>18058</v>
      </c>
      <c r="B597" t="s">
        <v>35</v>
      </c>
      <c r="C597" t="s">
        <v>33</v>
      </c>
      <c r="D597" s="32">
        <v>20000</v>
      </c>
      <c r="E597">
        <v>3</v>
      </c>
      <c r="F597" t="s">
        <v>27</v>
      </c>
      <c r="G597" t="s">
        <v>14</v>
      </c>
      <c r="H597" t="s">
        <v>15</v>
      </c>
      <c r="I597">
        <v>2</v>
      </c>
      <c r="J597" t="s">
        <v>22</v>
      </c>
      <c r="K597" t="s">
        <v>32</v>
      </c>
      <c r="L597">
        <v>78</v>
      </c>
      <c r="M597" t="s">
        <v>18</v>
      </c>
    </row>
    <row r="598" spans="1:13" x14ac:dyDescent="0.25">
      <c r="A598">
        <v>20343</v>
      </c>
      <c r="B598" t="s">
        <v>34</v>
      </c>
      <c r="C598" t="s">
        <v>33</v>
      </c>
      <c r="D598" s="32">
        <v>90000</v>
      </c>
      <c r="E598">
        <v>4</v>
      </c>
      <c r="F598" t="s">
        <v>19</v>
      </c>
      <c r="G598" t="s">
        <v>21</v>
      </c>
      <c r="H598" t="s">
        <v>15</v>
      </c>
      <c r="I598">
        <v>1</v>
      </c>
      <c r="J598" t="s">
        <v>26</v>
      </c>
      <c r="K598" t="s">
        <v>32</v>
      </c>
      <c r="L598">
        <v>45</v>
      </c>
      <c r="M598" t="s">
        <v>18</v>
      </c>
    </row>
    <row r="599" spans="1:13" x14ac:dyDescent="0.25">
      <c r="A599">
        <v>28997</v>
      </c>
      <c r="B599" t="s">
        <v>35</v>
      </c>
      <c r="C599" t="s">
        <v>34</v>
      </c>
      <c r="D599" s="32">
        <v>40000</v>
      </c>
      <c r="E599">
        <v>2</v>
      </c>
      <c r="F599" t="s">
        <v>27</v>
      </c>
      <c r="G599" t="s">
        <v>21</v>
      </c>
      <c r="H599" t="s">
        <v>18</v>
      </c>
      <c r="I599">
        <v>1</v>
      </c>
      <c r="J599" t="s">
        <v>22</v>
      </c>
      <c r="K599" t="s">
        <v>32</v>
      </c>
      <c r="L599">
        <v>58</v>
      </c>
      <c r="M599" t="s">
        <v>15</v>
      </c>
    </row>
    <row r="600" spans="1:13" x14ac:dyDescent="0.25">
      <c r="A600">
        <v>24398</v>
      </c>
      <c r="B600" t="s">
        <v>34</v>
      </c>
      <c r="C600" t="s">
        <v>34</v>
      </c>
      <c r="D600" s="32">
        <v>130000</v>
      </c>
      <c r="E600">
        <v>1</v>
      </c>
      <c r="F600" t="s">
        <v>31</v>
      </c>
      <c r="G600" t="s">
        <v>28</v>
      </c>
      <c r="H600" t="s">
        <v>15</v>
      </c>
      <c r="I600">
        <v>4</v>
      </c>
      <c r="J600" t="s">
        <v>16</v>
      </c>
      <c r="K600" t="s">
        <v>32</v>
      </c>
      <c r="L600">
        <v>41</v>
      </c>
      <c r="M600" t="s">
        <v>18</v>
      </c>
    </row>
    <row r="601" spans="1:13" x14ac:dyDescent="0.25">
      <c r="A601">
        <v>19002</v>
      </c>
      <c r="B601" t="s">
        <v>34</v>
      </c>
      <c r="C601" t="s">
        <v>33</v>
      </c>
      <c r="D601" s="32">
        <v>60000</v>
      </c>
      <c r="E601">
        <v>2</v>
      </c>
      <c r="F601" t="s">
        <v>19</v>
      </c>
      <c r="G601" t="s">
        <v>21</v>
      </c>
      <c r="H601" t="s">
        <v>15</v>
      </c>
      <c r="I601">
        <v>1</v>
      </c>
      <c r="J601" t="s">
        <v>22</v>
      </c>
      <c r="K601" t="s">
        <v>32</v>
      </c>
      <c r="L601">
        <v>57</v>
      </c>
      <c r="M601" t="s">
        <v>15</v>
      </c>
    </row>
    <row r="602" spans="1:13" x14ac:dyDescent="0.25">
      <c r="A602">
        <v>28609</v>
      </c>
      <c r="B602" t="s">
        <v>34</v>
      </c>
      <c r="C602" t="s">
        <v>34</v>
      </c>
      <c r="D602" s="32">
        <v>30000</v>
      </c>
      <c r="E602">
        <v>2</v>
      </c>
      <c r="F602" t="s">
        <v>27</v>
      </c>
      <c r="G602" t="s">
        <v>14</v>
      </c>
      <c r="H602" t="s">
        <v>18</v>
      </c>
      <c r="I602">
        <v>2</v>
      </c>
      <c r="J602" t="s">
        <v>16</v>
      </c>
      <c r="K602" t="s">
        <v>32</v>
      </c>
      <c r="L602">
        <v>49</v>
      </c>
      <c r="M602" t="s">
        <v>18</v>
      </c>
    </row>
    <row r="603" spans="1:13" x14ac:dyDescent="0.25">
      <c r="A603">
        <v>29231</v>
      </c>
      <c r="B603" t="s">
        <v>35</v>
      </c>
      <c r="C603" t="s">
        <v>34</v>
      </c>
      <c r="D603" s="32">
        <v>80000</v>
      </c>
      <c r="E603">
        <v>4</v>
      </c>
      <c r="F603" t="s">
        <v>19</v>
      </c>
      <c r="G603" t="s">
        <v>21</v>
      </c>
      <c r="H603" t="s">
        <v>18</v>
      </c>
      <c r="I603">
        <v>2</v>
      </c>
      <c r="J603" t="s">
        <v>16</v>
      </c>
      <c r="K603" t="s">
        <v>32</v>
      </c>
      <c r="L603">
        <v>43</v>
      </c>
      <c r="M603" t="s">
        <v>18</v>
      </c>
    </row>
    <row r="604" spans="1:13" x14ac:dyDescent="0.25">
      <c r="A604">
        <v>18858</v>
      </c>
      <c r="B604" t="s">
        <v>35</v>
      </c>
      <c r="C604" t="s">
        <v>34</v>
      </c>
      <c r="D604" s="32">
        <v>60000</v>
      </c>
      <c r="E604">
        <v>2</v>
      </c>
      <c r="F604" t="s">
        <v>29</v>
      </c>
      <c r="G604" t="s">
        <v>14</v>
      </c>
      <c r="H604" t="s">
        <v>15</v>
      </c>
      <c r="I604">
        <v>2</v>
      </c>
      <c r="J604" t="s">
        <v>23</v>
      </c>
      <c r="K604" t="s">
        <v>32</v>
      </c>
      <c r="L604">
        <v>52</v>
      </c>
      <c r="M604" t="s">
        <v>15</v>
      </c>
    </row>
    <row r="605" spans="1:13" x14ac:dyDescent="0.25">
      <c r="A605">
        <v>20000</v>
      </c>
      <c r="B605" t="s">
        <v>34</v>
      </c>
      <c r="C605" t="s">
        <v>34</v>
      </c>
      <c r="D605" s="32">
        <v>60000</v>
      </c>
      <c r="E605">
        <v>1</v>
      </c>
      <c r="F605" t="s">
        <v>31</v>
      </c>
      <c r="G605" t="s">
        <v>21</v>
      </c>
      <c r="H605" t="s">
        <v>15</v>
      </c>
      <c r="I605">
        <v>0</v>
      </c>
      <c r="J605" t="s">
        <v>16</v>
      </c>
      <c r="K605" t="s">
        <v>32</v>
      </c>
      <c r="L605">
        <v>35</v>
      </c>
      <c r="M605" t="s">
        <v>15</v>
      </c>
    </row>
    <row r="606" spans="1:13" x14ac:dyDescent="0.25">
      <c r="A606">
        <v>25261</v>
      </c>
      <c r="B606" t="s">
        <v>34</v>
      </c>
      <c r="C606" t="s">
        <v>34</v>
      </c>
      <c r="D606" s="32">
        <v>40000</v>
      </c>
      <c r="E606">
        <v>0</v>
      </c>
      <c r="F606" t="s">
        <v>27</v>
      </c>
      <c r="G606" t="s">
        <v>14</v>
      </c>
      <c r="H606" t="s">
        <v>15</v>
      </c>
      <c r="I606">
        <v>2</v>
      </c>
      <c r="J606" t="s">
        <v>23</v>
      </c>
      <c r="K606" t="s">
        <v>32</v>
      </c>
      <c r="L606">
        <v>27</v>
      </c>
      <c r="M606" t="s">
        <v>18</v>
      </c>
    </row>
    <row r="607" spans="1:13" x14ac:dyDescent="0.25">
      <c r="A607">
        <v>17458</v>
      </c>
      <c r="B607" t="s">
        <v>35</v>
      </c>
      <c r="C607" t="s">
        <v>34</v>
      </c>
      <c r="D607" s="32">
        <v>70000</v>
      </c>
      <c r="E607">
        <v>3</v>
      </c>
      <c r="F607" t="s">
        <v>27</v>
      </c>
      <c r="G607" t="s">
        <v>21</v>
      </c>
      <c r="H607" t="s">
        <v>15</v>
      </c>
      <c r="I607">
        <v>0</v>
      </c>
      <c r="J607" t="s">
        <v>23</v>
      </c>
      <c r="K607" t="s">
        <v>32</v>
      </c>
      <c r="L607">
        <v>52</v>
      </c>
      <c r="M607" t="s">
        <v>15</v>
      </c>
    </row>
    <row r="608" spans="1:13" x14ac:dyDescent="0.25">
      <c r="A608">
        <v>11644</v>
      </c>
      <c r="B608" t="s">
        <v>35</v>
      </c>
      <c r="C608" t="s">
        <v>34</v>
      </c>
      <c r="D608" s="32">
        <v>40000</v>
      </c>
      <c r="E608">
        <v>2</v>
      </c>
      <c r="F608" t="s">
        <v>13</v>
      </c>
      <c r="G608" t="s">
        <v>14</v>
      </c>
      <c r="H608" t="s">
        <v>15</v>
      </c>
      <c r="I608">
        <v>0</v>
      </c>
      <c r="J608" t="s">
        <v>22</v>
      </c>
      <c r="K608" t="s">
        <v>32</v>
      </c>
      <c r="L608">
        <v>36</v>
      </c>
      <c r="M608" t="s">
        <v>18</v>
      </c>
    </row>
    <row r="609" spans="1:13" x14ac:dyDescent="0.25">
      <c r="A609">
        <v>16145</v>
      </c>
      <c r="B609" t="s">
        <v>35</v>
      </c>
      <c r="C609" t="s">
        <v>33</v>
      </c>
      <c r="D609" s="32">
        <v>70000</v>
      </c>
      <c r="E609">
        <v>5</v>
      </c>
      <c r="F609" t="s">
        <v>31</v>
      </c>
      <c r="G609" t="s">
        <v>21</v>
      </c>
      <c r="H609" t="s">
        <v>15</v>
      </c>
      <c r="I609">
        <v>3</v>
      </c>
      <c r="J609" t="s">
        <v>30</v>
      </c>
      <c r="K609" t="s">
        <v>32</v>
      </c>
      <c r="L609">
        <v>46</v>
      </c>
      <c r="M609" t="s">
        <v>15</v>
      </c>
    </row>
    <row r="610" spans="1:13" x14ac:dyDescent="0.25">
      <c r="A610">
        <v>16890</v>
      </c>
      <c r="B610" t="s">
        <v>34</v>
      </c>
      <c r="C610" t="s">
        <v>34</v>
      </c>
      <c r="D610" s="32">
        <v>60000</v>
      </c>
      <c r="E610">
        <v>3</v>
      </c>
      <c r="F610" t="s">
        <v>29</v>
      </c>
      <c r="G610" t="s">
        <v>14</v>
      </c>
      <c r="H610" t="s">
        <v>15</v>
      </c>
      <c r="I610">
        <v>2</v>
      </c>
      <c r="J610" t="s">
        <v>23</v>
      </c>
      <c r="K610" t="s">
        <v>32</v>
      </c>
      <c r="L610">
        <v>52</v>
      </c>
      <c r="M610" t="s">
        <v>15</v>
      </c>
    </row>
    <row r="611" spans="1:13" x14ac:dyDescent="0.25">
      <c r="A611">
        <v>25983</v>
      </c>
      <c r="B611" t="s">
        <v>34</v>
      </c>
      <c r="C611" t="s">
        <v>34</v>
      </c>
      <c r="D611" s="32">
        <v>70000</v>
      </c>
      <c r="E611">
        <v>0</v>
      </c>
      <c r="F611" t="s">
        <v>13</v>
      </c>
      <c r="G611" t="s">
        <v>21</v>
      </c>
      <c r="H611" t="s">
        <v>18</v>
      </c>
      <c r="I611">
        <v>1</v>
      </c>
      <c r="J611" t="s">
        <v>16</v>
      </c>
      <c r="K611" t="s">
        <v>32</v>
      </c>
      <c r="L611">
        <v>43</v>
      </c>
      <c r="M611" t="s">
        <v>18</v>
      </c>
    </row>
    <row r="612" spans="1:13" x14ac:dyDescent="0.25">
      <c r="A612">
        <v>14633</v>
      </c>
      <c r="B612" t="s">
        <v>34</v>
      </c>
      <c r="C612" t="s">
        <v>34</v>
      </c>
      <c r="D612" s="32">
        <v>60000</v>
      </c>
      <c r="E612">
        <v>1</v>
      </c>
      <c r="F612" t="s">
        <v>19</v>
      </c>
      <c r="G612" t="s">
        <v>14</v>
      </c>
      <c r="H612" t="s">
        <v>15</v>
      </c>
      <c r="I612">
        <v>1</v>
      </c>
      <c r="J612" t="s">
        <v>22</v>
      </c>
      <c r="K612" t="s">
        <v>32</v>
      </c>
      <c r="L612">
        <v>44</v>
      </c>
      <c r="M612" t="s">
        <v>18</v>
      </c>
    </row>
    <row r="613" spans="1:13" x14ac:dyDescent="0.25">
      <c r="A613">
        <v>22994</v>
      </c>
      <c r="B613" t="s">
        <v>34</v>
      </c>
      <c r="C613" t="s">
        <v>33</v>
      </c>
      <c r="D613" s="32">
        <v>80000</v>
      </c>
      <c r="E613">
        <v>0</v>
      </c>
      <c r="F613" t="s">
        <v>13</v>
      </c>
      <c r="G613" t="s">
        <v>28</v>
      </c>
      <c r="H613" t="s">
        <v>15</v>
      </c>
      <c r="I613">
        <v>1</v>
      </c>
      <c r="J613" t="s">
        <v>26</v>
      </c>
      <c r="K613" t="s">
        <v>32</v>
      </c>
      <c r="L613">
        <v>34</v>
      </c>
      <c r="M613" t="s">
        <v>15</v>
      </c>
    </row>
    <row r="614" spans="1:13" x14ac:dyDescent="0.25">
      <c r="A614">
        <v>22983</v>
      </c>
      <c r="B614" t="s">
        <v>35</v>
      </c>
      <c r="C614" t="s">
        <v>33</v>
      </c>
      <c r="D614" s="32">
        <v>30000</v>
      </c>
      <c r="E614">
        <v>0</v>
      </c>
      <c r="F614" t="s">
        <v>29</v>
      </c>
      <c r="G614" t="s">
        <v>20</v>
      </c>
      <c r="H614" t="s">
        <v>15</v>
      </c>
      <c r="I614">
        <v>2</v>
      </c>
      <c r="J614" t="s">
        <v>23</v>
      </c>
      <c r="K614" t="s">
        <v>32</v>
      </c>
      <c r="L614">
        <v>27</v>
      </c>
      <c r="M614" t="s">
        <v>18</v>
      </c>
    </row>
    <row r="615" spans="1:13" x14ac:dyDescent="0.25">
      <c r="A615">
        <v>25184</v>
      </c>
      <c r="B615" t="s">
        <v>35</v>
      </c>
      <c r="C615" t="s">
        <v>34</v>
      </c>
      <c r="D615" s="32">
        <v>110000</v>
      </c>
      <c r="E615">
        <v>1</v>
      </c>
      <c r="F615" t="s">
        <v>19</v>
      </c>
      <c r="G615" t="s">
        <v>21</v>
      </c>
      <c r="H615" t="s">
        <v>15</v>
      </c>
      <c r="I615">
        <v>4</v>
      </c>
      <c r="J615" t="s">
        <v>23</v>
      </c>
      <c r="K615" t="s">
        <v>32</v>
      </c>
      <c r="L615">
        <v>45</v>
      </c>
      <c r="M615" t="s">
        <v>15</v>
      </c>
    </row>
    <row r="616" spans="1:13" x14ac:dyDescent="0.25">
      <c r="A616">
        <v>14469</v>
      </c>
      <c r="B616" t="s">
        <v>34</v>
      </c>
      <c r="C616" t="s">
        <v>33</v>
      </c>
      <c r="D616" s="32">
        <v>100000</v>
      </c>
      <c r="E616">
        <v>3</v>
      </c>
      <c r="F616" t="s">
        <v>19</v>
      </c>
      <c r="G616" t="s">
        <v>21</v>
      </c>
      <c r="H616" t="s">
        <v>15</v>
      </c>
      <c r="I616">
        <v>4</v>
      </c>
      <c r="J616" t="s">
        <v>26</v>
      </c>
      <c r="K616" t="s">
        <v>32</v>
      </c>
      <c r="L616">
        <v>45</v>
      </c>
      <c r="M616" t="s">
        <v>18</v>
      </c>
    </row>
    <row r="617" spans="1:13" x14ac:dyDescent="0.25">
      <c r="A617">
        <v>11538</v>
      </c>
      <c r="B617" t="s">
        <v>35</v>
      </c>
      <c r="C617" t="s">
        <v>33</v>
      </c>
      <c r="D617" s="32">
        <v>60000</v>
      </c>
      <c r="E617">
        <v>4</v>
      </c>
      <c r="F617" t="s">
        <v>31</v>
      </c>
      <c r="G617" t="s">
        <v>14</v>
      </c>
      <c r="H617" t="s">
        <v>18</v>
      </c>
      <c r="I617">
        <v>0</v>
      </c>
      <c r="J617" t="s">
        <v>16</v>
      </c>
      <c r="K617" t="s">
        <v>32</v>
      </c>
      <c r="L617">
        <v>47</v>
      </c>
      <c r="M617" t="s">
        <v>15</v>
      </c>
    </row>
    <row r="618" spans="1:13" x14ac:dyDescent="0.25">
      <c r="A618">
        <v>16245</v>
      </c>
      <c r="B618" t="s">
        <v>35</v>
      </c>
      <c r="C618" t="s">
        <v>33</v>
      </c>
      <c r="D618" s="32">
        <v>80000</v>
      </c>
      <c r="E618">
        <v>4</v>
      </c>
      <c r="F618" t="s">
        <v>31</v>
      </c>
      <c r="G618" t="s">
        <v>14</v>
      </c>
      <c r="H618" t="s">
        <v>15</v>
      </c>
      <c r="I618">
        <v>0</v>
      </c>
      <c r="J618" t="s">
        <v>26</v>
      </c>
      <c r="K618" t="s">
        <v>32</v>
      </c>
      <c r="L618">
        <v>47</v>
      </c>
      <c r="M618" t="s">
        <v>18</v>
      </c>
    </row>
    <row r="619" spans="1:13" x14ac:dyDescent="0.25">
      <c r="A619">
        <v>17858</v>
      </c>
      <c r="B619" t="s">
        <v>34</v>
      </c>
      <c r="C619" t="s">
        <v>34</v>
      </c>
      <c r="D619" s="32">
        <v>40000</v>
      </c>
      <c r="E619">
        <v>4</v>
      </c>
      <c r="F619" t="s">
        <v>27</v>
      </c>
      <c r="G619" t="s">
        <v>14</v>
      </c>
      <c r="H619" t="s">
        <v>15</v>
      </c>
      <c r="I619">
        <v>2</v>
      </c>
      <c r="J619" t="s">
        <v>22</v>
      </c>
      <c r="K619" t="s">
        <v>32</v>
      </c>
      <c r="L619">
        <v>44</v>
      </c>
      <c r="M619" t="s">
        <v>15</v>
      </c>
    </row>
    <row r="620" spans="1:13" x14ac:dyDescent="0.25">
      <c r="A620">
        <v>25347</v>
      </c>
      <c r="B620" t="s">
        <v>35</v>
      </c>
      <c r="C620" t="s">
        <v>33</v>
      </c>
      <c r="D620" s="32">
        <v>20000</v>
      </c>
      <c r="E620">
        <v>3</v>
      </c>
      <c r="F620" t="s">
        <v>29</v>
      </c>
      <c r="G620" t="s">
        <v>20</v>
      </c>
      <c r="H620" t="s">
        <v>18</v>
      </c>
      <c r="I620">
        <v>2</v>
      </c>
      <c r="J620" t="s">
        <v>16</v>
      </c>
      <c r="K620" t="s">
        <v>32</v>
      </c>
      <c r="L620">
        <v>49</v>
      </c>
      <c r="M620" t="s">
        <v>18</v>
      </c>
    </row>
    <row r="621" spans="1:13" x14ac:dyDescent="0.25">
      <c r="A621">
        <v>15814</v>
      </c>
      <c r="B621" t="s">
        <v>35</v>
      </c>
      <c r="C621" t="s">
        <v>33</v>
      </c>
      <c r="D621" s="32">
        <v>40000</v>
      </c>
      <c r="E621">
        <v>0</v>
      </c>
      <c r="F621" t="s">
        <v>27</v>
      </c>
      <c r="G621" t="s">
        <v>14</v>
      </c>
      <c r="H621" t="s">
        <v>15</v>
      </c>
      <c r="I621">
        <v>1</v>
      </c>
      <c r="J621" t="s">
        <v>23</v>
      </c>
      <c r="K621" t="s">
        <v>32</v>
      </c>
      <c r="L621">
        <v>30</v>
      </c>
      <c r="M621" t="s">
        <v>18</v>
      </c>
    </row>
    <row r="622" spans="1:13" x14ac:dyDescent="0.25">
      <c r="A622">
        <v>11259</v>
      </c>
      <c r="B622" t="s">
        <v>34</v>
      </c>
      <c r="C622" t="s">
        <v>33</v>
      </c>
      <c r="D622" s="32">
        <v>100000</v>
      </c>
      <c r="E622">
        <v>4</v>
      </c>
      <c r="F622" t="s">
        <v>19</v>
      </c>
      <c r="G622" t="s">
        <v>21</v>
      </c>
      <c r="H622" t="s">
        <v>15</v>
      </c>
      <c r="I622">
        <v>4</v>
      </c>
      <c r="J622" t="s">
        <v>22</v>
      </c>
      <c r="K622" t="s">
        <v>32</v>
      </c>
      <c r="L622">
        <v>41</v>
      </c>
      <c r="M622" t="s">
        <v>15</v>
      </c>
    </row>
    <row r="623" spans="1:13" x14ac:dyDescent="0.25">
      <c r="A623">
        <v>11200</v>
      </c>
      <c r="B623" t="s">
        <v>34</v>
      </c>
      <c r="C623" t="s">
        <v>34</v>
      </c>
      <c r="D623" s="32">
        <v>70000</v>
      </c>
      <c r="E623">
        <v>4</v>
      </c>
      <c r="F623" t="s">
        <v>13</v>
      </c>
      <c r="G623" t="s">
        <v>28</v>
      </c>
      <c r="H623" t="s">
        <v>15</v>
      </c>
      <c r="I623">
        <v>1</v>
      </c>
      <c r="J623" t="s">
        <v>26</v>
      </c>
      <c r="K623" t="s">
        <v>32</v>
      </c>
      <c r="L623">
        <v>58</v>
      </c>
      <c r="M623" t="s">
        <v>18</v>
      </c>
    </row>
    <row r="624" spans="1:13" x14ac:dyDescent="0.25">
      <c r="A624">
        <v>25101</v>
      </c>
      <c r="B624" t="s">
        <v>34</v>
      </c>
      <c r="C624" t="s">
        <v>34</v>
      </c>
      <c r="D624" s="32">
        <v>60000</v>
      </c>
      <c r="E624">
        <v>5</v>
      </c>
      <c r="F624" t="s">
        <v>13</v>
      </c>
      <c r="G624" t="s">
        <v>21</v>
      </c>
      <c r="H624" t="s">
        <v>15</v>
      </c>
      <c r="I624">
        <v>1</v>
      </c>
      <c r="J624" t="s">
        <v>22</v>
      </c>
      <c r="K624" t="s">
        <v>32</v>
      </c>
      <c r="L624">
        <v>47</v>
      </c>
      <c r="M624" t="s">
        <v>18</v>
      </c>
    </row>
    <row r="625" spans="1:13" x14ac:dyDescent="0.25">
      <c r="A625">
        <v>21801</v>
      </c>
      <c r="B625" t="s">
        <v>34</v>
      </c>
      <c r="C625" t="s">
        <v>33</v>
      </c>
      <c r="D625" s="32">
        <v>70000</v>
      </c>
      <c r="E625">
        <v>4</v>
      </c>
      <c r="F625" t="s">
        <v>19</v>
      </c>
      <c r="G625" t="s">
        <v>21</v>
      </c>
      <c r="H625" t="s">
        <v>15</v>
      </c>
      <c r="I625">
        <v>1</v>
      </c>
      <c r="J625" t="s">
        <v>26</v>
      </c>
      <c r="K625" t="s">
        <v>32</v>
      </c>
      <c r="L625">
        <v>55</v>
      </c>
      <c r="M625" t="s">
        <v>18</v>
      </c>
    </row>
    <row r="626" spans="1:13" x14ac:dyDescent="0.25">
      <c r="A626">
        <v>25943</v>
      </c>
      <c r="B626" t="s">
        <v>35</v>
      </c>
      <c r="C626" t="s">
        <v>33</v>
      </c>
      <c r="D626" s="32">
        <v>70000</v>
      </c>
      <c r="E626">
        <v>0</v>
      </c>
      <c r="F626" t="s">
        <v>19</v>
      </c>
      <c r="G626" t="s">
        <v>14</v>
      </c>
      <c r="H626" t="s">
        <v>18</v>
      </c>
      <c r="I626">
        <v>2</v>
      </c>
      <c r="J626" t="s">
        <v>16</v>
      </c>
      <c r="K626" t="s">
        <v>32</v>
      </c>
      <c r="L626">
        <v>27</v>
      </c>
      <c r="M626" t="s">
        <v>15</v>
      </c>
    </row>
    <row r="627" spans="1:13" x14ac:dyDescent="0.25">
      <c r="A627">
        <v>22127</v>
      </c>
      <c r="B627" t="s">
        <v>34</v>
      </c>
      <c r="C627" t="s">
        <v>34</v>
      </c>
      <c r="D627" s="32">
        <v>60000</v>
      </c>
      <c r="E627">
        <v>3</v>
      </c>
      <c r="F627" t="s">
        <v>31</v>
      </c>
      <c r="G627" t="s">
        <v>28</v>
      </c>
      <c r="H627" t="s">
        <v>15</v>
      </c>
      <c r="I627">
        <v>2</v>
      </c>
      <c r="J627" t="s">
        <v>26</v>
      </c>
      <c r="K627" t="s">
        <v>32</v>
      </c>
      <c r="L627">
        <v>67</v>
      </c>
      <c r="M627" t="s">
        <v>18</v>
      </c>
    </row>
    <row r="628" spans="1:13" x14ac:dyDescent="0.25">
      <c r="A628">
        <v>20414</v>
      </c>
      <c r="B628" t="s">
        <v>34</v>
      </c>
      <c r="C628" t="s">
        <v>33</v>
      </c>
      <c r="D628" s="32">
        <v>60000</v>
      </c>
      <c r="E628">
        <v>0</v>
      </c>
      <c r="F628" t="s">
        <v>19</v>
      </c>
      <c r="G628" t="s">
        <v>14</v>
      </c>
      <c r="H628" t="s">
        <v>15</v>
      </c>
      <c r="I628">
        <v>2</v>
      </c>
      <c r="J628" t="s">
        <v>23</v>
      </c>
      <c r="K628" t="s">
        <v>32</v>
      </c>
      <c r="L628">
        <v>29</v>
      </c>
      <c r="M628" t="s">
        <v>18</v>
      </c>
    </row>
    <row r="629" spans="1:13" x14ac:dyDescent="0.25">
      <c r="A629">
        <v>23672</v>
      </c>
      <c r="B629" t="s">
        <v>34</v>
      </c>
      <c r="C629" t="s">
        <v>33</v>
      </c>
      <c r="D629" s="32">
        <v>60000</v>
      </c>
      <c r="E629">
        <v>3</v>
      </c>
      <c r="F629" t="s">
        <v>31</v>
      </c>
      <c r="G629" t="s">
        <v>28</v>
      </c>
      <c r="H629" t="s">
        <v>15</v>
      </c>
      <c r="I629">
        <v>2</v>
      </c>
      <c r="J629" t="s">
        <v>26</v>
      </c>
      <c r="K629" t="s">
        <v>32</v>
      </c>
      <c r="L629">
        <v>67</v>
      </c>
      <c r="M629" t="s">
        <v>18</v>
      </c>
    </row>
    <row r="630" spans="1:13" x14ac:dyDescent="0.25">
      <c r="A630">
        <v>29255</v>
      </c>
      <c r="B630" t="s">
        <v>35</v>
      </c>
      <c r="C630" t="s">
        <v>34</v>
      </c>
      <c r="D630" s="32">
        <v>80000</v>
      </c>
      <c r="E630">
        <v>3</v>
      </c>
      <c r="F630" t="s">
        <v>19</v>
      </c>
      <c r="G630" t="s">
        <v>21</v>
      </c>
      <c r="H630" t="s">
        <v>18</v>
      </c>
      <c r="I630">
        <v>1</v>
      </c>
      <c r="J630" t="s">
        <v>26</v>
      </c>
      <c r="K630" t="s">
        <v>32</v>
      </c>
      <c r="L630">
        <v>51</v>
      </c>
      <c r="M630" t="s">
        <v>15</v>
      </c>
    </row>
    <row r="631" spans="1:13" x14ac:dyDescent="0.25">
      <c r="A631">
        <v>28815</v>
      </c>
      <c r="B631" t="s">
        <v>34</v>
      </c>
      <c r="C631" t="s">
        <v>33</v>
      </c>
      <c r="D631" s="32">
        <v>50000</v>
      </c>
      <c r="E631">
        <v>1</v>
      </c>
      <c r="F631" t="s">
        <v>31</v>
      </c>
      <c r="G631" t="s">
        <v>14</v>
      </c>
      <c r="H631" t="s">
        <v>15</v>
      </c>
      <c r="I631">
        <v>0</v>
      </c>
      <c r="J631" t="s">
        <v>16</v>
      </c>
      <c r="K631" t="s">
        <v>32</v>
      </c>
      <c r="L631">
        <v>35</v>
      </c>
      <c r="M631" t="s">
        <v>18</v>
      </c>
    </row>
    <row r="632" spans="1:13" x14ac:dyDescent="0.25">
      <c r="A632">
        <v>27753</v>
      </c>
      <c r="B632" t="s">
        <v>34</v>
      </c>
      <c r="C632" t="s">
        <v>34</v>
      </c>
      <c r="D632" s="32">
        <v>40000</v>
      </c>
      <c r="E632">
        <v>0</v>
      </c>
      <c r="F632" t="s">
        <v>27</v>
      </c>
      <c r="G632" t="s">
        <v>14</v>
      </c>
      <c r="H632" t="s">
        <v>18</v>
      </c>
      <c r="I632">
        <v>2</v>
      </c>
      <c r="J632" t="s">
        <v>26</v>
      </c>
      <c r="K632" t="s">
        <v>32</v>
      </c>
      <c r="L632">
        <v>30</v>
      </c>
      <c r="M632" t="s">
        <v>18</v>
      </c>
    </row>
    <row r="633" spans="1:13" x14ac:dyDescent="0.25">
      <c r="A633">
        <v>27643</v>
      </c>
      <c r="B633" t="s">
        <v>35</v>
      </c>
      <c r="C633" t="s">
        <v>34</v>
      </c>
      <c r="D633" s="32">
        <v>70000</v>
      </c>
      <c r="E633">
        <v>5</v>
      </c>
      <c r="F633" t="s">
        <v>19</v>
      </c>
      <c r="G633" t="s">
        <v>21</v>
      </c>
      <c r="H633" t="s">
        <v>15</v>
      </c>
      <c r="I633">
        <v>3</v>
      </c>
      <c r="J633" t="s">
        <v>22</v>
      </c>
      <c r="K633" t="s">
        <v>32</v>
      </c>
      <c r="L633">
        <v>44</v>
      </c>
      <c r="M633" t="s">
        <v>18</v>
      </c>
    </row>
    <row r="634" spans="1:13" x14ac:dyDescent="0.25">
      <c r="A634">
        <v>13754</v>
      </c>
      <c r="B634" t="s">
        <v>35</v>
      </c>
      <c r="C634" t="s">
        <v>33</v>
      </c>
      <c r="D634" s="32">
        <v>80000</v>
      </c>
      <c r="E634">
        <v>4</v>
      </c>
      <c r="F634" t="s">
        <v>31</v>
      </c>
      <c r="G634" t="s">
        <v>14</v>
      </c>
      <c r="H634" t="s">
        <v>15</v>
      </c>
      <c r="I634">
        <v>0</v>
      </c>
      <c r="J634" t="s">
        <v>26</v>
      </c>
      <c r="K634" t="s">
        <v>32</v>
      </c>
      <c r="L634">
        <v>48</v>
      </c>
      <c r="M634" t="s">
        <v>18</v>
      </c>
    </row>
    <row r="635" spans="1:13" x14ac:dyDescent="0.25">
      <c r="A635">
        <v>22088</v>
      </c>
      <c r="B635" t="s">
        <v>34</v>
      </c>
      <c r="C635" t="s">
        <v>33</v>
      </c>
      <c r="D635" s="32">
        <v>130000</v>
      </c>
      <c r="E635">
        <v>1</v>
      </c>
      <c r="F635" t="s">
        <v>13</v>
      </c>
      <c r="G635" t="s">
        <v>28</v>
      </c>
      <c r="H635" t="s">
        <v>15</v>
      </c>
      <c r="I635">
        <v>2</v>
      </c>
      <c r="J635" t="s">
        <v>16</v>
      </c>
      <c r="K635" t="s">
        <v>32</v>
      </c>
      <c r="L635">
        <v>45</v>
      </c>
      <c r="M635" t="s">
        <v>15</v>
      </c>
    </row>
    <row r="636" spans="1:13" x14ac:dyDescent="0.25">
      <c r="A636">
        <v>27388</v>
      </c>
      <c r="B636" t="s">
        <v>34</v>
      </c>
      <c r="C636" t="s">
        <v>34</v>
      </c>
      <c r="D636" s="32">
        <v>60000</v>
      </c>
      <c r="E636">
        <v>3</v>
      </c>
      <c r="F636" t="s">
        <v>13</v>
      </c>
      <c r="G636" t="s">
        <v>28</v>
      </c>
      <c r="H636" t="s">
        <v>18</v>
      </c>
      <c r="I636">
        <v>2</v>
      </c>
      <c r="J636" t="s">
        <v>26</v>
      </c>
      <c r="K636" t="s">
        <v>32</v>
      </c>
      <c r="L636">
        <v>66</v>
      </c>
      <c r="M636" t="s">
        <v>18</v>
      </c>
    </row>
    <row r="637" spans="1:13" x14ac:dyDescent="0.25">
      <c r="A637">
        <v>24745</v>
      </c>
      <c r="B637" t="s">
        <v>35</v>
      </c>
      <c r="C637" t="s">
        <v>33</v>
      </c>
      <c r="D637" s="32">
        <v>30000</v>
      </c>
      <c r="E637">
        <v>2</v>
      </c>
      <c r="F637" t="s">
        <v>27</v>
      </c>
      <c r="G637" t="s">
        <v>14</v>
      </c>
      <c r="H637" t="s">
        <v>18</v>
      </c>
      <c r="I637">
        <v>2</v>
      </c>
      <c r="J637" t="s">
        <v>16</v>
      </c>
      <c r="K637" t="s">
        <v>32</v>
      </c>
      <c r="L637">
        <v>49</v>
      </c>
      <c r="M637" t="s">
        <v>18</v>
      </c>
    </row>
    <row r="638" spans="1:13" x14ac:dyDescent="0.25">
      <c r="A638">
        <v>29237</v>
      </c>
      <c r="B638" t="s">
        <v>35</v>
      </c>
      <c r="C638" t="s">
        <v>33</v>
      </c>
      <c r="D638" s="32">
        <v>120000</v>
      </c>
      <c r="E638">
        <v>4</v>
      </c>
      <c r="F638" t="s">
        <v>19</v>
      </c>
      <c r="G638" t="s">
        <v>21</v>
      </c>
      <c r="H638" t="s">
        <v>15</v>
      </c>
      <c r="I638">
        <v>3</v>
      </c>
      <c r="J638" t="s">
        <v>23</v>
      </c>
      <c r="K638" t="s">
        <v>32</v>
      </c>
      <c r="L638">
        <v>43</v>
      </c>
      <c r="M638" t="s">
        <v>15</v>
      </c>
    </row>
    <row r="639" spans="1:13" x14ac:dyDescent="0.25">
      <c r="A639">
        <v>15272</v>
      </c>
      <c r="B639" t="s">
        <v>35</v>
      </c>
      <c r="C639" t="s">
        <v>34</v>
      </c>
      <c r="D639" s="32">
        <v>40000</v>
      </c>
      <c r="E639">
        <v>0</v>
      </c>
      <c r="F639" t="s">
        <v>27</v>
      </c>
      <c r="G639" t="s">
        <v>14</v>
      </c>
      <c r="H639" t="s">
        <v>18</v>
      </c>
      <c r="I639">
        <v>2</v>
      </c>
      <c r="J639" t="s">
        <v>26</v>
      </c>
      <c r="K639" t="s">
        <v>32</v>
      </c>
      <c r="L639">
        <v>30</v>
      </c>
      <c r="M639" t="s">
        <v>18</v>
      </c>
    </row>
    <row r="640" spans="1:13" x14ac:dyDescent="0.25">
      <c r="A640">
        <v>18949</v>
      </c>
      <c r="B640" t="s">
        <v>35</v>
      </c>
      <c r="C640" t="s">
        <v>34</v>
      </c>
      <c r="D640" s="32">
        <v>70000</v>
      </c>
      <c r="E640">
        <v>0</v>
      </c>
      <c r="F640" t="s">
        <v>31</v>
      </c>
      <c r="G640" t="s">
        <v>28</v>
      </c>
      <c r="H640" t="s">
        <v>15</v>
      </c>
      <c r="I640">
        <v>2</v>
      </c>
      <c r="J640" t="s">
        <v>23</v>
      </c>
      <c r="K640" t="s">
        <v>32</v>
      </c>
      <c r="L640">
        <v>74</v>
      </c>
      <c r="M640" t="s">
        <v>15</v>
      </c>
    </row>
    <row r="641" spans="1:13" x14ac:dyDescent="0.25">
      <c r="A641">
        <v>14507</v>
      </c>
      <c r="B641" t="s">
        <v>34</v>
      </c>
      <c r="C641" t="s">
        <v>34</v>
      </c>
      <c r="D641" s="32">
        <v>100000</v>
      </c>
      <c r="E641">
        <v>2</v>
      </c>
      <c r="F641" t="s">
        <v>31</v>
      </c>
      <c r="G641" t="s">
        <v>28</v>
      </c>
      <c r="H641" t="s">
        <v>15</v>
      </c>
      <c r="I641">
        <v>3</v>
      </c>
      <c r="J641" t="s">
        <v>26</v>
      </c>
      <c r="K641" t="s">
        <v>32</v>
      </c>
      <c r="L641">
        <v>65</v>
      </c>
      <c r="M641" t="s">
        <v>18</v>
      </c>
    </row>
    <row r="642" spans="1:13" x14ac:dyDescent="0.25">
      <c r="A642">
        <v>25886</v>
      </c>
      <c r="B642" t="s">
        <v>34</v>
      </c>
      <c r="C642" t="s">
        <v>33</v>
      </c>
      <c r="D642" s="32">
        <v>60000</v>
      </c>
      <c r="E642">
        <v>2</v>
      </c>
      <c r="F642" t="s">
        <v>19</v>
      </c>
      <c r="G642" t="s">
        <v>21</v>
      </c>
      <c r="H642" t="s">
        <v>15</v>
      </c>
      <c r="I642">
        <v>2</v>
      </c>
      <c r="J642" t="s">
        <v>22</v>
      </c>
      <c r="K642" t="s">
        <v>32</v>
      </c>
      <c r="L642">
        <v>56</v>
      </c>
      <c r="M642" t="s">
        <v>15</v>
      </c>
    </row>
    <row r="643" spans="1:13" x14ac:dyDescent="0.25">
      <c r="A643">
        <v>21441</v>
      </c>
      <c r="B643" t="s">
        <v>34</v>
      </c>
      <c r="C643" t="s">
        <v>34</v>
      </c>
      <c r="D643" s="32">
        <v>50000</v>
      </c>
      <c r="E643">
        <v>4</v>
      </c>
      <c r="F643" t="s">
        <v>13</v>
      </c>
      <c r="G643" t="s">
        <v>28</v>
      </c>
      <c r="H643" t="s">
        <v>15</v>
      </c>
      <c r="I643">
        <v>2</v>
      </c>
      <c r="J643" t="s">
        <v>30</v>
      </c>
      <c r="K643" t="s">
        <v>32</v>
      </c>
      <c r="L643">
        <v>64</v>
      </c>
      <c r="M643" t="s">
        <v>18</v>
      </c>
    </row>
    <row r="644" spans="1:13" x14ac:dyDescent="0.25">
      <c r="A644">
        <v>21741</v>
      </c>
      <c r="B644" t="s">
        <v>34</v>
      </c>
      <c r="C644" t="s">
        <v>33</v>
      </c>
      <c r="D644" s="32">
        <v>70000</v>
      </c>
      <c r="E644">
        <v>3</v>
      </c>
      <c r="F644" t="s">
        <v>19</v>
      </c>
      <c r="G644" t="s">
        <v>21</v>
      </c>
      <c r="H644" t="s">
        <v>15</v>
      </c>
      <c r="I644">
        <v>2</v>
      </c>
      <c r="J644" t="s">
        <v>23</v>
      </c>
      <c r="K644" t="s">
        <v>32</v>
      </c>
      <c r="L644">
        <v>50</v>
      </c>
      <c r="M644" t="s">
        <v>15</v>
      </c>
    </row>
    <row r="645" spans="1:13" x14ac:dyDescent="0.25">
      <c r="A645">
        <v>14572</v>
      </c>
      <c r="B645" t="s">
        <v>34</v>
      </c>
      <c r="C645" t="s">
        <v>33</v>
      </c>
      <c r="D645" s="32">
        <v>70000</v>
      </c>
      <c r="E645">
        <v>3</v>
      </c>
      <c r="F645" t="s">
        <v>31</v>
      </c>
      <c r="G645" t="s">
        <v>21</v>
      </c>
      <c r="H645" t="s">
        <v>15</v>
      </c>
      <c r="I645">
        <v>0</v>
      </c>
      <c r="J645" t="s">
        <v>22</v>
      </c>
      <c r="K645" t="s">
        <v>32</v>
      </c>
      <c r="L645">
        <v>35</v>
      </c>
      <c r="M645" t="s">
        <v>15</v>
      </c>
    </row>
    <row r="646" spans="1:13" x14ac:dyDescent="0.25">
      <c r="A646">
        <v>23368</v>
      </c>
      <c r="B646" t="s">
        <v>34</v>
      </c>
      <c r="C646" t="s">
        <v>33</v>
      </c>
      <c r="D646" s="32">
        <v>60000</v>
      </c>
      <c r="E646">
        <v>5</v>
      </c>
      <c r="F646" t="s">
        <v>13</v>
      </c>
      <c r="G646" t="s">
        <v>14</v>
      </c>
      <c r="H646" t="s">
        <v>15</v>
      </c>
      <c r="I646">
        <v>3</v>
      </c>
      <c r="J646" t="s">
        <v>30</v>
      </c>
      <c r="K646" t="s">
        <v>32</v>
      </c>
      <c r="L646">
        <v>41</v>
      </c>
      <c r="M646" t="s">
        <v>18</v>
      </c>
    </row>
    <row r="647" spans="1:13" x14ac:dyDescent="0.25">
      <c r="A647">
        <v>16217</v>
      </c>
      <c r="B647" t="s">
        <v>35</v>
      </c>
      <c r="C647" t="s">
        <v>33</v>
      </c>
      <c r="D647" s="32">
        <v>60000</v>
      </c>
      <c r="E647">
        <v>0</v>
      </c>
      <c r="F647" t="s">
        <v>31</v>
      </c>
      <c r="G647" t="s">
        <v>14</v>
      </c>
      <c r="H647" t="s">
        <v>15</v>
      </c>
      <c r="I647">
        <v>0</v>
      </c>
      <c r="J647" t="s">
        <v>16</v>
      </c>
      <c r="K647" t="s">
        <v>32</v>
      </c>
      <c r="L647">
        <v>39</v>
      </c>
      <c r="M647" t="s">
        <v>18</v>
      </c>
    </row>
    <row r="648" spans="1:13" x14ac:dyDescent="0.25">
      <c r="A648">
        <v>16247</v>
      </c>
      <c r="B648" t="s">
        <v>35</v>
      </c>
      <c r="C648" t="s">
        <v>33</v>
      </c>
      <c r="D648" s="32">
        <v>60000</v>
      </c>
      <c r="E648">
        <v>4</v>
      </c>
      <c r="F648" t="s">
        <v>31</v>
      </c>
      <c r="G648" t="s">
        <v>14</v>
      </c>
      <c r="H648" t="s">
        <v>18</v>
      </c>
      <c r="I648">
        <v>0</v>
      </c>
      <c r="J648" t="s">
        <v>26</v>
      </c>
      <c r="K648" t="s">
        <v>32</v>
      </c>
      <c r="L648">
        <v>47</v>
      </c>
      <c r="M648" t="s">
        <v>18</v>
      </c>
    </row>
    <row r="649" spans="1:13" x14ac:dyDescent="0.25">
      <c r="A649">
        <v>22010</v>
      </c>
      <c r="B649" t="s">
        <v>35</v>
      </c>
      <c r="C649" t="s">
        <v>34</v>
      </c>
      <c r="D649" s="32">
        <v>40000</v>
      </c>
      <c r="E649">
        <v>0</v>
      </c>
      <c r="F649" t="s">
        <v>27</v>
      </c>
      <c r="G649" t="s">
        <v>14</v>
      </c>
      <c r="H649" t="s">
        <v>15</v>
      </c>
      <c r="I649">
        <v>2</v>
      </c>
      <c r="J649" t="s">
        <v>23</v>
      </c>
      <c r="K649" t="s">
        <v>32</v>
      </c>
      <c r="L649">
        <v>31</v>
      </c>
      <c r="M649" t="s">
        <v>18</v>
      </c>
    </row>
    <row r="650" spans="1:13" x14ac:dyDescent="0.25">
      <c r="A650">
        <v>25872</v>
      </c>
      <c r="B650" t="s">
        <v>35</v>
      </c>
      <c r="C650" t="s">
        <v>33</v>
      </c>
      <c r="D650" s="32">
        <v>70000</v>
      </c>
      <c r="E650">
        <v>2</v>
      </c>
      <c r="F650" t="s">
        <v>13</v>
      </c>
      <c r="G650" t="s">
        <v>28</v>
      </c>
      <c r="H650" t="s">
        <v>18</v>
      </c>
      <c r="I650">
        <v>1</v>
      </c>
      <c r="J650" t="s">
        <v>22</v>
      </c>
      <c r="K650" t="s">
        <v>32</v>
      </c>
      <c r="L650">
        <v>58</v>
      </c>
      <c r="M650" t="s">
        <v>15</v>
      </c>
    </row>
    <row r="651" spans="1:13" x14ac:dyDescent="0.25">
      <c r="A651">
        <v>19164</v>
      </c>
      <c r="B651" t="s">
        <v>35</v>
      </c>
      <c r="C651" t="s">
        <v>33</v>
      </c>
      <c r="D651" s="32">
        <v>70000</v>
      </c>
      <c r="E651">
        <v>0</v>
      </c>
      <c r="F651" t="s">
        <v>13</v>
      </c>
      <c r="G651" t="s">
        <v>21</v>
      </c>
      <c r="H651" t="s">
        <v>18</v>
      </c>
      <c r="I651">
        <v>1</v>
      </c>
      <c r="J651" t="s">
        <v>22</v>
      </c>
      <c r="K651" t="s">
        <v>32</v>
      </c>
      <c r="L651">
        <v>38</v>
      </c>
      <c r="M651" t="s">
        <v>15</v>
      </c>
    </row>
    <row r="652" spans="1:13" x14ac:dyDescent="0.25">
      <c r="A652">
        <v>18435</v>
      </c>
      <c r="B652" t="s">
        <v>35</v>
      </c>
      <c r="C652" t="s">
        <v>33</v>
      </c>
      <c r="D652" s="32">
        <v>70000</v>
      </c>
      <c r="E652">
        <v>5</v>
      </c>
      <c r="F652" t="s">
        <v>31</v>
      </c>
      <c r="G652" t="s">
        <v>28</v>
      </c>
      <c r="H652" t="s">
        <v>15</v>
      </c>
      <c r="I652">
        <v>2</v>
      </c>
      <c r="J652" t="s">
        <v>30</v>
      </c>
      <c r="K652" t="s">
        <v>32</v>
      </c>
      <c r="L652">
        <v>67</v>
      </c>
      <c r="M652" t="s">
        <v>15</v>
      </c>
    </row>
    <row r="653" spans="1:13" x14ac:dyDescent="0.25">
      <c r="A653">
        <v>14284</v>
      </c>
      <c r="B653" t="s">
        <v>35</v>
      </c>
      <c r="C653" t="s">
        <v>34</v>
      </c>
      <c r="D653" s="32">
        <v>60000</v>
      </c>
      <c r="E653">
        <v>0</v>
      </c>
      <c r="F653" t="s">
        <v>19</v>
      </c>
      <c r="G653" t="s">
        <v>21</v>
      </c>
      <c r="H653" t="s">
        <v>18</v>
      </c>
      <c r="I653">
        <v>2</v>
      </c>
      <c r="J653" t="s">
        <v>26</v>
      </c>
      <c r="K653" t="s">
        <v>32</v>
      </c>
      <c r="L653">
        <v>32</v>
      </c>
      <c r="M653" t="s">
        <v>15</v>
      </c>
    </row>
    <row r="654" spans="1:13" x14ac:dyDescent="0.25">
      <c r="A654">
        <v>11287</v>
      </c>
      <c r="B654" t="s">
        <v>34</v>
      </c>
      <c r="C654" t="s">
        <v>34</v>
      </c>
      <c r="D654" s="32">
        <v>70000</v>
      </c>
      <c r="E654">
        <v>5</v>
      </c>
      <c r="F654" t="s">
        <v>19</v>
      </c>
      <c r="G654" t="s">
        <v>21</v>
      </c>
      <c r="H654" t="s">
        <v>18</v>
      </c>
      <c r="I654">
        <v>3</v>
      </c>
      <c r="J654" t="s">
        <v>23</v>
      </c>
      <c r="K654" t="s">
        <v>32</v>
      </c>
      <c r="L654">
        <v>45</v>
      </c>
      <c r="M654" t="s">
        <v>18</v>
      </c>
    </row>
    <row r="655" spans="1:13" x14ac:dyDescent="0.25">
      <c r="A655">
        <v>13066</v>
      </c>
      <c r="B655" t="s">
        <v>35</v>
      </c>
      <c r="C655" t="s">
        <v>34</v>
      </c>
      <c r="D655" s="32">
        <v>30000</v>
      </c>
      <c r="E655">
        <v>0</v>
      </c>
      <c r="F655" t="s">
        <v>27</v>
      </c>
      <c r="G655" t="s">
        <v>14</v>
      </c>
      <c r="H655" t="s">
        <v>18</v>
      </c>
      <c r="I655">
        <v>2</v>
      </c>
      <c r="J655" t="s">
        <v>26</v>
      </c>
      <c r="K655" t="s">
        <v>32</v>
      </c>
      <c r="L655">
        <v>31</v>
      </c>
      <c r="M655" t="s">
        <v>15</v>
      </c>
    </row>
    <row r="656" spans="1:13" x14ac:dyDescent="0.25">
      <c r="A656">
        <v>29106</v>
      </c>
      <c r="B656" t="s">
        <v>35</v>
      </c>
      <c r="C656" t="s">
        <v>34</v>
      </c>
      <c r="D656" s="32">
        <v>40000</v>
      </c>
      <c r="E656">
        <v>0</v>
      </c>
      <c r="F656" t="s">
        <v>27</v>
      </c>
      <c r="G656" t="s">
        <v>14</v>
      </c>
      <c r="H656" t="s">
        <v>18</v>
      </c>
      <c r="I656">
        <v>2</v>
      </c>
      <c r="J656" t="s">
        <v>26</v>
      </c>
      <c r="K656" t="s">
        <v>32</v>
      </c>
      <c r="L656">
        <v>31</v>
      </c>
      <c r="M656" t="s">
        <v>15</v>
      </c>
    </row>
    <row r="657" spans="1:13" x14ac:dyDescent="0.25">
      <c r="A657">
        <v>26236</v>
      </c>
      <c r="B657" t="s">
        <v>34</v>
      </c>
      <c r="C657" t="s">
        <v>33</v>
      </c>
      <c r="D657" s="32">
        <v>40000</v>
      </c>
      <c r="E657">
        <v>3</v>
      </c>
      <c r="F657" t="s">
        <v>19</v>
      </c>
      <c r="G657" t="s">
        <v>20</v>
      </c>
      <c r="H657" t="s">
        <v>15</v>
      </c>
      <c r="I657">
        <v>1</v>
      </c>
      <c r="J657" t="s">
        <v>16</v>
      </c>
      <c r="K657" t="s">
        <v>32</v>
      </c>
      <c r="L657">
        <v>31</v>
      </c>
      <c r="M657" t="s">
        <v>18</v>
      </c>
    </row>
    <row r="658" spans="1:13" x14ac:dyDescent="0.25">
      <c r="A658">
        <v>17531</v>
      </c>
      <c r="B658" t="s">
        <v>34</v>
      </c>
      <c r="C658" t="s">
        <v>34</v>
      </c>
      <c r="D658" s="32">
        <v>60000</v>
      </c>
      <c r="E658">
        <v>2</v>
      </c>
      <c r="F658" t="s">
        <v>27</v>
      </c>
      <c r="G658" t="s">
        <v>21</v>
      </c>
      <c r="H658" t="s">
        <v>18</v>
      </c>
      <c r="I658">
        <v>2</v>
      </c>
      <c r="J658" t="s">
        <v>23</v>
      </c>
      <c r="K658" t="s">
        <v>32</v>
      </c>
      <c r="L658">
        <v>50</v>
      </c>
      <c r="M658" t="s">
        <v>18</v>
      </c>
    </row>
    <row r="659" spans="1:13" x14ac:dyDescent="0.25">
      <c r="A659">
        <v>12964</v>
      </c>
      <c r="B659" t="s">
        <v>34</v>
      </c>
      <c r="C659" t="s">
        <v>34</v>
      </c>
      <c r="D659" s="32">
        <v>70000</v>
      </c>
      <c r="E659">
        <v>1</v>
      </c>
      <c r="F659" t="s">
        <v>19</v>
      </c>
      <c r="G659" t="s">
        <v>14</v>
      </c>
      <c r="H659" t="s">
        <v>15</v>
      </c>
      <c r="I659">
        <v>1</v>
      </c>
      <c r="J659" t="s">
        <v>16</v>
      </c>
      <c r="K659" t="s">
        <v>32</v>
      </c>
      <c r="L659">
        <v>44</v>
      </c>
      <c r="M659" t="s">
        <v>18</v>
      </c>
    </row>
    <row r="660" spans="1:13" x14ac:dyDescent="0.25">
      <c r="A660">
        <v>19133</v>
      </c>
      <c r="B660" t="s">
        <v>35</v>
      </c>
      <c r="C660" t="s">
        <v>34</v>
      </c>
      <c r="D660" s="32">
        <v>50000</v>
      </c>
      <c r="E660">
        <v>2</v>
      </c>
      <c r="F660" t="s">
        <v>13</v>
      </c>
      <c r="G660" t="s">
        <v>14</v>
      </c>
      <c r="H660" t="s">
        <v>15</v>
      </c>
      <c r="I660">
        <v>1</v>
      </c>
      <c r="J660" t="s">
        <v>22</v>
      </c>
      <c r="K660" t="s">
        <v>32</v>
      </c>
      <c r="L660">
        <v>38</v>
      </c>
      <c r="M660" t="s">
        <v>15</v>
      </c>
    </row>
    <row r="661" spans="1:13" x14ac:dyDescent="0.25">
      <c r="A661">
        <v>24643</v>
      </c>
      <c r="B661" t="s">
        <v>35</v>
      </c>
      <c r="C661" t="s">
        <v>33</v>
      </c>
      <c r="D661" s="32">
        <v>60000</v>
      </c>
      <c r="E661">
        <v>4</v>
      </c>
      <c r="F661" t="s">
        <v>13</v>
      </c>
      <c r="G661" t="s">
        <v>28</v>
      </c>
      <c r="H661" t="s">
        <v>15</v>
      </c>
      <c r="I661">
        <v>2</v>
      </c>
      <c r="J661" t="s">
        <v>30</v>
      </c>
      <c r="K661" t="s">
        <v>32</v>
      </c>
      <c r="L661">
        <v>63</v>
      </c>
      <c r="M661" t="s">
        <v>18</v>
      </c>
    </row>
    <row r="662" spans="1:13" x14ac:dyDescent="0.25">
      <c r="A662">
        <v>21599</v>
      </c>
      <c r="B662" t="s">
        <v>34</v>
      </c>
      <c r="C662" t="s">
        <v>33</v>
      </c>
      <c r="D662" s="32">
        <v>60000</v>
      </c>
      <c r="E662">
        <v>1</v>
      </c>
      <c r="F662" t="s">
        <v>31</v>
      </c>
      <c r="G662" t="s">
        <v>21</v>
      </c>
      <c r="H662" t="s">
        <v>15</v>
      </c>
      <c r="I662">
        <v>0</v>
      </c>
      <c r="J662" t="s">
        <v>22</v>
      </c>
      <c r="K662" t="s">
        <v>32</v>
      </c>
      <c r="L662">
        <v>36</v>
      </c>
      <c r="M662" t="s">
        <v>15</v>
      </c>
    </row>
    <row r="663" spans="1:13" x14ac:dyDescent="0.25">
      <c r="A663">
        <v>22976</v>
      </c>
      <c r="B663" t="s">
        <v>35</v>
      </c>
      <c r="C663" t="s">
        <v>34</v>
      </c>
      <c r="D663" s="32">
        <v>40000</v>
      </c>
      <c r="E663">
        <v>0</v>
      </c>
      <c r="F663" t="s">
        <v>27</v>
      </c>
      <c r="G663" t="s">
        <v>14</v>
      </c>
      <c r="H663" t="s">
        <v>18</v>
      </c>
      <c r="I663">
        <v>2</v>
      </c>
      <c r="J663" t="s">
        <v>16</v>
      </c>
      <c r="K663" t="s">
        <v>32</v>
      </c>
      <c r="L663">
        <v>28</v>
      </c>
      <c r="M663" t="s">
        <v>15</v>
      </c>
    </row>
    <row r="664" spans="1:13" x14ac:dyDescent="0.25">
      <c r="A664">
        <v>27637</v>
      </c>
      <c r="B664" t="s">
        <v>35</v>
      </c>
      <c r="C664" t="s">
        <v>33</v>
      </c>
      <c r="D664" s="32">
        <v>100000</v>
      </c>
      <c r="E664">
        <v>1</v>
      </c>
      <c r="F664" t="s">
        <v>19</v>
      </c>
      <c r="G664" t="s">
        <v>21</v>
      </c>
      <c r="H664" t="s">
        <v>18</v>
      </c>
      <c r="I664">
        <v>3</v>
      </c>
      <c r="J664" t="s">
        <v>26</v>
      </c>
      <c r="K664" t="s">
        <v>32</v>
      </c>
      <c r="L664">
        <v>44</v>
      </c>
      <c r="M664" t="s">
        <v>18</v>
      </c>
    </row>
    <row r="665" spans="1:13" x14ac:dyDescent="0.25">
      <c r="A665">
        <v>11890</v>
      </c>
      <c r="B665" t="s">
        <v>34</v>
      </c>
      <c r="C665" t="s">
        <v>33</v>
      </c>
      <c r="D665" s="32">
        <v>70000</v>
      </c>
      <c r="E665">
        <v>5</v>
      </c>
      <c r="F665" t="s">
        <v>31</v>
      </c>
      <c r="G665" t="s">
        <v>21</v>
      </c>
      <c r="H665" t="s">
        <v>15</v>
      </c>
      <c r="I665">
        <v>1</v>
      </c>
      <c r="J665" t="s">
        <v>16</v>
      </c>
      <c r="K665" t="s">
        <v>32</v>
      </c>
      <c r="L665">
        <v>47</v>
      </c>
      <c r="M665" t="s">
        <v>18</v>
      </c>
    </row>
    <row r="666" spans="1:13" x14ac:dyDescent="0.25">
      <c r="A666">
        <v>28580</v>
      </c>
      <c r="B666" t="s">
        <v>34</v>
      </c>
      <c r="C666" t="s">
        <v>33</v>
      </c>
      <c r="D666" s="32">
        <v>80000</v>
      </c>
      <c r="E666">
        <v>0</v>
      </c>
      <c r="F666" t="s">
        <v>31</v>
      </c>
      <c r="G666" t="s">
        <v>14</v>
      </c>
      <c r="H666" t="s">
        <v>15</v>
      </c>
      <c r="I666">
        <v>0</v>
      </c>
      <c r="J666" t="s">
        <v>26</v>
      </c>
      <c r="K666" t="s">
        <v>32</v>
      </c>
      <c r="L666">
        <v>40</v>
      </c>
      <c r="M666" t="s">
        <v>15</v>
      </c>
    </row>
    <row r="667" spans="1:13" x14ac:dyDescent="0.25">
      <c r="A667">
        <v>14443</v>
      </c>
      <c r="B667" t="s">
        <v>34</v>
      </c>
      <c r="C667" t="s">
        <v>34</v>
      </c>
      <c r="D667" s="32">
        <v>130000</v>
      </c>
      <c r="E667">
        <v>1</v>
      </c>
      <c r="F667" t="s">
        <v>31</v>
      </c>
      <c r="G667" t="s">
        <v>28</v>
      </c>
      <c r="H667" t="s">
        <v>15</v>
      </c>
      <c r="I667">
        <v>4</v>
      </c>
      <c r="J667" t="s">
        <v>16</v>
      </c>
      <c r="K667" t="s">
        <v>32</v>
      </c>
      <c r="L667">
        <v>40</v>
      </c>
      <c r="M667" t="s">
        <v>18</v>
      </c>
    </row>
    <row r="668" spans="1:13" x14ac:dyDescent="0.25">
      <c r="A668">
        <v>17864</v>
      </c>
      <c r="B668" t="s">
        <v>34</v>
      </c>
      <c r="C668" t="s">
        <v>33</v>
      </c>
      <c r="D668" s="32">
        <v>60000</v>
      </c>
      <c r="E668">
        <v>1</v>
      </c>
      <c r="F668" t="s">
        <v>19</v>
      </c>
      <c r="G668" t="s">
        <v>14</v>
      </c>
      <c r="H668" t="s">
        <v>15</v>
      </c>
      <c r="I668">
        <v>1</v>
      </c>
      <c r="J668" t="s">
        <v>22</v>
      </c>
      <c r="K668" t="s">
        <v>32</v>
      </c>
      <c r="L668">
        <v>46</v>
      </c>
      <c r="M668" t="s">
        <v>15</v>
      </c>
    </row>
    <row r="669" spans="1:13" x14ac:dyDescent="0.25">
      <c r="A669">
        <v>20505</v>
      </c>
      <c r="B669" t="s">
        <v>34</v>
      </c>
      <c r="C669" t="s">
        <v>33</v>
      </c>
      <c r="D669" s="32">
        <v>40000</v>
      </c>
      <c r="E669">
        <v>5</v>
      </c>
      <c r="F669" t="s">
        <v>27</v>
      </c>
      <c r="G669" t="s">
        <v>21</v>
      </c>
      <c r="H669" t="s">
        <v>18</v>
      </c>
      <c r="I669">
        <v>2</v>
      </c>
      <c r="J669" t="s">
        <v>30</v>
      </c>
      <c r="K669" t="s">
        <v>32</v>
      </c>
      <c r="L669">
        <v>61</v>
      </c>
      <c r="M669" t="s">
        <v>18</v>
      </c>
    </row>
    <row r="670" spans="1:13" x14ac:dyDescent="0.25">
      <c r="A670">
        <v>14592</v>
      </c>
      <c r="B670" t="s">
        <v>34</v>
      </c>
      <c r="C670" t="s">
        <v>33</v>
      </c>
      <c r="D670" s="32">
        <v>60000</v>
      </c>
      <c r="E670">
        <v>0</v>
      </c>
      <c r="F670" t="s">
        <v>31</v>
      </c>
      <c r="G670" t="s">
        <v>21</v>
      </c>
      <c r="H670" t="s">
        <v>15</v>
      </c>
      <c r="I670">
        <v>0</v>
      </c>
      <c r="J670" t="s">
        <v>16</v>
      </c>
      <c r="K670" t="s">
        <v>32</v>
      </c>
      <c r="L670">
        <v>40</v>
      </c>
      <c r="M670" t="s">
        <v>18</v>
      </c>
    </row>
    <row r="671" spans="1:13" x14ac:dyDescent="0.25">
      <c r="A671">
        <v>22227</v>
      </c>
      <c r="B671" t="s">
        <v>34</v>
      </c>
      <c r="C671" t="s">
        <v>33</v>
      </c>
      <c r="D671" s="32">
        <v>60000</v>
      </c>
      <c r="E671">
        <v>2</v>
      </c>
      <c r="F671" t="s">
        <v>27</v>
      </c>
      <c r="G671" t="s">
        <v>21</v>
      </c>
      <c r="H671" t="s">
        <v>15</v>
      </c>
      <c r="I671">
        <v>2</v>
      </c>
      <c r="J671" t="s">
        <v>23</v>
      </c>
      <c r="K671" t="s">
        <v>32</v>
      </c>
      <c r="L671">
        <v>50</v>
      </c>
      <c r="M671" t="s">
        <v>18</v>
      </c>
    </row>
    <row r="672" spans="1:13" x14ac:dyDescent="0.25">
      <c r="A672">
        <v>21471</v>
      </c>
      <c r="B672" t="s">
        <v>34</v>
      </c>
      <c r="C672" t="s">
        <v>34</v>
      </c>
      <c r="D672" s="32">
        <v>70000</v>
      </c>
      <c r="E672">
        <v>2</v>
      </c>
      <c r="F672" t="s">
        <v>19</v>
      </c>
      <c r="G672" t="s">
        <v>21</v>
      </c>
      <c r="H672" t="s">
        <v>15</v>
      </c>
      <c r="I672">
        <v>1</v>
      </c>
      <c r="J672" t="s">
        <v>30</v>
      </c>
      <c r="K672" t="s">
        <v>32</v>
      </c>
      <c r="L672">
        <v>59</v>
      </c>
      <c r="M672" t="s">
        <v>18</v>
      </c>
    </row>
    <row r="673" spans="1:13" x14ac:dyDescent="0.25">
      <c r="A673">
        <v>22252</v>
      </c>
      <c r="B673" t="s">
        <v>35</v>
      </c>
      <c r="C673" t="s">
        <v>33</v>
      </c>
      <c r="D673" s="32">
        <v>60000</v>
      </c>
      <c r="E673">
        <v>1</v>
      </c>
      <c r="F673" t="s">
        <v>31</v>
      </c>
      <c r="G673" t="s">
        <v>21</v>
      </c>
      <c r="H673" t="s">
        <v>15</v>
      </c>
      <c r="I673">
        <v>0</v>
      </c>
      <c r="J673" t="s">
        <v>22</v>
      </c>
      <c r="K673" t="s">
        <v>32</v>
      </c>
      <c r="L673">
        <v>36</v>
      </c>
      <c r="M673" t="s">
        <v>15</v>
      </c>
    </row>
    <row r="674" spans="1:13" x14ac:dyDescent="0.25">
      <c r="A674">
        <v>21260</v>
      </c>
      <c r="B674" t="s">
        <v>35</v>
      </c>
      <c r="C674" t="s">
        <v>33</v>
      </c>
      <c r="D674" s="32">
        <v>40000</v>
      </c>
      <c r="E674">
        <v>0</v>
      </c>
      <c r="F674" t="s">
        <v>27</v>
      </c>
      <c r="G674" t="s">
        <v>14</v>
      </c>
      <c r="H674" t="s">
        <v>15</v>
      </c>
      <c r="I674">
        <v>2</v>
      </c>
      <c r="J674" t="s">
        <v>23</v>
      </c>
      <c r="K674" t="s">
        <v>32</v>
      </c>
      <c r="L674">
        <v>30</v>
      </c>
      <c r="M674" t="s">
        <v>18</v>
      </c>
    </row>
    <row r="675" spans="1:13" x14ac:dyDescent="0.25">
      <c r="A675">
        <v>11817</v>
      </c>
      <c r="B675" t="s">
        <v>35</v>
      </c>
      <c r="C675" t="s">
        <v>33</v>
      </c>
      <c r="D675" s="32">
        <v>70000</v>
      </c>
      <c r="E675">
        <v>4</v>
      </c>
      <c r="F675" t="s">
        <v>31</v>
      </c>
      <c r="G675" t="s">
        <v>21</v>
      </c>
      <c r="H675" t="s">
        <v>15</v>
      </c>
      <c r="I675">
        <v>0</v>
      </c>
      <c r="J675" t="s">
        <v>22</v>
      </c>
      <c r="K675" t="s">
        <v>32</v>
      </c>
      <c r="L675">
        <v>35</v>
      </c>
      <c r="M675" t="s">
        <v>15</v>
      </c>
    </row>
    <row r="676" spans="1:13" x14ac:dyDescent="0.25">
      <c r="A676">
        <v>19223</v>
      </c>
      <c r="B676" t="s">
        <v>34</v>
      </c>
      <c r="C676" t="s">
        <v>33</v>
      </c>
      <c r="D676" s="32">
        <v>30000</v>
      </c>
      <c r="E676">
        <v>2</v>
      </c>
      <c r="F676" t="s">
        <v>27</v>
      </c>
      <c r="G676" t="s">
        <v>14</v>
      </c>
      <c r="H676" t="s">
        <v>15</v>
      </c>
      <c r="I676">
        <v>2</v>
      </c>
      <c r="J676" t="s">
        <v>26</v>
      </c>
      <c r="K676" t="s">
        <v>32</v>
      </c>
      <c r="L676">
        <v>48</v>
      </c>
      <c r="M676" t="s">
        <v>18</v>
      </c>
    </row>
    <row r="677" spans="1:13" x14ac:dyDescent="0.25">
      <c r="A677">
        <v>18517</v>
      </c>
      <c r="B677" t="s">
        <v>34</v>
      </c>
      <c r="C677" t="s">
        <v>34</v>
      </c>
      <c r="D677" s="32">
        <v>100000</v>
      </c>
      <c r="E677">
        <v>3</v>
      </c>
      <c r="F677" t="s">
        <v>13</v>
      </c>
      <c r="G677" t="s">
        <v>28</v>
      </c>
      <c r="H677" t="s">
        <v>15</v>
      </c>
      <c r="I677">
        <v>4</v>
      </c>
      <c r="J677" t="s">
        <v>16</v>
      </c>
      <c r="K677" t="s">
        <v>32</v>
      </c>
      <c r="L677">
        <v>41</v>
      </c>
      <c r="M677" t="s">
        <v>18</v>
      </c>
    </row>
    <row r="678" spans="1:13" x14ac:dyDescent="0.25">
      <c r="A678">
        <v>21717</v>
      </c>
      <c r="B678" t="s">
        <v>34</v>
      </c>
      <c r="C678" t="s">
        <v>34</v>
      </c>
      <c r="D678" s="32">
        <v>40000</v>
      </c>
      <c r="E678">
        <v>2</v>
      </c>
      <c r="F678" t="s">
        <v>19</v>
      </c>
      <c r="G678" t="s">
        <v>20</v>
      </c>
      <c r="H678" t="s">
        <v>15</v>
      </c>
      <c r="I678">
        <v>1</v>
      </c>
      <c r="J678" t="s">
        <v>16</v>
      </c>
      <c r="K678" t="s">
        <v>32</v>
      </c>
      <c r="L678">
        <v>47</v>
      </c>
      <c r="M678" t="s">
        <v>18</v>
      </c>
    </row>
    <row r="679" spans="1:13" x14ac:dyDescent="0.25">
      <c r="A679">
        <v>13760</v>
      </c>
      <c r="B679" t="s">
        <v>34</v>
      </c>
      <c r="C679" t="s">
        <v>34</v>
      </c>
      <c r="D679" s="32">
        <v>60000</v>
      </c>
      <c r="E679">
        <v>4</v>
      </c>
      <c r="F679" t="s">
        <v>31</v>
      </c>
      <c r="G679" t="s">
        <v>14</v>
      </c>
      <c r="H679" t="s">
        <v>18</v>
      </c>
      <c r="I679">
        <v>0</v>
      </c>
      <c r="J679" t="s">
        <v>16</v>
      </c>
      <c r="K679" t="s">
        <v>32</v>
      </c>
      <c r="L679">
        <v>47</v>
      </c>
      <c r="M679" t="s">
        <v>18</v>
      </c>
    </row>
    <row r="680" spans="1:13" x14ac:dyDescent="0.25">
      <c r="A680">
        <v>18145</v>
      </c>
      <c r="B680" t="s">
        <v>34</v>
      </c>
      <c r="C680" t="s">
        <v>34</v>
      </c>
      <c r="D680" s="32">
        <v>80000</v>
      </c>
      <c r="E680">
        <v>5</v>
      </c>
      <c r="F680" t="s">
        <v>13</v>
      </c>
      <c r="G680" t="s">
        <v>28</v>
      </c>
      <c r="H680" t="s">
        <v>18</v>
      </c>
      <c r="I680">
        <v>2</v>
      </c>
      <c r="J680" t="s">
        <v>22</v>
      </c>
      <c r="K680" t="s">
        <v>17</v>
      </c>
      <c r="L680">
        <v>62</v>
      </c>
      <c r="M680" t="s">
        <v>18</v>
      </c>
    </row>
    <row r="681" spans="1:13" x14ac:dyDescent="0.25">
      <c r="A681">
        <v>21770</v>
      </c>
      <c r="B681" t="s">
        <v>34</v>
      </c>
      <c r="C681" t="s">
        <v>34</v>
      </c>
      <c r="D681" s="32">
        <v>60000</v>
      </c>
      <c r="E681">
        <v>4</v>
      </c>
      <c r="F681" t="s">
        <v>13</v>
      </c>
      <c r="G681" t="s">
        <v>28</v>
      </c>
      <c r="H681" t="s">
        <v>15</v>
      </c>
      <c r="I681">
        <v>2</v>
      </c>
      <c r="J681" t="s">
        <v>30</v>
      </c>
      <c r="K681" t="s">
        <v>32</v>
      </c>
      <c r="L681">
        <v>60</v>
      </c>
      <c r="M681" t="s">
        <v>18</v>
      </c>
    </row>
    <row r="682" spans="1:13" x14ac:dyDescent="0.25">
      <c r="A682">
        <v>11165</v>
      </c>
      <c r="B682" t="s">
        <v>34</v>
      </c>
      <c r="C682" t="s">
        <v>33</v>
      </c>
      <c r="D682" s="32">
        <v>60000</v>
      </c>
      <c r="E682">
        <v>0</v>
      </c>
      <c r="F682" t="s">
        <v>19</v>
      </c>
      <c r="G682" t="s">
        <v>14</v>
      </c>
      <c r="H682" t="s">
        <v>18</v>
      </c>
      <c r="I682">
        <v>1</v>
      </c>
      <c r="J682" t="s">
        <v>26</v>
      </c>
      <c r="K682" t="s">
        <v>32</v>
      </c>
      <c r="L682">
        <v>33</v>
      </c>
      <c r="M682" t="s">
        <v>18</v>
      </c>
    </row>
    <row r="683" spans="1:13" x14ac:dyDescent="0.25">
      <c r="A683">
        <v>16377</v>
      </c>
      <c r="B683" t="s">
        <v>35</v>
      </c>
      <c r="C683" t="s">
        <v>33</v>
      </c>
      <c r="D683" s="32">
        <v>80000</v>
      </c>
      <c r="E683">
        <v>4</v>
      </c>
      <c r="F683" t="s">
        <v>31</v>
      </c>
      <c r="G683" t="s">
        <v>14</v>
      </c>
      <c r="H683" t="s">
        <v>18</v>
      </c>
      <c r="I683">
        <v>0</v>
      </c>
      <c r="J683" t="s">
        <v>16</v>
      </c>
      <c r="K683" t="s">
        <v>32</v>
      </c>
      <c r="L683">
        <v>47</v>
      </c>
      <c r="M683" t="s">
        <v>18</v>
      </c>
    </row>
    <row r="684" spans="1:13" x14ac:dyDescent="0.25">
      <c r="A684">
        <v>26248</v>
      </c>
      <c r="B684" t="s">
        <v>34</v>
      </c>
      <c r="C684" t="s">
        <v>34</v>
      </c>
      <c r="D684" s="32">
        <v>20000</v>
      </c>
      <c r="E684">
        <v>3</v>
      </c>
      <c r="F684" t="s">
        <v>29</v>
      </c>
      <c r="G684" t="s">
        <v>20</v>
      </c>
      <c r="H684" t="s">
        <v>18</v>
      </c>
      <c r="I684">
        <v>2</v>
      </c>
      <c r="J684" t="s">
        <v>16</v>
      </c>
      <c r="K684" t="s">
        <v>32</v>
      </c>
      <c r="L684">
        <v>52</v>
      </c>
      <c r="M684" t="s">
        <v>18</v>
      </c>
    </row>
    <row r="685" spans="1:13" x14ac:dyDescent="0.25">
      <c r="A685">
        <v>23461</v>
      </c>
      <c r="B685" t="s">
        <v>34</v>
      </c>
      <c r="C685" t="s">
        <v>33</v>
      </c>
      <c r="D685" s="32">
        <v>90000</v>
      </c>
      <c r="E685">
        <v>5</v>
      </c>
      <c r="F685" t="s">
        <v>19</v>
      </c>
      <c r="G685" t="s">
        <v>21</v>
      </c>
      <c r="H685" t="s">
        <v>15</v>
      </c>
      <c r="I685">
        <v>3</v>
      </c>
      <c r="J685" t="s">
        <v>22</v>
      </c>
      <c r="K685" t="s">
        <v>32</v>
      </c>
      <c r="L685">
        <v>40</v>
      </c>
      <c r="M685" t="s">
        <v>18</v>
      </c>
    </row>
    <row r="686" spans="1:13" x14ac:dyDescent="0.25">
      <c r="A686">
        <v>29133</v>
      </c>
      <c r="B686" t="s">
        <v>35</v>
      </c>
      <c r="C686" t="s">
        <v>33</v>
      </c>
      <c r="D686" s="32">
        <v>60000</v>
      </c>
      <c r="E686">
        <v>4</v>
      </c>
      <c r="F686" t="s">
        <v>13</v>
      </c>
      <c r="G686" t="s">
        <v>14</v>
      </c>
      <c r="H686" t="s">
        <v>18</v>
      </c>
      <c r="I686">
        <v>2</v>
      </c>
      <c r="J686" t="s">
        <v>16</v>
      </c>
      <c r="K686" t="s">
        <v>32</v>
      </c>
      <c r="L686">
        <v>42</v>
      </c>
      <c r="M686" t="s">
        <v>18</v>
      </c>
    </row>
    <row r="687" spans="1:13" x14ac:dyDescent="0.25">
      <c r="A687">
        <v>27673</v>
      </c>
      <c r="B687" t="s">
        <v>35</v>
      </c>
      <c r="C687" t="s">
        <v>33</v>
      </c>
      <c r="D687" s="32">
        <v>60000</v>
      </c>
      <c r="E687">
        <v>3</v>
      </c>
      <c r="F687" t="s">
        <v>31</v>
      </c>
      <c r="G687" t="s">
        <v>28</v>
      </c>
      <c r="H687" t="s">
        <v>15</v>
      </c>
      <c r="I687">
        <v>2</v>
      </c>
      <c r="J687" t="s">
        <v>23</v>
      </c>
      <c r="K687" t="s">
        <v>32</v>
      </c>
      <c r="L687">
        <v>53</v>
      </c>
      <c r="M687" t="s">
        <v>15</v>
      </c>
    </row>
    <row r="688" spans="1:13" x14ac:dyDescent="0.25">
      <c r="A688">
        <v>12774</v>
      </c>
      <c r="B688" t="s">
        <v>34</v>
      </c>
      <c r="C688" t="s">
        <v>33</v>
      </c>
      <c r="D688" s="32">
        <v>40000</v>
      </c>
      <c r="E688">
        <v>1</v>
      </c>
      <c r="F688" t="s">
        <v>19</v>
      </c>
      <c r="G688" t="s">
        <v>20</v>
      </c>
      <c r="H688" t="s">
        <v>15</v>
      </c>
      <c r="I688">
        <v>1</v>
      </c>
      <c r="J688" t="s">
        <v>26</v>
      </c>
      <c r="K688" t="s">
        <v>32</v>
      </c>
      <c r="L688">
        <v>51</v>
      </c>
      <c r="M688" t="s">
        <v>15</v>
      </c>
    </row>
    <row r="689" spans="1:13" x14ac:dyDescent="0.25">
      <c r="A689">
        <v>18910</v>
      </c>
      <c r="B689" t="s">
        <v>35</v>
      </c>
      <c r="C689" t="s">
        <v>34</v>
      </c>
      <c r="D689" s="32">
        <v>30000</v>
      </c>
      <c r="E689">
        <v>0</v>
      </c>
      <c r="F689" t="s">
        <v>19</v>
      </c>
      <c r="G689" t="s">
        <v>14</v>
      </c>
      <c r="H689" t="s">
        <v>15</v>
      </c>
      <c r="I689">
        <v>2</v>
      </c>
      <c r="J689" t="s">
        <v>23</v>
      </c>
      <c r="K689" t="s">
        <v>32</v>
      </c>
      <c r="L689">
        <v>30</v>
      </c>
      <c r="M689" t="s">
        <v>18</v>
      </c>
    </row>
    <row r="690" spans="1:13" x14ac:dyDescent="0.25">
      <c r="A690">
        <v>11699</v>
      </c>
      <c r="B690" t="s">
        <v>35</v>
      </c>
      <c r="C690" t="s">
        <v>34</v>
      </c>
      <c r="D690" s="32">
        <v>60000</v>
      </c>
      <c r="E690">
        <v>0</v>
      </c>
      <c r="F690" t="s">
        <v>13</v>
      </c>
      <c r="G690" t="s">
        <v>14</v>
      </c>
      <c r="H690" t="s">
        <v>18</v>
      </c>
      <c r="I690">
        <v>2</v>
      </c>
      <c r="J690" t="s">
        <v>16</v>
      </c>
      <c r="K690" t="s">
        <v>32</v>
      </c>
      <c r="L690">
        <v>30</v>
      </c>
      <c r="M690" t="s">
        <v>18</v>
      </c>
    </row>
    <row r="691" spans="1:13" x14ac:dyDescent="0.25">
      <c r="A691">
        <v>16725</v>
      </c>
      <c r="B691" t="s">
        <v>34</v>
      </c>
      <c r="C691" t="s">
        <v>34</v>
      </c>
      <c r="D691" s="32">
        <v>30000</v>
      </c>
      <c r="E691">
        <v>0</v>
      </c>
      <c r="F691" t="s">
        <v>27</v>
      </c>
      <c r="G691" t="s">
        <v>14</v>
      </c>
      <c r="H691" t="s">
        <v>15</v>
      </c>
      <c r="I691">
        <v>2</v>
      </c>
      <c r="J691" t="s">
        <v>23</v>
      </c>
      <c r="K691" t="s">
        <v>32</v>
      </c>
      <c r="L691">
        <v>26</v>
      </c>
      <c r="M691" t="s">
        <v>18</v>
      </c>
    </row>
    <row r="692" spans="1:13" x14ac:dyDescent="0.25">
      <c r="A692">
        <v>28269</v>
      </c>
      <c r="B692" t="s">
        <v>35</v>
      </c>
      <c r="C692" t="s">
        <v>33</v>
      </c>
      <c r="D692" s="32">
        <v>130000</v>
      </c>
      <c r="E692">
        <v>1</v>
      </c>
      <c r="F692" t="s">
        <v>13</v>
      </c>
      <c r="G692" t="s">
        <v>28</v>
      </c>
      <c r="H692" t="s">
        <v>18</v>
      </c>
      <c r="I692">
        <v>1</v>
      </c>
      <c r="J692" t="s">
        <v>22</v>
      </c>
      <c r="K692" t="s">
        <v>32</v>
      </c>
      <c r="L692">
        <v>45</v>
      </c>
      <c r="M692" t="s">
        <v>18</v>
      </c>
    </row>
    <row r="693" spans="1:13" x14ac:dyDescent="0.25">
      <c r="A693">
        <v>23144</v>
      </c>
      <c r="B693" t="s">
        <v>34</v>
      </c>
      <c r="C693" t="s">
        <v>34</v>
      </c>
      <c r="D693" s="32">
        <v>50000</v>
      </c>
      <c r="E693">
        <v>1</v>
      </c>
      <c r="F693" t="s">
        <v>13</v>
      </c>
      <c r="G693" t="s">
        <v>14</v>
      </c>
      <c r="H693" t="s">
        <v>15</v>
      </c>
      <c r="I693">
        <v>0</v>
      </c>
      <c r="J693" t="s">
        <v>16</v>
      </c>
      <c r="K693" t="s">
        <v>32</v>
      </c>
      <c r="L693">
        <v>34</v>
      </c>
      <c r="M693" t="s">
        <v>15</v>
      </c>
    </row>
    <row r="694" spans="1:13" x14ac:dyDescent="0.25">
      <c r="A694">
        <v>23376</v>
      </c>
      <c r="B694" t="s">
        <v>34</v>
      </c>
      <c r="C694" t="s">
        <v>34</v>
      </c>
      <c r="D694" s="32">
        <v>70000</v>
      </c>
      <c r="E694">
        <v>1</v>
      </c>
      <c r="F694" t="s">
        <v>13</v>
      </c>
      <c r="G694" t="s">
        <v>21</v>
      </c>
      <c r="H694" t="s">
        <v>15</v>
      </c>
      <c r="I694">
        <v>1</v>
      </c>
      <c r="J694" t="s">
        <v>22</v>
      </c>
      <c r="K694" t="s">
        <v>32</v>
      </c>
      <c r="L694">
        <v>44</v>
      </c>
      <c r="M694" t="s">
        <v>15</v>
      </c>
    </row>
    <row r="695" spans="1:13" x14ac:dyDescent="0.25">
      <c r="A695">
        <v>25970</v>
      </c>
      <c r="B695" t="s">
        <v>35</v>
      </c>
      <c r="C695" t="s">
        <v>33</v>
      </c>
      <c r="D695" s="32">
        <v>60000</v>
      </c>
      <c r="E695">
        <v>4</v>
      </c>
      <c r="F695" t="s">
        <v>13</v>
      </c>
      <c r="G695" t="s">
        <v>14</v>
      </c>
      <c r="H695" t="s">
        <v>18</v>
      </c>
      <c r="I695">
        <v>2</v>
      </c>
      <c r="J695" t="s">
        <v>16</v>
      </c>
      <c r="K695" t="s">
        <v>32</v>
      </c>
      <c r="L695">
        <v>41</v>
      </c>
      <c r="M695" t="s">
        <v>15</v>
      </c>
    </row>
    <row r="696" spans="1:13" x14ac:dyDescent="0.25">
      <c r="A696">
        <v>28068</v>
      </c>
      <c r="B696" t="s">
        <v>35</v>
      </c>
      <c r="C696" t="s">
        <v>33</v>
      </c>
      <c r="D696" s="32">
        <v>80000</v>
      </c>
      <c r="E696">
        <v>3</v>
      </c>
      <c r="F696" t="s">
        <v>31</v>
      </c>
      <c r="G696" t="s">
        <v>21</v>
      </c>
      <c r="H696" t="s">
        <v>18</v>
      </c>
      <c r="I696">
        <v>0</v>
      </c>
      <c r="J696" t="s">
        <v>16</v>
      </c>
      <c r="K696" t="s">
        <v>32</v>
      </c>
      <c r="L696">
        <v>36</v>
      </c>
      <c r="M696" t="s">
        <v>15</v>
      </c>
    </row>
    <row r="697" spans="1:13" x14ac:dyDescent="0.25">
      <c r="A697">
        <v>18390</v>
      </c>
      <c r="B697" t="s">
        <v>34</v>
      </c>
      <c r="C697" t="s">
        <v>34</v>
      </c>
      <c r="D697" s="32">
        <v>80000</v>
      </c>
      <c r="E697">
        <v>5</v>
      </c>
      <c r="F697" t="s">
        <v>19</v>
      </c>
      <c r="G697" t="s">
        <v>21</v>
      </c>
      <c r="H697" t="s">
        <v>15</v>
      </c>
      <c r="I697">
        <v>2</v>
      </c>
      <c r="J697" t="s">
        <v>16</v>
      </c>
      <c r="K697" t="s">
        <v>32</v>
      </c>
      <c r="L697">
        <v>44</v>
      </c>
      <c r="M697" t="s">
        <v>18</v>
      </c>
    </row>
    <row r="698" spans="1:13" x14ac:dyDescent="0.25">
      <c r="A698">
        <v>29112</v>
      </c>
      <c r="B698" t="s">
        <v>35</v>
      </c>
      <c r="C698" t="s">
        <v>34</v>
      </c>
      <c r="D698" s="32">
        <v>60000</v>
      </c>
      <c r="E698">
        <v>0</v>
      </c>
      <c r="F698" t="s">
        <v>19</v>
      </c>
      <c r="G698" t="s">
        <v>21</v>
      </c>
      <c r="H698" t="s">
        <v>18</v>
      </c>
      <c r="I698">
        <v>2</v>
      </c>
      <c r="J698" t="s">
        <v>26</v>
      </c>
      <c r="K698" t="s">
        <v>32</v>
      </c>
      <c r="L698">
        <v>30</v>
      </c>
      <c r="M698" t="s">
        <v>18</v>
      </c>
    </row>
    <row r="699" spans="1:13" x14ac:dyDescent="0.25">
      <c r="A699">
        <v>14090</v>
      </c>
      <c r="B699" t="s">
        <v>34</v>
      </c>
      <c r="C699" t="s">
        <v>33</v>
      </c>
      <c r="D699" s="32">
        <v>30000</v>
      </c>
      <c r="E699">
        <v>0</v>
      </c>
      <c r="F699" t="s">
        <v>29</v>
      </c>
      <c r="G699" t="s">
        <v>20</v>
      </c>
      <c r="H699" t="s">
        <v>18</v>
      </c>
      <c r="I699">
        <v>2</v>
      </c>
      <c r="J699" t="s">
        <v>16</v>
      </c>
      <c r="K699" t="s">
        <v>32</v>
      </c>
      <c r="L699">
        <v>28</v>
      </c>
      <c r="M699" t="s">
        <v>18</v>
      </c>
    </row>
    <row r="700" spans="1:13" x14ac:dyDescent="0.25">
      <c r="A700">
        <v>27040</v>
      </c>
      <c r="B700" t="s">
        <v>34</v>
      </c>
      <c r="C700" t="s">
        <v>34</v>
      </c>
      <c r="D700" s="32">
        <v>20000</v>
      </c>
      <c r="E700">
        <v>2</v>
      </c>
      <c r="F700" t="s">
        <v>29</v>
      </c>
      <c r="G700" t="s">
        <v>20</v>
      </c>
      <c r="H700" t="s">
        <v>15</v>
      </c>
      <c r="I700">
        <v>2</v>
      </c>
      <c r="J700" t="s">
        <v>26</v>
      </c>
      <c r="K700" t="s">
        <v>32</v>
      </c>
      <c r="L700">
        <v>49</v>
      </c>
      <c r="M700" t="s">
        <v>18</v>
      </c>
    </row>
    <row r="701" spans="1:13" x14ac:dyDescent="0.25">
      <c r="A701">
        <v>23479</v>
      </c>
      <c r="B701" t="s">
        <v>35</v>
      </c>
      <c r="C701" t="s">
        <v>34</v>
      </c>
      <c r="D701" s="32">
        <v>90000</v>
      </c>
      <c r="E701">
        <v>0</v>
      </c>
      <c r="F701" t="s">
        <v>19</v>
      </c>
      <c r="G701" t="s">
        <v>21</v>
      </c>
      <c r="H701" t="s">
        <v>18</v>
      </c>
      <c r="I701">
        <v>2</v>
      </c>
      <c r="J701" t="s">
        <v>16</v>
      </c>
      <c r="K701" t="s">
        <v>32</v>
      </c>
      <c r="L701">
        <v>43</v>
      </c>
      <c r="M701" t="s">
        <v>15</v>
      </c>
    </row>
    <row r="702" spans="1:13" x14ac:dyDescent="0.25">
      <c r="A702">
        <v>16795</v>
      </c>
      <c r="B702" t="s">
        <v>34</v>
      </c>
      <c r="C702" t="s">
        <v>33</v>
      </c>
      <c r="D702" s="32">
        <v>70000</v>
      </c>
      <c r="E702">
        <v>4</v>
      </c>
      <c r="F702" t="s">
        <v>13</v>
      </c>
      <c r="G702" t="s">
        <v>28</v>
      </c>
      <c r="H702" t="s">
        <v>15</v>
      </c>
      <c r="I702">
        <v>1</v>
      </c>
      <c r="J702" t="s">
        <v>26</v>
      </c>
      <c r="K702" t="s">
        <v>32</v>
      </c>
      <c r="L702">
        <v>59</v>
      </c>
      <c r="M702" t="s">
        <v>18</v>
      </c>
    </row>
    <row r="703" spans="1:13" x14ac:dyDescent="0.25">
      <c r="A703">
        <v>22014</v>
      </c>
      <c r="B703" t="s">
        <v>35</v>
      </c>
      <c r="C703" t="s">
        <v>34</v>
      </c>
      <c r="D703" s="32">
        <v>30000</v>
      </c>
      <c r="E703">
        <v>0</v>
      </c>
      <c r="F703" t="s">
        <v>27</v>
      </c>
      <c r="G703" t="s">
        <v>14</v>
      </c>
      <c r="H703" t="s">
        <v>15</v>
      </c>
      <c r="I703">
        <v>2</v>
      </c>
      <c r="J703" t="s">
        <v>23</v>
      </c>
      <c r="K703" t="s">
        <v>32</v>
      </c>
      <c r="L703">
        <v>26</v>
      </c>
      <c r="M703" t="s">
        <v>18</v>
      </c>
    </row>
    <row r="704" spans="1:13" x14ac:dyDescent="0.25">
      <c r="A704">
        <v>13314</v>
      </c>
      <c r="B704" t="s">
        <v>34</v>
      </c>
      <c r="C704" t="s">
        <v>34</v>
      </c>
      <c r="D704" s="32">
        <v>120000</v>
      </c>
      <c r="E704">
        <v>1</v>
      </c>
      <c r="F704" t="s">
        <v>27</v>
      </c>
      <c r="G704" t="s">
        <v>21</v>
      </c>
      <c r="H704" t="s">
        <v>15</v>
      </c>
      <c r="I704">
        <v>4</v>
      </c>
      <c r="J704" t="s">
        <v>23</v>
      </c>
      <c r="K704" t="s">
        <v>32</v>
      </c>
      <c r="L704">
        <v>46</v>
      </c>
      <c r="M704" t="s">
        <v>15</v>
      </c>
    </row>
    <row r="705" spans="1:13" x14ac:dyDescent="0.25">
      <c r="A705">
        <v>11619</v>
      </c>
      <c r="B705" t="s">
        <v>35</v>
      </c>
      <c r="C705" t="s">
        <v>33</v>
      </c>
      <c r="D705" s="32">
        <v>50000</v>
      </c>
      <c r="E705">
        <v>0</v>
      </c>
      <c r="F705" t="s">
        <v>31</v>
      </c>
      <c r="G705" t="s">
        <v>14</v>
      </c>
      <c r="H705" t="s">
        <v>15</v>
      </c>
      <c r="I705">
        <v>0</v>
      </c>
      <c r="J705" t="s">
        <v>26</v>
      </c>
      <c r="K705" t="s">
        <v>32</v>
      </c>
      <c r="L705">
        <v>33</v>
      </c>
      <c r="M705" t="s">
        <v>18</v>
      </c>
    </row>
    <row r="706" spans="1:13" x14ac:dyDescent="0.25">
      <c r="A706">
        <v>29132</v>
      </c>
      <c r="B706" t="s">
        <v>35</v>
      </c>
      <c r="C706" t="s">
        <v>33</v>
      </c>
      <c r="D706" s="32">
        <v>40000</v>
      </c>
      <c r="E706">
        <v>0</v>
      </c>
      <c r="F706" t="s">
        <v>13</v>
      </c>
      <c r="G706" t="s">
        <v>21</v>
      </c>
      <c r="H706" t="s">
        <v>15</v>
      </c>
      <c r="I706">
        <v>1</v>
      </c>
      <c r="J706" t="s">
        <v>22</v>
      </c>
      <c r="K706" t="s">
        <v>32</v>
      </c>
      <c r="L706">
        <v>42</v>
      </c>
      <c r="M706" t="s">
        <v>15</v>
      </c>
    </row>
    <row r="707" spans="1:13" x14ac:dyDescent="0.25">
      <c r="A707">
        <v>11199</v>
      </c>
      <c r="B707" t="s">
        <v>34</v>
      </c>
      <c r="C707" t="s">
        <v>33</v>
      </c>
      <c r="D707" s="32">
        <v>70000</v>
      </c>
      <c r="E707">
        <v>4</v>
      </c>
      <c r="F707" t="s">
        <v>13</v>
      </c>
      <c r="G707" t="s">
        <v>28</v>
      </c>
      <c r="H707" t="s">
        <v>15</v>
      </c>
      <c r="I707">
        <v>1</v>
      </c>
      <c r="J707" t="s">
        <v>30</v>
      </c>
      <c r="K707" t="s">
        <v>32</v>
      </c>
      <c r="L707">
        <v>59</v>
      </c>
      <c r="M707" t="s">
        <v>18</v>
      </c>
    </row>
    <row r="708" spans="1:13" x14ac:dyDescent="0.25">
      <c r="A708">
        <v>20296</v>
      </c>
      <c r="B708" t="s">
        <v>35</v>
      </c>
      <c r="C708" t="s">
        <v>33</v>
      </c>
      <c r="D708" s="32">
        <v>60000</v>
      </c>
      <c r="E708">
        <v>0</v>
      </c>
      <c r="F708" t="s">
        <v>19</v>
      </c>
      <c r="G708" t="s">
        <v>14</v>
      </c>
      <c r="H708" t="s">
        <v>18</v>
      </c>
      <c r="I708">
        <v>1</v>
      </c>
      <c r="J708" t="s">
        <v>26</v>
      </c>
      <c r="K708" t="s">
        <v>32</v>
      </c>
      <c r="L708">
        <v>33</v>
      </c>
      <c r="M708" t="s">
        <v>15</v>
      </c>
    </row>
    <row r="709" spans="1:13" x14ac:dyDescent="0.25">
      <c r="A709">
        <v>17546</v>
      </c>
      <c r="B709" t="s">
        <v>34</v>
      </c>
      <c r="C709" t="s">
        <v>33</v>
      </c>
      <c r="D709" s="32">
        <v>70000</v>
      </c>
      <c r="E709">
        <v>1</v>
      </c>
      <c r="F709" t="s">
        <v>19</v>
      </c>
      <c r="G709" t="s">
        <v>14</v>
      </c>
      <c r="H709" t="s">
        <v>15</v>
      </c>
      <c r="I709">
        <v>1</v>
      </c>
      <c r="J709" t="s">
        <v>16</v>
      </c>
      <c r="K709" t="s">
        <v>32</v>
      </c>
      <c r="L709">
        <v>44</v>
      </c>
      <c r="M709" t="s">
        <v>15</v>
      </c>
    </row>
    <row r="710" spans="1:13" x14ac:dyDescent="0.25">
      <c r="A710">
        <v>18069</v>
      </c>
      <c r="B710" t="s">
        <v>34</v>
      </c>
      <c r="C710" t="s">
        <v>34</v>
      </c>
      <c r="D710" s="32">
        <v>70000</v>
      </c>
      <c r="E710">
        <v>5</v>
      </c>
      <c r="F710" t="s">
        <v>13</v>
      </c>
      <c r="G710" t="s">
        <v>28</v>
      </c>
      <c r="H710" t="s">
        <v>15</v>
      </c>
      <c r="I710">
        <v>4</v>
      </c>
      <c r="J710" t="s">
        <v>30</v>
      </c>
      <c r="K710" t="s">
        <v>32</v>
      </c>
      <c r="L710">
        <v>60</v>
      </c>
      <c r="M710" t="s">
        <v>18</v>
      </c>
    </row>
    <row r="711" spans="1:13" x14ac:dyDescent="0.25">
      <c r="A711">
        <v>23712</v>
      </c>
      <c r="B711" t="s">
        <v>35</v>
      </c>
      <c r="C711" t="s">
        <v>33</v>
      </c>
      <c r="D711" s="32">
        <v>70000</v>
      </c>
      <c r="E711">
        <v>2</v>
      </c>
      <c r="F711" t="s">
        <v>13</v>
      </c>
      <c r="G711" t="s">
        <v>28</v>
      </c>
      <c r="H711" t="s">
        <v>15</v>
      </c>
      <c r="I711">
        <v>1</v>
      </c>
      <c r="J711" t="s">
        <v>30</v>
      </c>
      <c r="K711" t="s">
        <v>32</v>
      </c>
      <c r="L711">
        <v>59</v>
      </c>
      <c r="M711" t="s">
        <v>18</v>
      </c>
    </row>
    <row r="712" spans="1:13" x14ac:dyDescent="0.25">
      <c r="A712">
        <v>23358</v>
      </c>
      <c r="B712" t="s">
        <v>34</v>
      </c>
      <c r="C712" t="s">
        <v>34</v>
      </c>
      <c r="D712" s="32">
        <v>60000</v>
      </c>
      <c r="E712">
        <v>0</v>
      </c>
      <c r="F712" t="s">
        <v>27</v>
      </c>
      <c r="G712" t="s">
        <v>21</v>
      </c>
      <c r="H712" t="s">
        <v>15</v>
      </c>
      <c r="I712">
        <v>2</v>
      </c>
      <c r="J712" t="s">
        <v>23</v>
      </c>
      <c r="K712" t="s">
        <v>32</v>
      </c>
      <c r="L712">
        <v>32</v>
      </c>
      <c r="M712" t="s">
        <v>15</v>
      </c>
    </row>
    <row r="713" spans="1:13" x14ac:dyDescent="0.25">
      <c r="A713">
        <v>20518</v>
      </c>
      <c r="B713" t="s">
        <v>34</v>
      </c>
      <c r="C713" t="s">
        <v>33</v>
      </c>
      <c r="D713" s="32">
        <v>70000</v>
      </c>
      <c r="E713">
        <v>2</v>
      </c>
      <c r="F713" t="s">
        <v>19</v>
      </c>
      <c r="G713" t="s">
        <v>21</v>
      </c>
      <c r="H713" t="s">
        <v>15</v>
      </c>
      <c r="I713">
        <v>1</v>
      </c>
      <c r="J713" t="s">
        <v>30</v>
      </c>
      <c r="K713" t="s">
        <v>32</v>
      </c>
      <c r="L713">
        <v>58</v>
      </c>
      <c r="M713" t="s">
        <v>18</v>
      </c>
    </row>
    <row r="714" spans="1:13" x14ac:dyDescent="0.25">
      <c r="A714">
        <v>28026</v>
      </c>
      <c r="B714" t="s">
        <v>34</v>
      </c>
      <c r="C714" t="s">
        <v>33</v>
      </c>
      <c r="D714" s="32">
        <v>40000</v>
      </c>
      <c r="E714">
        <v>2</v>
      </c>
      <c r="F714" t="s">
        <v>27</v>
      </c>
      <c r="G714" t="s">
        <v>21</v>
      </c>
      <c r="H714" t="s">
        <v>18</v>
      </c>
      <c r="I714">
        <v>2</v>
      </c>
      <c r="J714" t="s">
        <v>22</v>
      </c>
      <c r="K714" t="s">
        <v>32</v>
      </c>
      <c r="L714">
        <v>59</v>
      </c>
      <c r="M714" t="s">
        <v>18</v>
      </c>
    </row>
    <row r="715" spans="1:13" x14ac:dyDescent="0.25">
      <c r="A715">
        <v>11669</v>
      </c>
      <c r="B715" t="s">
        <v>35</v>
      </c>
      <c r="C715" t="s">
        <v>33</v>
      </c>
      <c r="D715" s="32">
        <v>70000</v>
      </c>
      <c r="E715">
        <v>2</v>
      </c>
      <c r="F715" t="s">
        <v>13</v>
      </c>
      <c r="G715" t="s">
        <v>14</v>
      </c>
      <c r="H715" t="s">
        <v>15</v>
      </c>
      <c r="I715">
        <v>1</v>
      </c>
      <c r="J715" t="s">
        <v>22</v>
      </c>
      <c r="K715" t="s">
        <v>32</v>
      </c>
      <c r="L715">
        <v>38</v>
      </c>
      <c r="M715" t="s">
        <v>18</v>
      </c>
    </row>
    <row r="716" spans="1:13" x14ac:dyDescent="0.25">
      <c r="A716">
        <v>16020</v>
      </c>
      <c r="B716" t="s">
        <v>34</v>
      </c>
      <c r="C716" t="s">
        <v>34</v>
      </c>
      <c r="D716" s="32">
        <v>40000</v>
      </c>
      <c r="E716">
        <v>0</v>
      </c>
      <c r="F716" t="s">
        <v>27</v>
      </c>
      <c r="G716" t="s">
        <v>14</v>
      </c>
      <c r="H716" t="s">
        <v>15</v>
      </c>
      <c r="I716">
        <v>2</v>
      </c>
      <c r="J716" t="s">
        <v>23</v>
      </c>
      <c r="K716" t="s">
        <v>32</v>
      </c>
      <c r="L716">
        <v>28</v>
      </c>
      <c r="M716" t="s">
        <v>15</v>
      </c>
    </row>
    <row r="717" spans="1:13" x14ac:dyDescent="0.25">
      <c r="A717">
        <v>27090</v>
      </c>
      <c r="B717" t="s">
        <v>34</v>
      </c>
      <c r="C717" t="s">
        <v>33</v>
      </c>
      <c r="D717" s="32">
        <v>60000</v>
      </c>
      <c r="E717">
        <v>1</v>
      </c>
      <c r="F717" t="s">
        <v>31</v>
      </c>
      <c r="G717" t="s">
        <v>21</v>
      </c>
      <c r="H717" t="s">
        <v>15</v>
      </c>
      <c r="I717">
        <v>0</v>
      </c>
      <c r="J717" t="s">
        <v>22</v>
      </c>
      <c r="K717" t="s">
        <v>32</v>
      </c>
      <c r="L717">
        <v>37</v>
      </c>
      <c r="M717" t="s">
        <v>15</v>
      </c>
    </row>
    <row r="718" spans="1:13" x14ac:dyDescent="0.25">
      <c r="A718">
        <v>27198</v>
      </c>
      <c r="B718" t="s">
        <v>35</v>
      </c>
      <c r="C718" t="s">
        <v>33</v>
      </c>
      <c r="D718" s="32">
        <v>80000</v>
      </c>
      <c r="E718">
        <v>0</v>
      </c>
      <c r="F718" t="s">
        <v>31</v>
      </c>
      <c r="G718" t="s">
        <v>14</v>
      </c>
      <c r="H718" t="s">
        <v>18</v>
      </c>
      <c r="I718">
        <v>0</v>
      </c>
      <c r="J718" t="s">
        <v>16</v>
      </c>
      <c r="K718" t="s">
        <v>32</v>
      </c>
      <c r="L718">
        <v>40</v>
      </c>
      <c r="M718" t="s">
        <v>18</v>
      </c>
    </row>
    <row r="719" spans="1:13" x14ac:dyDescent="0.25">
      <c r="A719">
        <v>19661</v>
      </c>
      <c r="B719" t="s">
        <v>35</v>
      </c>
      <c r="C719" t="s">
        <v>34</v>
      </c>
      <c r="D719" s="32">
        <v>90000</v>
      </c>
      <c r="E719">
        <v>4</v>
      </c>
      <c r="F719" t="s">
        <v>13</v>
      </c>
      <c r="G719" t="s">
        <v>28</v>
      </c>
      <c r="H719" t="s">
        <v>15</v>
      </c>
      <c r="I719">
        <v>1</v>
      </c>
      <c r="J719" t="s">
        <v>26</v>
      </c>
      <c r="K719" t="s">
        <v>32</v>
      </c>
      <c r="L719">
        <v>38</v>
      </c>
      <c r="M719" t="s">
        <v>15</v>
      </c>
    </row>
    <row r="720" spans="1:13" x14ac:dyDescent="0.25">
      <c r="A720">
        <v>26327</v>
      </c>
      <c r="B720" t="s">
        <v>34</v>
      </c>
      <c r="C720" t="s">
        <v>34</v>
      </c>
      <c r="D720" s="32">
        <v>70000</v>
      </c>
      <c r="E720">
        <v>4</v>
      </c>
      <c r="F720" t="s">
        <v>31</v>
      </c>
      <c r="G720" t="s">
        <v>21</v>
      </c>
      <c r="H720" t="s">
        <v>15</v>
      </c>
      <c r="I720">
        <v>0</v>
      </c>
      <c r="J720" t="s">
        <v>22</v>
      </c>
      <c r="K720" t="s">
        <v>32</v>
      </c>
      <c r="L720">
        <v>36</v>
      </c>
      <c r="M720" t="s">
        <v>15</v>
      </c>
    </row>
    <row r="721" spans="1:13" x14ac:dyDescent="0.25">
      <c r="A721">
        <v>26341</v>
      </c>
      <c r="B721" t="s">
        <v>34</v>
      </c>
      <c r="C721" t="s">
        <v>33</v>
      </c>
      <c r="D721" s="32">
        <v>70000</v>
      </c>
      <c r="E721">
        <v>5</v>
      </c>
      <c r="F721" t="s">
        <v>31</v>
      </c>
      <c r="G721" t="s">
        <v>21</v>
      </c>
      <c r="H721" t="s">
        <v>15</v>
      </c>
      <c r="I721">
        <v>2</v>
      </c>
      <c r="J721" t="s">
        <v>16</v>
      </c>
      <c r="K721" t="s">
        <v>32</v>
      </c>
      <c r="L721">
        <v>37</v>
      </c>
      <c r="M721" t="s">
        <v>18</v>
      </c>
    </row>
    <row r="722" spans="1:13" x14ac:dyDescent="0.25">
      <c r="A722">
        <v>24958</v>
      </c>
      <c r="B722" t="s">
        <v>35</v>
      </c>
      <c r="C722" t="s">
        <v>33</v>
      </c>
      <c r="D722" s="32">
        <v>40000</v>
      </c>
      <c r="E722">
        <v>5</v>
      </c>
      <c r="F722" t="s">
        <v>27</v>
      </c>
      <c r="G722" t="s">
        <v>21</v>
      </c>
      <c r="H722" t="s">
        <v>18</v>
      </c>
      <c r="I722">
        <v>3</v>
      </c>
      <c r="J722" t="s">
        <v>22</v>
      </c>
      <c r="K722" t="s">
        <v>32</v>
      </c>
      <c r="L722">
        <v>60</v>
      </c>
      <c r="M722" t="s">
        <v>15</v>
      </c>
    </row>
    <row r="723" spans="1:13" x14ac:dyDescent="0.25">
      <c r="A723">
        <v>13287</v>
      </c>
      <c r="B723" t="s">
        <v>35</v>
      </c>
      <c r="C723" t="s">
        <v>34</v>
      </c>
      <c r="D723" s="32">
        <v>110000</v>
      </c>
      <c r="E723">
        <v>4</v>
      </c>
      <c r="F723" t="s">
        <v>13</v>
      </c>
      <c r="G723" t="s">
        <v>28</v>
      </c>
      <c r="H723" t="s">
        <v>15</v>
      </c>
      <c r="I723">
        <v>4</v>
      </c>
      <c r="J723" t="s">
        <v>23</v>
      </c>
      <c r="K723" t="s">
        <v>32</v>
      </c>
      <c r="L723">
        <v>42</v>
      </c>
      <c r="M723" t="s">
        <v>15</v>
      </c>
    </row>
    <row r="724" spans="1:13" x14ac:dyDescent="0.25">
      <c r="A724">
        <v>14493</v>
      </c>
      <c r="B724" t="s">
        <v>35</v>
      </c>
      <c r="C724" t="s">
        <v>33</v>
      </c>
      <c r="D724" s="32">
        <v>70000</v>
      </c>
      <c r="E724">
        <v>3</v>
      </c>
      <c r="F724" t="s">
        <v>31</v>
      </c>
      <c r="G724" t="s">
        <v>28</v>
      </c>
      <c r="H724" t="s">
        <v>18</v>
      </c>
      <c r="I724">
        <v>2</v>
      </c>
      <c r="J724" t="s">
        <v>26</v>
      </c>
      <c r="K724" t="s">
        <v>32</v>
      </c>
      <c r="L724">
        <v>53</v>
      </c>
      <c r="M724" t="s">
        <v>18</v>
      </c>
    </row>
    <row r="725" spans="1:13" x14ac:dyDescent="0.25">
      <c r="A725">
        <v>26678</v>
      </c>
      <c r="B725" t="s">
        <v>35</v>
      </c>
      <c r="C725" t="s">
        <v>33</v>
      </c>
      <c r="D725" s="32">
        <v>80000</v>
      </c>
      <c r="E725">
        <v>2</v>
      </c>
      <c r="F725" t="s">
        <v>29</v>
      </c>
      <c r="G725" t="s">
        <v>14</v>
      </c>
      <c r="H725" t="s">
        <v>15</v>
      </c>
      <c r="I725">
        <v>2</v>
      </c>
      <c r="J725" t="s">
        <v>23</v>
      </c>
      <c r="K725" t="s">
        <v>32</v>
      </c>
      <c r="L725">
        <v>49</v>
      </c>
      <c r="M725" t="s">
        <v>18</v>
      </c>
    </row>
    <row r="726" spans="1:13" x14ac:dyDescent="0.25">
      <c r="A726">
        <v>23275</v>
      </c>
      <c r="B726" t="s">
        <v>34</v>
      </c>
      <c r="C726" t="s">
        <v>34</v>
      </c>
      <c r="D726" s="32">
        <v>30000</v>
      </c>
      <c r="E726">
        <v>2</v>
      </c>
      <c r="F726" t="s">
        <v>27</v>
      </c>
      <c r="G726" t="s">
        <v>14</v>
      </c>
      <c r="H726" t="s">
        <v>15</v>
      </c>
      <c r="I726">
        <v>2</v>
      </c>
      <c r="J726" t="s">
        <v>26</v>
      </c>
      <c r="K726" t="s">
        <v>32</v>
      </c>
      <c r="L726">
        <v>49</v>
      </c>
      <c r="M726" t="s">
        <v>18</v>
      </c>
    </row>
    <row r="727" spans="1:13" x14ac:dyDescent="0.25">
      <c r="A727">
        <v>11270</v>
      </c>
      <c r="B727" t="s">
        <v>34</v>
      </c>
      <c r="C727" t="s">
        <v>34</v>
      </c>
      <c r="D727" s="32">
        <v>130000</v>
      </c>
      <c r="E727">
        <v>2</v>
      </c>
      <c r="F727" t="s">
        <v>31</v>
      </c>
      <c r="G727" t="s">
        <v>28</v>
      </c>
      <c r="H727" t="s">
        <v>15</v>
      </c>
      <c r="I727">
        <v>3</v>
      </c>
      <c r="J727" t="s">
        <v>16</v>
      </c>
      <c r="K727" t="s">
        <v>32</v>
      </c>
      <c r="L727">
        <v>42</v>
      </c>
      <c r="M727" t="s">
        <v>15</v>
      </c>
    </row>
    <row r="728" spans="1:13" x14ac:dyDescent="0.25">
      <c r="A728">
        <v>20084</v>
      </c>
      <c r="B728" t="s">
        <v>34</v>
      </c>
      <c r="C728" t="s">
        <v>34</v>
      </c>
      <c r="D728" s="32">
        <v>20000</v>
      </c>
      <c r="E728">
        <v>2</v>
      </c>
      <c r="F728" t="s">
        <v>27</v>
      </c>
      <c r="G728" t="s">
        <v>25</v>
      </c>
      <c r="H728" t="s">
        <v>18</v>
      </c>
      <c r="I728">
        <v>2</v>
      </c>
      <c r="J728" t="s">
        <v>16</v>
      </c>
      <c r="K728" t="s">
        <v>32</v>
      </c>
      <c r="L728">
        <v>53</v>
      </c>
      <c r="M728" t="s">
        <v>18</v>
      </c>
    </row>
    <row r="729" spans="1:13" x14ac:dyDescent="0.25">
      <c r="A729">
        <v>16144</v>
      </c>
      <c r="B729" t="s">
        <v>34</v>
      </c>
      <c r="C729" t="s">
        <v>34</v>
      </c>
      <c r="D729" s="32">
        <v>70000</v>
      </c>
      <c r="E729">
        <v>1</v>
      </c>
      <c r="F729" t="s">
        <v>31</v>
      </c>
      <c r="G729" t="s">
        <v>21</v>
      </c>
      <c r="H729" t="s">
        <v>15</v>
      </c>
      <c r="I729">
        <v>1</v>
      </c>
      <c r="J729" t="s">
        <v>16</v>
      </c>
      <c r="K729" t="s">
        <v>32</v>
      </c>
      <c r="L729">
        <v>46</v>
      </c>
      <c r="M729" t="s">
        <v>15</v>
      </c>
    </row>
    <row r="730" spans="1:13" x14ac:dyDescent="0.25">
      <c r="A730">
        <v>27731</v>
      </c>
      <c r="B730" t="s">
        <v>34</v>
      </c>
      <c r="C730" t="s">
        <v>34</v>
      </c>
      <c r="D730" s="32">
        <v>40000</v>
      </c>
      <c r="E730">
        <v>0</v>
      </c>
      <c r="F730" t="s">
        <v>27</v>
      </c>
      <c r="G730" t="s">
        <v>14</v>
      </c>
      <c r="H730" t="s">
        <v>15</v>
      </c>
      <c r="I730">
        <v>2</v>
      </c>
      <c r="J730" t="s">
        <v>23</v>
      </c>
      <c r="K730" t="s">
        <v>32</v>
      </c>
      <c r="L730">
        <v>27</v>
      </c>
      <c r="M730" t="s">
        <v>18</v>
      </c>
    </row>
    <row r="731" spans="1:13" x14ac:dyDescent="0.25">
      <c r="A731">
        <v>11886</v>
      </c>
      <c r="B731" t="s">
        <v>34</v>
      </c>
      <c r="C731" t="s">
        <v>33</v>
      </c>
      <c r="D731" s="32">
        <v>60000</v>
      </c>
      <c r="E731">
        <v>3</v>
      </c>
      <c r="F731" t="s">
        <v>13</v>
      </c>
      <c r="G731" t="s">
        <v>21</v>
      </c>
      <c r="H731" t="s">
        <v>15</v>
      </c>
      <c r="I731">
        <v>1</v>
      </c>
      <c r="J731" t="s">
        <v>16</v>
      </c>
      <c r="K731" t="s">
        <v>32</v>
      </c>
      <c r="L731">
        <v>48</v>
      </c>
      <c r="M731" t="s">
        <v>15</v>
      </c>
    </row>
    <row r="732" spans="1:13" x14ac:dyDescent="0.25">
      <c r="A732">
        <v>24324</v>
      </c>
      <c r="B732" t="s">
        <v>35</v>
      </c>
      <c r="C732" t="s">
        <v>33</v>
      </c>
      <c r="D732" s="32">
        <v>60000</v>
      </c>
      <c r="E732">
        <v>4</v>
      </c>
      <c r="F732" t="s">
        <v>13</v>
      </c>
      <c r="G732" t="s">
        <v>14</v>
      </c>
      <c r="H732" t="s">
        <v>15</v>
      </c>
      <c r="I732">
        <v>2</v>
      </c>
      <c r="J732" t="s">
        <v>22</v>
      </c>
      <c r="K732" t="s">
        <v>32</v>
      </c>
      <c r="L732">
        <v>41</v>
      </c>
      <c r="M732" t="s">
        <v>15</v>
      </c>
    </row>
    <row r="733" spans="1:13" x14ac:dyDescent="0.25">
      <c r="A733">
        <v>22220</v>
      </c>
      <c r="B733" t="s">
        <v>34</v>
      </c>
      <c r="C733" t="s">
        <v>34</v>
      </c>
      <c r="D733" s="32">
        <v>60000</v>
      </c>
      <c r="E733">
        <v>2</v>
      </c>
      <c r="F733" t="s">
        <v>27</v>
      </c>
      <c r="G733" t="s">
        <v>21</v>
      </c>
      <c r="H733" t="s">
        <v>18</v>
      </c>
      <c r="I733">
        <v>2</v>
      </c>
      <c r="J733" t="s">
        <v>26</v>
      </c>
      <c r="K733" t="s">
        <v>32</v>
      </c>
      <c r="L733">
        <v>49</v>
      </c>
      <c r="M733" t="s">
        <v>15</v>
      </c>
    </row>
    <row r="734" spans="1:13" x14ac:dyDescent="0.25">
      <c r="A734">
        <v>26625</v>
      </c>
      <c r="B734" t="s">
        <v>35</v>
      </c>
      <c r="C734" t="s">
        <v>33</v>
      </c>
      <c r="D734" s="32">
        <v>60000</v>
      </c>
      <c r="E734">
        <v>0</v>
      </c>
      <c r="F734" t="s">
        <v>31</v>
      </c>
      <c r="G734" t="s">
        <v>21</v>
      </c>
      <c r="H734" t="s">
        <v>15</v>
      </c>
      <c r="I734">
        <v>1</v>
      </c>
      <c r="J734" t="s">
        <v>22</v>
      </c>
      <c r="K734" t="s">
        <v>32</v>
      </c>
      <c r="L734">
        <v>38</v>
      </c>
      <c r="M734" t="s">
        <v>15</v>
      </c>
    </row>
    <row r="735" spans="1:13" x14ac:dyDescent="0.25">
      <c r="A735">
        <v>23027</v>
      </c>
      <c r="B735" t="s">
        <v>35</v>
      </c>
      <c r="C735" t="s">
        <v>34</v>
      </c>
      <c r="D735" s="32">
        <v>130000</v>
      </c>
      <c r="E735">
        <v>1</v>
      </c>
      <c r="F735" t="s">
        <v>13</v>
      </c>
      <c r="G735" t="s">
        <v>28</v>
      </c>
      <c r="H735" t="s">
        <v>18</v>
      </c>
      <c r="I735">
        <v>4</v>
      </c>
      <c r="J735" t="s">
        <v>16</v>
      </c>
      <c r="K735" t="s">
        <v>32</v>
      </c>
      <c r="L735">
        <v>44</v>
      </c>
      <c r="M735" t="s">
        <v>18</v>
      </c>
    </row>
    <row r="736" spans="1:13" x14ac:dyDescent="0.25">
      <c r="A736">
        <v>16867</v>
      </c>
      <c r="B736" t="s">
        <v>35</v>
      </c>
      <c r="C736" t="s">
        <v>33</v>
      </c>
      <c r="D736" s="32">
        <v>130000</v>
      </c>
      <c r="E736">
        <v>1</v>
      </c>
      <c r="F736" t="s">
        <v>13</v>
      </c>
      <c r="G736" t="s">
        <v>28</v>
      </c>
      <c r="H736" t="s">
        <v>18</v>
      </c>
      <c r="I736">
        <v>3</v>
      </c>
      <c r="J736" t="s">
        <v>16</v>
      </c>
      <c r="K736" t="s">
        <v>32</v>
      </c>
      <c r="L736">
        <v>45</v>
      </c>
      <c r="M736" t="s">
        <v>15</v>
      </c>
    </row>
    <row r="737" spans="1:13" x14ac:dyDescent="0.25">
      <c r="A737">
        <v>14514</v>
      </c>
      <c r="B737" t="s">
        <v>35</v>
      </c>
      <c r="C737" t="s">
        <v>33</v>
      </c>
      <c r="D737" s="32">
        <v>30000</v>
      </c>
      <c r="E737">
        <v>0</v>
      </c>
      <c r="F737" t="s">
        <v>19</v>
      </c>
      <c r="G737" t="s">
        <v>14</v>
      </c>
      <c r="H737" t="s">
        <v>15</v>
      </c>
      <c r="I737">
        <v>1</v>
      </c>
      <c r="J737" t="s">
        <v>23</v>
      </c>
      <c r="K737" t="s">
        <v>32</v>
      </c>
      <c r="L737">
        <v>26</v>
      </c>
      <c r="M737" t="s">
        <v>18</v>
      </c>
    </row>
    <row r="738" spans="1:13" x14ac:dyDescent="0.25">
      <c r="A738">
        <v>19634</v>
      </c>
      <c r="B738" t="s">
        <v>34</v>
      </c>
      <c r="C738" t="s">
        <v>34</v>
      </c>
      <c r="D738" s="32">
        <v>40000</v>
      </c>
      <c r="E738">
        <v>0</v>
      </c>
      <c r="F738" t="s">
        <v>27</v>
      </c>
      <c r="G738" t="s">
        <v>14</v>
      </c>
      <c r="H738" t="s">
        <v>15</v>
      </c>
      <c r="I738">
        <v>1</v>
      </c>
      <c r="J738" t="s">
        <v>23</v>
      </c>
      <c r="K738" t="s">
        <v>32</v>
      </c>
      <c r="L738">
        <v>31</v>
      </c>
      <c r="M738" t="s">
        <v>18</v>
      </c>
    </row>
    <row r="739" spans="1:13" x14ac:dyDescent="0.25">
      <c r="A739">
        <v>18504</v>
      </c>
      <c r="B739" t="s">
        <v>34</v>
      </c>
      <c r="C739" t="s">
        <v>34</v>
      </c>
      <c r="D739" s="32">
        <v>70000</v>
      </c>
      <c r="E739">
        <v>2</v>
      </c>
      <c r="F739" t="s">
        <v>29</v>
      </c>
      <c r="G739" t="s">
        <v>14</v>
      </c>
      <c r="H739" t="s">
        <v>18</v>
      </c>
      <c r="I739">
        <v>2</v>
      </c>
      <c r="J739" t="s">
        <v>26</v>
      </c>
      <c r="K739" t="s">
        <v>32</v>
      </c>
      <c r="L739">
        <v>49</v>
      </c>
      <c r="M739" t="s">
        <v>18</v>
      </c>
    </row>
    <row r="740" spans="1:13" x14ac:dyDescent="0.25">
      <c r="A740">
        <v>28799</v>
      </c>
      <c r="B740" t="s">
        <v>35</v>
      </c>
      <c r="C740" t="s">
        <v>33</v>
      </c>
      <c r="D740" s="32">
        <v>40000</v>
      </c>
      <c r="E740">
        <v>2</v>
      </c>
      <c r="F740" t="s">
        <v>19</v>
      </c>
      <c r="G740" t="s">
        <v>20</v>
      </c>
      <c r="H740" t="s">
        <v>18</v>
      </c>
      <c r="I740">
        <v>1</v>
      </c>
      <c r="J740" t="s">
        <v>26</v>
      </c>
      <c r="K740" t="s">
        <v>32</v>
      </c>
      <c r="L740">
        <v>47</v>
      </c>
      <c r="M740" t="s">
        <v>15</v>
      </c>
    </row>
    <row r="741" spans="1:13" x14ac:dyDescent="0.25">
      <c r="A741">
        <v>11225</v>
      </c>
      <c r="B741" t="s">
        <v>34</v>
      </c>
      <c r="C741" t="s">
        <v>33</v>
      </c>
      <c r="D741" s="32">
        <v>60000</v>
      </c>
      <c r="E741">
        <v>2</v>
      </c>
      <c r="F741" t="s">
        <v>19</v>
      </c>
      <c r="G741" t="s">
        <v>21</v>
      </c>
      <c r="H741" t="s">
        <v>15</v>
      </c>
      <c r="I741">
        <v>1</v>
      </c>
      <c r="J741" t="s">
        <v>30</v>
      </c>
      <c r="K741" t="s">
        <v>32</v>
      </c>
      <c r="L741">
        <v>55</v>
      </c>
      <c r="M741" t="s">
        <v>18</v>
      </c>
    </row>
    <row r="742" spans="1:13" x14ac:dyDescent="0.25">
      <c r="A742">
        <v>17657</v>
      </c>
      <c r="B742" t="s">
        <v>34</v>
      </c>
      <c r="C742" t="s">
        <v>34</v>
      </c>
      <c r="D742" s="32">
        <v>40000</v>
      </c>
      <c r="E742">
        <v>4</v>
      </c>
      <c r="F742" t="s">
        <v>19</v>
      </c>
      <c r="G742" t="s">
        <v>20</v>
      </c>
      <c r="H742" t="s">
        <v>18</v>
      </c>
      <c r="I742">
        <v>0</v>
      </c>
      <c r="J742" t="s">
        <v>16</v>
      </c>
      <c r="K742" t="s">
        <v>32</v>
      </c>
      <c r="L742">
        <v>30</v>
      </c>
      <c r="M742" t="s">
        <v>18</v>
      </c>
    </row>
    <row r="743" spans="1:13" x14ac:dyDescent="0.25">
      <c r="A743">
        <v>14913</v>
      </c>
      <c r="B743" t="s">
        <v>34</v>
      </c>
      <c r="C743" t="s">
        <v>33</v>
      </c>
      <c r="D743" s="32">
        <v>40000</v>
      </c>
      <c r="E743">
        <v>1</v>
      </c>
      <c r="F743" t="s">
        <v>19</v>
      </c>
      <c r="G743" t="s">
        <v>20</v>
      </c>
      <c r="H743" t="s">
        <v>15</v>
      </c>
      <c r="I743">
        <v>1</v>
      </c>
      <c r="J743" t="s">
        <v>26</v>
      </c>
      <c r="K743" t="s">
        <v>32</v>
      </c>
      <c r="L743">
        <v>48</v>
      </c>
      <c r="M743" t="s">
        <v>15</v>
      </c>
    </row>
    <row r="744" spans="1:13" x14ac:dyDescent="0.25">
      <c r="A744">
        <v>14077</v>
      </c>
      <c r="B744" t="s">
        <v>35</v>
      </c>
      <c r="C744" t="s">
        <v>34</v>
      </c>
      <c r="D744" s="32">
        <v>30000</v>
      </c>
      <c r="E744">
        <v>0</v>
      </c>
      <c r="F744" t="s">
        <v>27</v>
      </c>
      <c r="G744" t="s">
        <v>14</v>
      </c>
      <c r="H744" t="s">
        <v>15</v>
      </c>
      <c r="I744">
        <v>2</v>
      </c>
      <c r="J744" t="s">
        <v>23</v>
      </c>
      <c r="K744" t="s">
        <v>32</v>
      </c>
      <c r="L744">
        <v>30</v>
      </c>
      <c r="M744" t="s">
        <v>18</v>
      </c>
    </row>
    <row r="745" spans="1:13" x14ac:dyDescent="0.25">
      <c r="A745">
        <v>13296</v>
      </c>
      <c r="B745" t="s">
        <v>34</v>
      </c>
      <c r="C745" t="s">
        <v>34</v>
      </c>
      <c r="D745" s="32">
        <v>110000</v>
      </c>
      <c r="E745">
        <v>1</v>
      </c>
      <c r="F745" t="s">
        <v>13</v>
      </c>
      <c r="G745" t="s">
        <v>28</v>
      </c>
      <c r="H745" t="s">
        <v>15</v>
      </c>
      <c r="I745">
        <v>3</v>
      </c>
      <c r="J745" t="s">
        <v>23</v>
      </c>
      <c r="K745" t="s">
        <v>32</v>
      </c>
      <c r="L745">
        <v>45</v>
      </c>
      <c r="M745" t="s">
        <v>18</v>
      </c>
    </row>
    <row r="746" spans="1:13" x14ac:dyDescent="0.25">
      <c r="A746">
        <v>20535</v>
      </c>
      <c r="B746" t="s">
        <v>34</v>
      </c>
      <c r="C746" t="s">
        <v>33</v>
      </c>
      <c r="D746" s="32">
        <v>70000</v>
      </c>
      <c r="E746">
        <v>4</v>
      </c>
      <c r="F746" t="s">
        <v>19</v>
      </c>
      <c r="G746" t="s">
        <v>21</v>
      </c>
      <c r="H746" t="s">
        <v>15</v>
      </c>
      <c r="I746">
        <v>1</v>
      </c>
      <c r="J746" t="s">
        <v>30</v>
      </c>
      <c r="K746" t="s">
        <v>32</v>
      </c>
      <c r="L746">
        <v>56</v>
      </c>
      <c r="M746" t="s">
        <v>18</v>
      </c>
    </row>
    <row r="747" spans="1:13" x14ac:dyDescent="0.25">
      <c r="A747">
        <v>12452</v>
      </c>
      <c r="B747" t="s">
        <v>34</v>
      </c>
      <c r="C747" t="s">
        <v>34</v>
      </c>
      <c r="D747" s="32">
        <v>60000</v>
      </c>
      <c r="E747">
        <v>4</v>
      </c>
      <c r="F747" t="s">
        <v>31</v>
      </c>
      <c r="G747" t="s">
        <v>14</v>
      </c>
      <c r="H747" t="s">
        <v>15</v>
      </c>
      <c r="I747">
        <v>0</v>
      </c>
      <c r="J747" t="s">
        <v>26</v>
      </c>
      <c r="K747" t="s">
        <v>32</v>
      </c>
      <c r="L747">
        <v>47</v>
      </c>
      <c r="M747" t="s">
        <v>15</v>
      </c>
    </row>
    <row r="748" spans="1:13" x14ac:dyDescent="0.25">
      <c r="A748">
        <v>28043</v>
      </c>
      <c r="B748" t="s">
        <v>34</v>
      </c>
      <c r="C748" t="s">
        <v>33</v>
      </c>
      <c r="D748" s="32">
        <v>60000</v>
      </c>
      <c r="E748">
        <v>2</v>
      </c>
      <c r="F748" t="s">
        <v>13</v>
      </c>
      <c r="G748" t="s">
        <v>28</v>
      </c>
      <c r="H748" t="s">
        <v>15</v>
      </c>
      <c r="I748">
        <v>0</v>
      </c>
      <c r="J748" t="s">
        <v>30</v>
      </c>
      <c r="K748" t="s">
        <v>32</v>
      </c>
      <c r="L748">
        <v>56</v>
      </c>
      <c r="M748" t="s">
        <v>18</v>
      </c>
    </row>
    <row r="749" spans="1:13" x14ac:dyDescent="0.25">
      <c r="A749">
        <v>12957</v>
      </c>
      <c r="B749" t="s">
        <v>35</v>
      </c>
      <c r="C749" t="s">
        <v>33</v>
      </c>
      <c r="D749" s="32">
        <v>70000</v>
      </c>
      <c r="E749">
        <v>1</v>
      </c>
      <c r="F749" t="s">
        <v>13</v>
      </c>
      <c r="G749" t="s">
        <v>21</v>
      </c>
      <c r="H749" t="s">
        <v>18</v>
      </c>
      <c r="I749">
        <v>1</v>
      </c>
      <c r="J749" t="s">
        <v>16</v>
      </c>
      <c r="K749" t="s">
        <v>32</v>
      </c>
      <c r="L749">
        <v>44</v>
      </c>
      <c r="M749" t="s">
        <v>18</v>
      </c>
    </row>
    <row r="750" spans="1:13" x14ac:dyDescent="0.25">
      <c r="A750">
        <v>15412</v>
      </c>
      <c r="B750" t="s">
        <v>34</v>
      </c>
      <c r="C750" t="s">
        <v>34</v>
      </c>
      <c r="D750" s="32">
        <v>130000</v>
      </c>
      <c r="E750">
        <v>2</v>
      </c>
      <c r="F750" t="s">
        <v>31</v>
      </c>
      <c r="G750" t="s">
        <v>28</v>
      </c>
      <c r="H750" t="s">
        <v>15</v>
      </c>
      <c r="I750">
        <v>3</v>
      </c>
      <c r="J750" t="s">
        <v>22</v>
      </c>
      <c r="K750" t="s">
        <v>32</v>
      </c>
      <c r="L750">
        <v>69</v>
      </c>
      <c r="M750" t="s">
        <v>18</v>
      </c>
    </row>
    <row r="751" spans="1:13" x14ac:dyDescent="0.25">
      <c r="A751">
        <v>20514</v>
      </c>
      <c r="B751" t="s">
        <v>34</v>
      </c>
      <c r="C751" t="s">
        <v>33</v>
      </c>
      <c r="D751" s="32">
        <v>70000</v>
      </c>
      <c r="E751">
        <v>2</v>
      </c>
      <c r="F751" t="s">
        <v>19</v>
      </c>
      <c r="G751" t="s">
        <v>21</v>
      </c>
      <c r="H751" t="s">
        <v>15</v>
      </c>
      <c r="I751">
        <v>1</v>
      </c>
      <c r="J751" t="s">
        <v>22</v>
      </c>
      <c r="K751" t="s">
        <v>32</v>
      </c>
      <c r="L751">
        <v>59</v>
      </c>
      <c r="M751" t="s">
        <v>18</v>
      </c>
    </row>
    <row r="752" spans="1:13" x14ac:dyDescent="0.25">
      <c r="A752">
        <v>20758</v>
      </c>
      <c r="B752" t="s">
        <v>34</v>
      </c>
      <c r="C752" t="s">
        <v>34</v>
      </c>
      <c r="D752" s="32">
        <v>30000</v>
      </c>
      <c r="E752">
        <v>2</v>
      </c>
      <c r="F752" t="s">
        <v>27</v>
      </c>
      <c r="G752" t="s">
        <v>14</v>
      </c>
      <c r="H752" t="s">
        <v>15</v>
      </c>
      <c r="I752">
        <v>2</v>
      </c>
      <c r="J752" t="s">
        <v>26</v>
      </c>
      <c r="K752" t="s">
        <v>32</v>
      </c>
      <c r="L752">
        <v>50</v>
      </c>
      <c r="M752" t="s">
        <v>18</v>
      </c>
    </row>
    <row r="753" spans="1:13" x14ac:dyDescent="0.25">
      <c r="A753">
        <v>11801</v>
      </c>
      <c r="B753" t="s">
        <v>34</v>
      </c>
      <c r="C753" t="s">
        <v>34</v>
      </c>
      <c r="D753" s="32">
        <v>60000</v>
      </c>
      <c r="E753">
        <v>1</v>
      </c>
      <c r="F753" t="s">
        <v>31</v>
      </c>
      <c r="G753" t="s">
        <v>21</v>
      </c>
      <c r="H753" t="s">
        <v>15</v>
      </c>
      <c r="I753">
        <v>0</v>
      </c>
      <c r="J753" t="s">
        <v>22</v>
      </c>
      <c r="K753" t="s">
        <v>32</v>
      </c>
      <c r="L753">
        <v>36</v>
      </c>
      <c r="M753" t="s">
        <v>18</v>
      </c>
    </row>
    <row r="754" spans="1:13" x14ac:dyDescent="0.25">
      <c r="A754">
        <v>22211</v>
      </c>
      <c r="B754" t="s">
        <v>34</v>
      </c>
      <c r="C754" t="s">
        <v>34</v>
      </c>
      <c r="D754" s="32">
        <v>60000</v>
      </c>
      <c r="E754">
        <v>0</v>
      </c>
      <c r="F754" t="s">
        <v>19</v>
      </c>
      <c r="G754" t="s">
        <v>21</v>
      </c>
      <c r="H754" t="s">
        <v>15</v>
      </c>
      <c r="I754">
        <v>2</v>
      </c>
      <c r="J754" t="s">
        <v>23</v>
      </c>
      <c r="K754" t="s">
        <v>32</v>
      </c>
      <c r="L754">
        <v>32</v>
      </c>
      <c r="M754" t="s">
        <v>18</v>
      </c>
    </row>
    <row r="755" spans="1:13" x14ac:dyDescent="0.25">
      <c r="A755">
        <v>28087</v>
      </c>
      <c r="B755" t="s">
        <v>35</v>
      </c>
      <c r="C755" t="s">
        <v>33</v>
      </c>
      <c r="D755" s="32">
        <v>40000</v>
      </c>
      <c r="E755">
        <v>0</v>
      </c>
      <c r="F755" t="s">
        <v>19</v>
      </c>
      <c r="G755" t="s">
        <v>14</v>
      </c>
      <c r="H755" t="s">
        <v>18</v>
      </c>
      <c r="I755">
        <v>1</v>
      </c>
      <c r="J755" t="s">
        <v>26</v>
      </c>
      <c r="K755" t="s">
        <v>32</v>
      </c>
      <c r="L755">
        <v>27</v>
      </c>
      <c r="M755" t="s">
        <v>18</v>
      </c>
    </row>
    <row r="756" spans="1:13" x14ac:dyDescent="0.25">
      <c r="A756">
        <v>23668</v>
      </c>
      <c r="B756" t="s">
        <v>34</v>
      </c>
      <c r="C756" t="s">
        <v>33</v>
      </c>
      <c r="D756" s="32">
        <v>40000</v>
      </c>
      <c r="E756">
        <v>4</v>
      </c>
      <c r="F756" t="s">
        <v>27</v>
      </c>
      <c r="G756" t="s">
        <v>21</v>
      </c>
      <c r="H756" t="s">
        <v>15</v>
      </c>
      <c r="I756">
        <v>2</v>
      </c>
      <c r="J756" t="s">
        <v>23</v>
      </c>
      <c r="K756" t="s">
        <v>32</v>
      </c>
      <c r="L756">
        <v>59</v>
      </c>
      <c r="M756" t="s">
        <v>15</v>
      </c>
    </row>
    <row r="757" spans="1:13" x14ac:dyDescent="0.25">
      <c r="A757">
        <v>27441</v>
      </c>
      <c r="B757" t="s">
        <v>34</v>
      </c>
      <c r="C757" t="s">
        <v>34</v>
      </c>
      <c r="D757" s="32">
        <v>60000</v>
      </c>
      <c r="E757">
        <v>3</v>
      </c>
      <c r="F757" t="s">
        <v>27</v>
      </c>
      <c r="G757" t="s">
        <v>21</v>
      </c>
      <c r="H757" t="s">
        <v>18</v>
      </c>
      <c r="I757">
        <v>2</v>
      </c>
      <c r="J757" t="s">
        <v>22</v>
      </c>
      <c r="K757" t="s">
        <v>32</v>
      </c>
      <c r="L757">
        <v>53</v>
      </c>
      <c r="M757" t="s">
        <v>18</v>
      </c>
    </row>
    <row r="758" spans="1:13" x14ac:dyDescent="0.25">
      <c r="A758">
        <v>27261</v>
      </c>
      <c r="B758" t="s">
        <v>34</v>
      </c>
      <c r="C758" t="s">
        <v>34</v>
      </c>
      <c r="D758" s="32">
        <v>40000</v>
      </c>
      <c r="E758">
        <v>1</v>
      </c>
      <c r="F758" t="s">
        <v>13</v>
      </c>
      <c r="G758" t="s">
        <v>14</v>
      </c>
      <c r="H758" t="s">
        <v>18</v>
      </c>
      <c r="I758">
        <v>1</v>
      </c>
      <c r="J758" t="s">
        <v>16</v>
      </c>
      <c r="K758" t="s">
        <v>32</v>
      </c>
      <c r="L758">
        <v>36</v>
      </c>
      <c r="M758" t="s">
        <v>15</v>
      </c>
    </row>
    <row r="759" spans="1:13" x14ac:dyDescent="0.25">
      <c r="A759">
        <v>18649</v>
      </c>
      <c r="B759" t="s">
        <v>35</v>
      </c>
      <c r="C759" t="s">
        <v>34</v>
      </c>
      <c r="D759" s="32">
        <v>30000</v>
      </c>
      <c r="E759">
        <v>1</v>
      </c>
      <c r="F759" t="s">
        <v>27</v>
      </c>
      <c r="G759" t="s">
        <v>20</v>
      </c>
      <c r="H759" t="s">
        <v>15</v>
      </c>
      <c r="I759">
        <v>2</v>
      </c>
      <c r="J759" t="s">
        <v>26</v>
      </c>
      <c r="K759" t="s">
        <v>32</v>
      </c>
      <c r="L759">
        <v>51</v>
      </c>
      <c r="M759" t="s">
        <v>15</v>
      </c>
    </row>
    <row r="760" spans="1:13" x14ac:dyDescent="0.25">
      <c r="A760">
        <v>21714</v>
      </c>
      <c r="B760" t="s">
        <v>35</v>
      </c>
      <c r="C760" t="s">
        <v>33</v>
      </c>
      <c r="D760" s="32">
        <v>80000</v>
      </c>
      <c r="E760">
        <v>5</v>
      </c>
      <c r="F760" t="s">
        <v>31</v>
      </c>
      <c r="G760" t="s">
        <v>14</v>
      </c>
      <c r="H760" t="s">
        <v>18</v>
      </c>
      <c r="I760">
        <v>0</v>
      </c>
      <c r="J760" t="s">
        <v>16</v>
      </c>
      <c r="K760" t="s">
        <v>32</v>
      </c>
      <c r="L760">
        <v>47</v>
      </c>
      <c r="M760" t="s">
        <v>18</v>
      </c>
    </row>
    <row r="761" spans="1:13" x14ac:dyDescent="0.25">
      <c r="A761">
        <v>23217</v>
      </c>
      <c r="B761" t="s">
        <v>35</v>
      </c>
      <c r="C761" t="s">
        <v>33</v>
      </c>
      <c r="D761" s="32">
        <v>60000</v>
      </c>
      <c r="E761">
        <v>3</v>
      </c>
      <c r="F761" t="s">
        <v>31</v>
      </c>
      <c r="G761" t="s">
        <v>21</v>
      </c>
      <c r="H761" t="s">
        <v>15</v>
      </c>
      <c r="I761">
        <v>0</v>
      </c>
      <c r="J761" t="s">
        <v>22</v>
      </c>
      <c r="K761" t="s">
        <v>32</v>
      </c>
      <c r="L761">
        <v>43</v>
      </c>
      <c r="M761" t="s">
        <v>15</v>
      </c>
    </row>
    <row r="762" spans="1:13" x14ac:dyDescent="0.25">
      <c r="A762">
        <v>23797</v>
      </c>
      <c r="B762" t="s">
        <v>35</v>
      </c>
      <c r="C762" t="s">
        <v>34</v>
      </c>
      <c r="D762" s="32">
        <v>20000</v>
      </c>
      <c r="E762">
        <v>3</v>
      </c>
      <c r="F762" t="s">
        <v>29</v>
      </c>
      <c r="G762" t="s">
        <v>20</v>
      </c>
      <c r="H762" t="s">
        <v>18</v>
      </c>
      <c r="I762">
        <v>2</v>
      </c>
      <c r="J762" t="s">
        <v>16</v>
      </c>
      <c r="K762" t="s">
        <v>32</v>
      </c>
      <c r="L762">
        <v>50</v>
      </c>
      <c r="M762" t="s">
        <v>18</v>
      </c>
    </row>
    <row r="763" spans="1:13" x14ac:dyDescent="0.25">
      <c r="A763">
        <v>13216</v>
      </c>
      <c r="B763" t="s">
        <v>34</v>
      </c>
      <c r="C763" t="s">
        <v>33</v>
      </c>
      <c r="D763" s="32">
        <v>60000</v>
      </c>
      <c r="E763">
        <v>5</v>
      </c>
      <c r="F763" t="s">
        <v>13</v>
      </c>
      <c r="G763" t="s">
        <v>28</v>
      </c>
      <c r="H763" t="s">
        <v>15</v>
      </c>
      <c r="I763">
        <v>3</v>
      </c>
      <c r="J763" t="s">
        <v>30</v>
      </c>
      <c r="K763" t="s">
        <v>32</v>
      </c>
      <c r="L763">
        <v>59</v>
      </c>
      <c r="M763" t="s">
        <v>18</v>
      </c>
    </row>
    <row r="764" spans="1:13" x14ac:dyDescent="0.25">
      <c r="A764">
        <v>20657</v>
      </c>
      <c r="B764" t="s">
        <v>35</v>
      </c>
      <c r="C764" t="s">
        <v>34</v>
      </c>
      <c r="D764" s="32">
        <v>50000</v>
      </c>
      <c r="E764">
        <v>2</v>
      </c>
      <c r="F764" t="s">
        <v>13</v>
      </c>
      <c r="G764" t="s">
        <v>14</v>
      </c>
      <c r="H764" t="s">
        <v>15</v>
      </c>
      <c r="I764">
        <v>0</v>
      </c>
      <c r="J764" t="s">
        <v>22</v>
      </c>
      <c r="K764" t="s">
        <v>32</v>
      </c>
      <c r="L764">
        <v>37</v>
      </c>
      <c r="M764" t="s">
        <v>15</v>
      </c>
    </row>
    <row r="765" spans="1:13" x14ac:dyDescent="0.25">
      <c r="A765">
        <v>12882</v>
      </c>
      <c r="B765" t="s">
        <v>34</v>
      </c>
      <c r="C765" t="s">
        <v>34</v>
      </c>
      <c r="D765" s="32">
        <v>50000</v>
      </c>
      <c r="E765">
        <v>1</v>
      </c>
      <c r="F765" t="s">
        <v>31</v>
      </c>
      <c r="G765" t="s">
        <v>14</v>
      </c>
      <c r="H765" t="s">
        <v>15</v>
      </c>
      <c r="I765">
        <v>0</v>
      </c>
      <c r="J765" t="s">
        <v>16</v>
      </c>
      <c r="K765" t="s">
        <v>32</v>
      </c>
      <c r="L765">
        <v>33</v>
      </c>
      <c r="M765" t="s">
        <v>15</v>
      </c>
    </row>
    <row r="766" spans="1:13" x14ac:dyDescent="0.25">
      <c r="A766">
        <v>25908</v>
      </c>
      <c r="B766" t="s">
        <v>34</v>
      </c>
      <c r="C766" t="s">
        <v>33</v>
      </c>
      <c r="D766" s="32">
        <v>60000</v>
      </c>
      <c r="E766">
        <v>0</v>
      </c>
      <c r="F766" t="s">
        <v>19</v>
      </c>
      <c r="G766" t="s">
        <v>14</v>
      </c>
      <c r="H766" t="s">
        <v>18</v>
      </c>
      <c r="I766">
        <v>1</v>
      </c>
      <c r="J766" t="s">
        <v>26</v>
      </c>
      <c r="K766" t="s">
        <v>32</v>
      </c>
      <c r="L766">
        <v>27</v>
      </c>
      <c r="M766" t="s">
        <v>18</v>
      </c>
    </row>
    <row r="767" spans="1:13" x14ac:dyDescent="0.25">
      <c r="A767">
        <v>16753</v>
      </c>
      <c r="B767" t="s">
        <v>35</v>
      </c>
      <c r="C767" t="s">
        <v>33</v>
      </c>
      <c r="D767" s="32">
        <v>70000</v>
      </c>
      <c r="E767">
        <v>0</v>
      </c>
      <c r="F767" t="s">
        <v>19</v>
      </c>
      <c r="G767" t="s">
        <v>14</v>
      </c>
      <c r="H767" t="s">
        <v>15</v>
      </c>
      <c r="I767">
        <v>2</v>
      </c>
      <c r="J767" t="s">
        <v>23</v>
      </c>
      <c r="K767" t="s">
        <v>32</v>
      </c>
      <c r="L767">
        <v>34</v>
      </c>
      <c r="M767" t="s">
        <v>15</v>
      </c>
    </row>
    <row r="768" spans="1:13" x14ac:dyDescent="0.25">
      <c r="A768">
        <v>14608</v>
      </c>
      <c r="B768" t="s">
        <v>34</v>
      </c>
      <c r="C768" t="s">
        <v>34</v>
      </c>
      <c r="D768" s="32">
        <v>50000</v>
      </c>
      <c r="E768">
        <v>4</v>
      </c>
      <c r="F768" t="s">
        <v>13</v>
      </c>
      <c r="G768" t="s">
        <v>14</v>
      </c>
      <c r="H768" t="s">
        <v>15</v>
      </c>
      <c r="I768">
        <v>3</v>
      </c>
      <c r="J768" t="s">
        <v>30</v>
      </c>
      <c r="K768" t="s">
        <v>32</v>
      </c>
      <c r="L768">
        <v>42</v>
      </c>
      <c r="M768" t="s">
        <v>18</v>
      </c>
    </row>
    <row r="769" spans="1:13" x14ac:dyDescent="0.25">
      <c r="A769">
        <v>24979</v>
      </c>
      <c r="B769" t="s">
        <v>34</v>
      </c>
      <c r="C769" t="s">
        <v>33</v>
      </c>
      <c r="D769" s="32">
        <v>60000</v>
      </c>
      <c r="E769">
        <v>2</v>
      </c>
      <c r="F769" t="s">
        <v>19</v>
      </c>
      <c r="G769" t="s">
        <v>21</v>
      </c>
      <c r="H769" t="s">
        <v>15</v>
      </c>
      <c r="I769">
        <v>2</v>
      </c>
      <c r="J769" t="s">
        <v>22</v>
      </c>
      <c r="K769" t="s">
        <v>32</v>
      </c>
      <c r="L769">
        <v>57</v>
      </c>
      <c r="M769" t="s">
        <v>15</v>
      </c>
    </row>
    <row r="770" spans="1:13" x14ac:dyDescent="0.25">
      <c r="A770">
        <v>13313</v>
      </c>
      <c r="B770" t="s">
        <v>34</v>
      </c>
      <c r="C770" t="s">
        <v>33</v>
      </c>
      <c r="D770" s="32">
        <v>120000</v>
      </c>
      <c r="E770">
        <v>1</v>
      </c>
      <c r="F770" t="s">
        <v>27</v>
      </c>
      <c r="G770" t="s">
        <v>21</v>
      </c>
      <c r="H770" t="s">
        <v>18</v>
      </c>
      <c r="I770">
        <v>4</v>
      </c>
      <c r="J770" t="s">
        <v>22</v>
      </c>
      <c r="K770" t="s">
        <v>32</v>
      </c>
      <c r="L770">
        <v>45</v>
      </c>
      <c r="M770" t="s">
        <v>18</v>
      </c>
    </row>
    <row r="771" spans="1:13" x14ac:dyDescent="0.25">
      <c r="A771">
        <v>18952</v>
      </c>
      <c r="B771" t="s">
        <v>34</v>
      </c>
      <c r="C771" t="s">
        <v>33</v>
      </c>
      <c r="D771" s="32">
        <v>100000</v>
      </c>
      <c r="E771">
        <v>4</v>
      </c>
      <c r="F771" t="s">
        <v>13</v>
      </c>
      <c r="G771" t="s">
        <v>28</v>
      </c>
      <c r="H771" t="s">
        <v>15</v>
      </c>
      <c r="I771">
        <v>4</v>
      </c>
      <c r="J771" t="s">
        <v>16</v>
      </c>
      <c r="K771" t="s">
        <v>32</v>
      </c>
      <c r="L771">
        <v>40</v>
      </c>
      <c r="M771" t="s">
        <v>18</v>
      </c>
    </row>
    <row r="772" spans="1:13" x14ac:dyDescent="0.25">
      <c r="A772">
        <v>17699</v>
      </c>
      <c r="B772" t="s">
        <v>34</v>
      </c>
      <c r="C772" t="s">
        <v>34</v>
      </c>
      <c r="D772" s="32">
        <v>60000</v>
      </c>
      <c r="E772">
        <v>1</v>
      </c>
      <c r="F772" t="s">
        <v>31</v>
      </c>
      <c r="G772" t="s">
        <v>14</v>
      </c>
      <c r="H772" t="s">
        <v>18</v>
      </c>
      <c r="I772">
        <v>0</v>
      </c>
      <c r="J772" t="s">
        <v>16</v>
      </c>
      <c r="K772" t="s">
        <v>32</v>
      </c>
      <c r="L772">
        <v>55</v>
      </c>
      <c r="M772" t="s">
        <v>18</v>
      </c>
    </row>
    <row r="773" spans="1:13" x14ac:dyDescent="0.25">
      <c r="A773">
        <v>14657</v>
      </c>
      <c r="B773" t="s">
        <v>34</v>
      </c>
      <c r="C773" t="s">
        <v>34</v>
      </c>
      <c r="D773" s="32">
        <v>80000</v>
      </c>
      <c r="E773">
        <v>1</v>
      </c>
      <c r="F773" t="s">
        <v>19</v>
      </c>
      <c r="G773" t="s">
        <v>14</v>
      </c>
      <c r="H773" t="s">
        <v>18</v>
      </c>
      <c r="I773">
        <v>1</v>
      </c>
      <c r="J773" t="s">
        <v>16</v>
      </c>
      <c r="K773" t="s">
        <v>32</v>
      </c>
      <c r="L773">
        <v>47</v>
      </c>
      <c r="M773" t="s">
        <v>15</v>
      </c>
    </row>
    <row r="774" spans="1:13" x14ac:dyDescent="0.25">
      <c r="A774">
        <v>11540</v>
      </c>
      <c r="B774" t="s">
        <v>35</v>
      </c>
      <c r="C774" t="s">
        <v>34</v>
      </c>
      <c r="D774" s="32">
        <v>60000</v>
      </c>
      <c r="E774">
        <v>4</v>
      </c>
      <c r="F774" t="s">
        <v>31</v>
      </c>
      <c r="G774" t="s">
        <v>14</v>
      </c>
      <c r="H774" t="s">
        <v>15</v>
      </c>
      <c r="I774">
        <v>0</v>
      </c>
      <c r="J774" t="s">
        <v>26</v>
      </c>
      <c r="K774" t="s">
        <v>32</v>
      </c>
      <c r="L774">
        <v>47</v>
      </c>
      <c r="M774" t="s">
        <v>15</v>
      </c>
    </row>
    <row r="775" spans="1:13" x14ac:dyDescent="0.25">
      <c r="A775">
        <v>11783</v>
      </c>
      <c r="B775" t="s">
        <v>34</v>
      </c>
      <c r="C775" t="s">
        <v>33</v>
      </c>
      <c r="D775" s="32">
        <v>60000</v>
      </c>
      <c r="E775">
        <v>1</v>
      </c>
      <c r="F775" t="s">
        <v>31</v>
      </c>
      <c r="G775" t="s">
        <v>14</v>
      </c>
      <c r="H775" t="s">
        <v>15</v>
      </c>
      <c r="I775">
        <v>0</v>
      </c>
      <c r="J775" t="s">
        <v>16</v>
      </c>
      <c r="K775" t="s">
        <v>32</v>
      </c>
      <c r="L775">
        <v>34</v>
      </c>
      <c r="M775" t="s">
        <v>18</v>
      </c>
    </row>
    <row r="776" spans="1:13" x14ac:dyDescent="0.25">
      <c r="A776">
        <v>14602</v>
      </c>
      <c r="B776" t="s">
        <v>34</v>
      </c>
      <c r="C776" t="s">
        <v>33</v>
      </c>
      <c r="D776" s="32">
        <v>80000</v>
      </c>
      <c r="E776">
        <v>3</v>
      </c>
      <c r="F776" t="s">
        <v>31</v>
      </c>
      <c r="G776" t="s">
        <v>21</v>
      </c>
      <c r="H776" t="s">
        <v>15</v>
      </c>
      <c r="I776">
        <v>0</v>
      </c>
      <c r="J776" t="s">
        <v>16</v>
      </c>
      <c r="K776" t="s">
        <v>32</v>
      </c>
      <c r="L776">
        <v>36</v>
      </c>
      <c r="M776" t="s">
        <v>15</v>
      </c>
    </row>
    <row r="777" spans="1:13" x14ac:dyDescent="0.25">
      <c r="A777">
        <v>29030</v>
      </c>
      <c r="B777" t="s">
        <v>34</v>
      </c>
      <c r="C777" t="s">
        <v>34</v>
      </c>
      <c r="D777" s="32">
        <v>70000</v>
      </c>
      <c r="E777">
        <v>2</v>
      </c>
      <c r="F777" t="s">
        <v>29</v>
      </c>
      <c r="G777" t="s">
        <v>14</v>
      </c>
      <c r="H777" t="s">
        <v>15</v>
      </c>
      <c r="I777">
        <v>2</v>
      </c>
      <c r="J777" t="s">
        <v>30</v>
      </c>
      <c r="K777" t="s">
        <v>32</v>
      </c>
      <c r="L777">
        <v>54</v>
      </c>
      <c r="M777" t="s">
        <v>18</v>
      </c>
    </row>
    <row r="778" spans="1:13" x14ac:dyDescent="0.25">
      <c r="A778">
        <v>26490</v>
      </c>
      <c r="B778" t="s">
        <v>35</v>
      </c>
      <c r="C778" t="s">
        <v>34</v>
      </c>
      <c r="D778" s="32">
        <v>70000</v>
      </c>
      <c r="E778">
        <v>2</v>
      </c>
      <c r="F778" t="s">
        <v>13</v>
      </c>
      <c r="G778" t="s">
        <v>28</v>
      </c>
      <c r="H778" t="s">
        <v>18</v>
      </c>
      <c r="I778">
        <v>1</v>
      </c>
      <c r="J778" t="s">
        <v>22</v>
      </c>
      <c r="K778" t="s">
        <v>32</v>
      </c>
      <c r="L778">
        <v>59</v>
      </c>
      <c r="M778" t="s">
        <v>15</v>
      </c>
    </row>
    <row r="779" spans="1:13" x14ac:dyDescent="0.25">
      <c r="A779">
        <v>13151</v>
      </c>
      <c r="B779" t="s">
        <v>35</v>
      </c>
      <c r="C779" t="s">
        <v>34</v>
      </c>
      <c r="D779" s="32">
        <v>40000</v>
      </c>
      <c r="E779">
        <v>0</v>
      </c>
      <c r="F779" t="s">
        <v>27</v>
      </c>
      <c r="G779" t="s">
        <v>14</v>
      </c>
      <c r="H779" t="s">
        <v>15</v>
      </c>
      <c r="I779">
        <v>2</v>
      </c>
      <c r="J779" t="s">
        <v>23</v>
      </c>
      <c r="K779" t="s">
        <v>32</v>
      </c>
      <c r="L779">
        <v>27</v>
      </c>
      <c r="M779" t="s">
        <v>18</v>
      </c>
    </row>
    <row r="780" spans="1:13" x14ac:dyDescent="0.25">
      <c r="A780">
        <v>17260</v>
      </c>
      <c r="B780" t="s">
        <v>34</v>
      </c>
      <c r="C780" t="s">
        <v>34</v>
      </c>
      <c r="D780" s="32">
        <v>90000</v>
      </c>
      <c r="E780">
        <v>5</v>
      </c>
      <c r="F780" t="s">
        <v>19</v>
      </c>
      <c r="G780" t="s">
        <v>21</v>
      </c>
      <c r="H780" t="s">
        <v>15</v>
      </c>
      <c r="I780">
        <v>3</v>
      </c>
      <c r="J780" t="s">
        <v>16</v>
      </c>
      <c r="K780" t="s">
        <v>32</v>
      </c>
      <c r="L780">
        <v>41</v>
      </c>
      <c r="M780" t="s">
        <v>18</v>
      </c>
    </row>
    <row r="781" spans="1:13" x14ac:dyDescent="0.25">
      <c r="A781">
        <v>15372</v>
      </c>
      <c r="B781" t="s">
        <v>34</v>
      </c>
      <c r="C781" t="s">
        <v>34</v>
      </c>
      <c r="D781" s="32">
        <v>80000</v>
      </c>
      <c r="E781">
        <v>3</v>
      </c>
      <c r="F781" t="s">
        <v>19</v>
      </c>
      <c r="G781" t="s">
        <v>21</v>
      </c>
      <c r="H781" t="s">
        <v>18</v>
      </c>
      <c r="I781">
        <v>2</v>
      </c>
      <c r="J781" t="s">
        <v>22</v>
      </c>
      <c r="K781" t="s">
        <v>32</v>
      </c>
      <c r="L781">
        <v>50</v>
      </c>
      <c r="M781" t="s">
        <v>15</v>
      </c>
    </row>
    <row r="782" spans="1:13" x14ac:dyDescent="0.25">
      <c r="A782">
        <v>18105</v>
      </c>
      <c r="B782" t="s">
        <v>34</v>
      </c>
      <c r="C782" t="s">
        <v>33</v>
      </c>
      <c r="D782" s="32">
        <v>60000</v>
      </c>
      <c r="E782">
        <v>2</v>
      </c>
      <c r="F782" t="s">
        <v>19</v>
      </c>
      <c r="G782" t="s">
        <v>21</v>
      </c>
      <c r="H782" t="s">
        <v>15</v>
      </c>
      <c r="I782">
        <v>1</v>
      </c>
      <c r="J782" t="s">
        <v>30</v>
      </c>
      <c r="K782" t="s">
        <v>32</v>
      </c>
      <c r="L782">
        <v>55</v>
      </c>
      <c r="M782" t="s">
        <v>18</v>
      </c>
    </row>
    <row r="783" spans="1:13" x14ac:dyDescent="0.25">
      <c r="A783">
        <v>19660</v>
      </c>
      <c r="B783" t="s">
        <v>34</v>
      </c>
      <c r="C783" t="s">
        <v>34</v>
      </c>
      <c r="D783" s="32">
        <v>80000</v>
      </c>
      <c r="E783">
        <v>4</v>
      </c>
      <c r="F783" t="s">
        <v>13</v>
      </c>
      <c r="G783" t="s">
        <v>28</v>
      </c>
      <c r="H783" t="s">
        <v>15</v>
      </c>
      <c r="I783">
        <v>0</v>
      </c>
      <c r="J783" t="s">
        <v>16</v>
      </c>
      <c r="K783" t="s">
        <v>32</v>
      </c>
      <c r="L783">
        <v>43</v>
      </c>
      <c r="M783" t="s">
        <v>18</v>
      </c>
    </row>
    <row r="784" spans="1:13" x14ac:dyDescent="0.25">
      <c r="A784">
        <v>16112</v>
      </c>
      <c r="B784" t="s">
        <v>35</v>
      </c>
      <c r="C784" t="s">
        <v>34</v>
      </c>
      <c r="D784" s="32">
        <v>70000</v>
      </c>
      <c r="E784">
        <v>4</v>
      </c>
      <c r="F784" t="s">
        <v>13</v>
      </c>
      <c r="G784" t="s">
        <v>21</v>
      </c>
      <c r="H784" t="s">
        <v>15</v>
      </c>
      <c r="I784">
        <v>2</v>
      </c>
      <c r="J784" t="s">
        <v>22</v>
      </c>
      <c r="K784" t="s">
        <v>32</v>
      </c>
      <c r="L784">
        <v>43</v>
      </c>
      <c r="M784" t="s">
        <v>15</v>
      </c>
    </row>
    <row r="785" spans="1:13" x14ac:dyDescent="0.25">
      <c r="A785">
        <v>20698</v>
      </c>
      <c r="B785" t="s">
        <v>34</v>
      </c>
      <c r="C785" t="s">
        <v>34</v>
      </c>
      <c r="D785" s="32">
        <v>60000</v>
      </c>
      <c r="E785">
        <v>4</v>
      </c>
      <c r="F785" t="s">
        <v>13</v>
      </c>
      <c r="G785" t="s">
        <v>14</v>
      </c>
      <c r="H785" t="s">
        <v>15</v>
      </c>
      <c r="I785">
        <v>3</v>
      </c>
      <c r="J785" t="s">
        <v>23</v>
      </c>
      <c r="K785" t="s">
        <v>32</v>
      </c>
      <c r="L785">
        <v>42</v>
      </c>
      <c r="M785" t="s">
        <v>18</v>
      </c>
    </row>
    <row r="786" spans="1:13" x14ac:dyDescent="0.25">
      <c r="A786">
        <v>20076</v>
      </c>
      <c r="B786" t="s">
        <v>35</v>
      </c>
      <c r="C786" t="s">
        <v>33</v>
      </c>
      <c r="D786" s="32">
        <v>10000</v>
      </c>
      <c r="E786">
        <v>2</v>
      </c>
      <c r="F786" t="s">
        <v>27</v>
      </c>
      <c r="G786" t="s">
        <v>25</v>
      </c>
      <c r="H786" t="s">
        <v>15</v>
      </c>
      <c r="I786">
        <v>2</v>
      </c>
      <c r="J786" t="s">
        <v>26</v>
      </c>
      <c r="K786" t="s">
        <v>32</v>
      </c>
      <c r="L786">
        <v>53</v>
      </c>
      <c r="M786" t="s">
        <v>15</v>
      </c>
    </row>
    <row r="787" spans="1:13" x14ac:dyDescent="0.25">
      <c r="A787">
        <v>24496</v>
      </c>
      <c r="B787" t="s">
        <v>35</v>
      </c>
      <c r="C787" t="s">
        <v>33</v>
      </c>
      <c r="D787" s="32">
        <v>40000</v>
      </c>
      <c r="E787">
        <v>0</v>
      </c>
      <c r="F787" t="s">
        <v>27</v>
      </c>
      <c r="G787" t="s">
        <v>14</v>
      </c>
      <c r="H787" t="s">
        <v>18</v>
      </c>
      <c r="I787">
        <v>2</v>
      </c>
      <c r="J787" t="s">
        <v>16</v>
      </c>
      <c r="K787" t="s">
        <v>32</v>
      </c>
      <c r="L787">
        <v>28</v>
      </c>
      <c r="M787" t="s">
        <v>15</v>
      </c>
    </row>
    <row r="788" spans="1:13" x14ac:dyDescent="0.25">
      <c r="A788">
        <v>15468</v>
      </c>
      <c r="B788" t="s">
        <v>34</v>
      </c>
      <c r="C788" t="s">
        <v>33</v>
      </c>
      <c r="D788" s="32">
        <v>50000</v>
      </c>
      <c r="E788">
        <v>1</v>
      </c>
      <c r="F788" t="s">
        <v>13</v>
      </c>
      <c r="G788" t="s">
        <v>14</v>
      </c>
      <c r="H788" t="s">
        <v>15</v>
      </c>
      <c r="I788">
        <v>1</v>
      </c>
      <c r="J788" t="s">
        <v>16</v>
      </c>
      <c r="K788" t="s">
        <v>32</v>
      </c>
      <c r="L788">
        <v>35</v>
      </c>
      <c r="M788" t="s">
        <v>18</v>
      </c>
    </row>
    <row r="789" spans="1:13" x14ac:dyDescent="0.25">
      <c r="A789">
        <v>28031</v>
      </c>
      <c r="B789" t="s">
        <v>35</v>
      </c>
      <c r="C789" t="s">
        <v>33</v>
      </c>
      <c r="D789" s="32">
        <v>70000</v>
      </c>
      <c r="E789">
        <v>2</v>
      </c>
      <c r="F789" t="s">
        <v>13</v>
      </c>
      <c r="G789" t="s">
        <v>28</v>
      </c>
      <c r="H789" t="s">
        <v>18</v>
      </c>
      <c r="I789">
        <v>1</v>
      </c>
      <c r="J789" t="s">
        <v>22</v>
      </c>
      <c r="K789" t="s">
        <v>32</v>
      </c>
      <c r="L789">
        <v>59</v>
      </c>
      <c r="M789" t="s">
        <v>15</v>
      </c>
    </row>
    <row r="790" spans="1:13" x14ac:dyDescent="0.25">
      <c r="A790">
        <v>26270</v>
      </c>
      <c r="B790" t="s">
        <v>35</v>
      </c>
      <c r="C790" t="s">
        <v>33</v>
      </c>
      <c r="D790" s="32">
        <v>20000</v>
      </c>
      <c r="E790">
        <v>2</v>
      </c>
      <c r="F790" t="s">
        <v>29</v>
      </c>
      <c r="G790" t="s">
        <v>20</v>
      </c>
      <c r="H790" t="s">
        <v>15</v>
      </c>
      <c r="I790">
        <v>2</v>
      </c>
      <c r="J790" t="s">
        <v>26</v>
      </c>
      <c r="K790" t="s">
        <v>32</v>
      </c>
      <c r="L790">
        <v>49</v>
      </c>
      <c r="M790" t="s">
        <v>18</v>
      </c>
    </row>
    <row r="791" spans="1:13" x14ac:dyDescent="0.25">
      <c r="A791">
        <v>22221</v>
      </c>
      <c r="B791" t="s">
        <v>34</v>
      </c>
      <c r="C791" t="s">
        <v>34</v>
      </c>
      <c r="D791" s="32">
        <v>60000</v>
      </c>
      <c r="E791">
        <v>2</v>
      </c>
      <c r="F791" t="s">
        <v>27</v>
      </c>
      <c r="G791" t="s">
        <v>21</v>
      </c>
      <c r="H791" t="s">
        <v>18</v>
      </c>
      <c r="I791">
        <v>2</v>
      </c>
      <c r="J791" t="s">
        <v>26</v>
      </c>
      <c r="K791" t="s">
        <v>32</v>
      </c>
      <c r="L791">
        <v>48</v>
      </c>
      <c r="M791" t="s">
        <v>15</v>
      </c>
    </row>
    <row r="792" spans="1:13" x14ac:dyDescent="0.25">
      <c r="A792">
        <v>28228</v>
      </c>
      <c r="B792" t="s">
        <v>35</v>
      </c>
      <c r="C792" t="s">
        <v>33</v>
      </c>
      <c r="D792" s="32">
        <v>80000</v>
      </c>
      <c r="E792">
        <v>2</v>
      </c>
      <c r="F792" t="s">
        <v>29</v>
      </c>
      <c r="G792" t="s">
        <v>14</v>
      </c>
      <c r="H792" t="s">
        <v>18</v>
      </c>
      <c r="I792">
        <v>2</v>
      </c>
      <c r="J792" t="s">
        <v>26</v>
      </c>
      <c r="K792" t="s">
        <v>32</v>
      </c>
      <c r="L792">
        <v>50</v>
      </c>
      <c r="M792" t="s">
        <v>18</v>
      </c>
    </row>
    <row r="793" spans="1:13" x14ac:dyDescent="0.25">
      <c r="A793">
        <v>18363</v>
      </c>
      <c r="B793" t="s">
        <v>34</v>
      </c>
      <c r="C793" t="s">
        <v>34</v>
      </c>
      <c r="D793" s="32">
        <v>40000</v>
      </c>
      <c r="E793">
        <v>0</v>
      </c>
      <c r="F793" t="s">
        <v>27</v>
      </c>
      <c r="G793" t="s">
        <v>14</v>
      </c>
      <c r="H793" t="s">
        <v>15</v>
      </c>
      <c r="I793">
        <v>2</v>
      </c>
      <c r="J793" t="s">
        <v>23</v>
      </c>
      <c r="K793" t="s">
        <v>32</v>
      </c>
      <c r="L793">
        <v>28</v>
      </c>
      <c r="M793" t="s">
        <v>15</v>
      </c>
    </row>
    <row r="794" spans="1:13" x14ac:dyDescent="0.25">
      <c r="A794">
        <v>23256</v>
      </c>
      <c r="B794" t="s">
        <v>35</v>
      </c>
      <c r="C794" t="s">
        <v>34</v>
      </c>
      <c r="D794" s="32">
        <v>30000</v>
      </c>
      <c r="E794">
        <v>1</v>
      </c>
      <c r="F794" t="s">
        <v>27</v>
      </c>
      <c r="G794" t="s">
        <v>20</v>
      </c>
      <c r="H794" t="s">
        <v>18</v>
      </c>
      <c r="I794">
        <v>1</v>
      </c>
      <c r="J794" t="s">
        <v>23</v>
      </c>
      <c r="K794" t="s">
        <v>32</v>
      </c>
      <c r="L794">
        <v>52</v>
      </c>
      <c r="M794" t="s">
        <v>18</v>
      </c>
    </row>
    <row r="795" spans="1:13" x14ac:dyDescent="0.25">
      <c r="A795">
        <v>12768</v>
      </c>
      <c r="B795" t="s">
        <v>34</v>
      </c>
      <c r="C795" t="s">
        <v>34</v>
      </c>
      <c r="D795" s="32">
        <v>30000</v>
      </c>
      <c r="E795">
        <v>1</v>
      </c>
      <c r="F795" t="s">
        <v>27</v>
      </c>
      <c r="G795" t="s">
        <v>20</v>
      </c>
      <c r="H795" t="s">
        <v>15</v>
      </c>
      <c r="I795">
        <v>1</v>
      </c>
      <c r="J795" t="s">
        <v>22</v>
      </c>
      <c r="K795" t="s">
        <v>32</v>
      </c>
      <c r="L795">
        <v>52</v>
      </c>
      <c r="M795" t="s">
        <v>15</v>
      </c>
    </row>
    <row r="796" spans="1:13" x14ac:dyDescent="0.25">
      <c r="A796">
        <v>20361</v>
      </c>
      <c r="B796" t="s">
        <v>34</v>
      </c>
      <c r="C796" t="s">
        <v>34</v>
      </c>
      <c r="D796" s="32">
        <v>50000</v>
      </c>
      <c r="E796">
        <v>2</v>
      </c>
      <c r="F796" t="s">
        <v>31</v>
      </c>
      <c r="G796" t="s">
        <v>28</v>
      </c>
      <c r="H796" t="s">
        <v>15</v>
      </c>
      <c r="I796">
        <v>2</v>
      </c>
      <c r="J796" t="s">
        <v>23</v>
      </c>
      <c r="K796" t="s">
        <v>32</v>
      </c>
      <c r="L796">
        <v>69</v>
      </c>
      <c r="M796" t="s">
        <v>18</v>
      </c>
    </row>
    <row r="797" spans="1:13" x14ac:dyDescent="0.25">
      <c r="A797">
        <v>21306</v>
      </c>
      <c r="B797" t="s">
        <v>35</v>
      </c>
      <c r="C797" t="s">
        <v>34</v>
      </c>
      <c r="D797" s="32">
        <v>60000</v>
      </c>
      <c r="E797">
        <v>2</v>
      </c>
      <c r="F797" t="s">
        <v>27</v>
      </c>
      <c r="G797" t="s">
        <v>21</v>
      </c>
      <c r="H797" t="s">
        <v>15</v>
      </c>
      <c r="I797">
        <v>2</v>
      </c>
      <c r="J797" t="s">
        <v>23</v>
      </c>
      <c r="K797" t="s">
        <v>32</v>
      </c>
      <c r="L797">
        <v>51</v>
      </c>
      <c r="M797" t="s">
        <v>18</v>
      </c>
    </row>
    <row r="798" spans="1:13" x14ac:dyDescent="0.25">
      <c r="A798">
        <v>13382</v>
      </c>
      <c r="B798" t="s">
        <v>34</v>
      </c>
      <c r="C798" t="s">
        <v>34</v>
      </c>
      <c r="D798" s="32">
        <v>70000</v>
      </c>
      <c r="E798">
        <v>5</v>
      </c>
      <c r="F798" t="s">
        <v>19</v>
      </c>
      <c r="G798" t="s">
        <v>21</v>
      </c>
      <c r="H798" t="s">
        <v>15</v>
      </c>
      <c r="I798">
        <v>2</v>
      </c>
      <c r="J798" t="s">
        <v>26</v>
      </c>
      <c r="K798" t="s">
        <v>32</v>
      </c>
      <c r="L798">
        <v>57</v>
      </c>
      <c r="M798" t="s">
        <v>15</v>
      </c>
    </row>
    <row r="799" spans="1:13" x14ac:dyDescent="0.25">
      <c r="A799">
        <v>20310</v>
      </c>
      <c r="B799" t="s">
        <v>35</v>
      </c>
      <c r="C799" t="s">
        <v>34</v>
      </c>
      <c r="D799" s="32">
        <v>60000</v>
      </c>
      <c r="E799">
        <v>0</v>
      </c>
      <c r="F799" t="s">
        <v>19</v>
      </c>
      <c r="G799" t="s">
        <v>14</v>
      </c>
      <c r="H799" t="s">
        <v>15</v>
      </c>
      <c r="I799">
        <v>1</v>
      </c>
      <c r="J799" t="s">
        <v>23</v>
      </c>
      <c r="K799" t="s">
        <v>32</v>
      </c>
      <c r="L799">
        <v>27</v>
      </c>
      <c r="M799" t="s">
        <v>15</v>
      </c>
    </row>
    <row r="800" spans="1:13" x14ac:dyDescent="0.25">
      <c r="A800">
        <v>22971</v>
      </c>
      <c r="B800" t="s">
        <v>35</v>
      </c>
      <c r="C800" t="s">
        <v>33</v>
      </c>
      <c r="D800" s="32">
        <v>30000</v>
      </c>
      <c r="E800">
        <v>0</v>
      </c>
      <c r="F800" t="s">
        <v>27</v>
      </c>
      <c r="G800" t="s">
        <v>14</v>
      </c>
      <c r="H800" t="s">
        <v>18</v>
      </c>
      <c r="I800">
        <v>2</v>
      </c>
      <c r="J800" t="s">
        <v>16</v>
      </c>
      <c r="K800" t="s">
        <v>32</v>
      </c>
      <c r="L800">
        <v>25</v>
      </c>
      <c r="M800" t="s">
        <v>15</v>
      </c>
    </row>
    <row r="801" spans="1:13" x14ac:dyDescent="0.25">
      <c r="A801">
        <v>15287</v>
      </c>
      <c r="B801" t="s">
        <v>35</v>
      </c>
      <c r="C801" t="s">
        <v>33</v>
      </c>
      <c r="D801" s="32">
        <v>50000</v>
      </c>
      <c r="E801">
        <v>1</v>
      </c>
      <c r="F801" t="s">
        <v>31</v>
      </c>
      <c r="G801" t="s">
        <v>14</v>
      </c>
      <c r="H801" t="s">
        <v>15</v>
      </c>
      <c r="I801">
        <v>0</v>
      </c>
      <c r="J801" t="s">
        <v>26</v>
      </c>
      <c r="K801" t="s">
        <v>32</v>
      </c>
      <c r="L801">
        <v>33</v>
      </c>
      <c r="M801" t="s">
        <v>15</v>
      </c>
    </row>
    <row r="802" spans="1:13" x14ac:dyDescent="0.25">
      <c r="A802">
        <v>15532</v>
      </c>
      <c r="B802" t="s">
        <v>35</v>
      </c>
      <c r="C802" t="s">
        <v>34</v>
      </c>
      <c r="D802" s="32">
        <v>60000</v>
      </c>
      <c r="E802">
        <v>4</v>
      </c>
      <c r="F802" t="s">
        <v>13</v>
      </c>
      <c r="G802" t="s">
        <v>21</v>
      </c>
      <c r="H802" t="s">
        <v>15</v>
      </c>
      <c r="I802">
        <v>2</v>
      </c>
      <c r="J802" t="s">
        <v>22</v>
      </c>
      <c r="K802" t="s">
        <v>32</v>
      </c>
      <c r="L802">
        <v>43</v>
      </c>
      <c r="M802" t="s">
        <v>15</v>
      </c>
    </row>
    <row r="803" spans="1:13" x14ac:dyDescent="0.25">
      <c r="A803">
        <v>11255</v>
      </c>
      <c r="B803" t="s">
        <v>34</v>
      </c>
      <c r="C803" t="s">
        <v>34</v>
      </c>
      <c r="D803" s="32">
        <v>70000</v>
      </c>
      <c r="E803">
        <v>4</v>
      </c>
      <c r="F803" t="s">
        <v>31</v>
      </c>
      <c r="G803" t="s">
        <v>28</v>
      </c>
      <c r="H803" t="s">
        <v>15</v>
      </c>
      <c r="I803">
        <v>2</v>
      </c>
      <c r="J803" t="s">
        <v>23</v>
      </c>
      <c r="K803" t="s">
        <v>32</v>
      </c>
      <c r="L803">
        <v>73</v>
      </c>
      <c r="M803" t="s">
        <v>18</v>
      </c>
    </row>
    <row r="804" spans="1:13" x14ac:dyDescent="0.25">
      <c r="A804">
        <v>28090</v>
      </c>
      <c r="B804" t="s">
        <v>34</v>
      </c>
      <c r="C804" t="s">
        <v>34</v>
      </c>
      <c r="D804" s="32">
        <v>40000</v>
      </c>
      <c r="E804">
        <v>0</v>
      </c>
      <c r="F804" t="s">
        <v>19</v>
      </c>
      <c r="G804" t="s">
        <v>14</v>
      </c>
      <c r="H804" t="s">
        <v>15</v>
      </c>
      <c r="I804">
        <v>1</v>
      </c>
      <c r="J804" t="s">
        <v>23</v>
      </c>
      <c r="K804" t="s">
        <v>32</v>
      </c>
      <c r="L804">
        <v>27</v>
      </c>
      <c r="M804" t="s">
        <v>18</v>
      </c>
    </row>
    <row r="805" spans="1:13" x14ac:dyDescent="0.25">
      <c r="A805">
        <v>15255</v>
      </c>
      <c r="B805" t="s">
        <v>34</v>
      </c>
      <c r="C805" t="s">
        <v>34</v>
      </c>
      <c r="D805" s="32">
        <v>40000</v>
      </c>
      <c r="E805">
        <v>0</v>
      </c>
      <c r="F805" t="s">
        <v>27</v>
      </c>
      <c r="G805" t="s">
        <v>14</v>
      </c>
      <c r="H805" t="s">
        <v>15</v>
      </c>
      <c r="I805">
        <v>2</v>
      </c>
      <c r="J805" t="s">
        <v>23</v>
      </c>
      <c r="K805" t="s">
        <v>32</v>
      </c>
      <c r="L805">
        <v>28</v>
      </c>
      <c r="M805" t="s">
        <v>15</v>
      </c>
    </row>
    <row r="806" spans="1:13" x14ac:dyDescent="0.25">
      <c r="A806">
        <v>13154</v>
      </c>
      <c r="B806" t="s">
        <v>34</v>
      </c>
      <c r="C806" t="s">
        <v>34</v>
      </c>
      <c r="D806" s="32">
        <v>40000</v>
      </c>
      <c r="E806">
        <v>0</v>
      </c>
      <c r="F806" t="s">
        <v>27</v>
      </c>
      <c r="G806" t="s">
        <v>14</v>
      </c>
      <c r="H806" t="s">
        <v>18</v>
      </c>
      <c r="I806">
        <v>2</v>
      </c>
      <c r="J806" t="s">
        <v>16</v>
      </c>
      <c r="K806" t="s">
        <v>32</v>
      </c>
      <c r="L806">
        <v>27</v>
      </c>
      <c r="M806" t="s">
        <v>15</v>
      </c>
    </row>
    <row r="807" spans="1:13" x14ac:dyDescent="0.25">
      <c r="A807">
        <v>26778</v>
      </c>
      <c r="B807" t="s">
        <v>35</v>
      </c>
      <c r="C807" t="s">
        <v>33</v>
      </c>
      <c r="D807" s="32">
        <v>40000</v>
      </c>
      <c r="E807">
        <v>0</v>
      </c>
      <c r="F807" t="s">
        <v>27</v>
      </c>
      <c r="G807" t="s">
        <v>14</v>
      </c>
      <c r="H807" t="s">
        <v>15</v>
      </c>
      <c r="I807">
        <v>2</v>
      </c>
      <c r="J807" t="s">
        <v>23</v>
      </c>
      <c r="K807" t="s">
        <v>32</v>
      </c>
      <c r="L807">
        <v>31</v>
      </c>
      <c r="M807" t="s">
        <v>18</v>
      </c>
    </row>
    <row r="808" spans="1:13" x14ac:dyDescent="0.25">
      <c r="A808">
        <v>23248</v>
      </c>
      <c r="B808" t="s">
        <v>34</v>
      </c>
      <c r="C808" t="s">
        <v>33</v>
      </c>
      <c r="D808" s="32">
        <v>10000</v>
      </c>
      <c r="E808">
        <v>2</v>
      </c>
      <c r="F808" t="s">
        <v>27</v>
      </c>
      <c r="G808" t="s">
        <v>25</v>
      </c>
      <c r="H808" t="s">
        <v>15</v>
      </c>
      <c r="I808">
        <v>2</v>
      </c>
      <c r="J808" t="s">
        <v>26</v>
      </c>
      <c r="K808" t="s">
        <v>32</v>
      </c>
      <c r="L808">
        <v>53</v>
      </c>
      <c r="M808" t="s">
        <v>18</v>
      </c>
    </row>
    <row r="809" spans="1:13" x14ac:dyDescent="0.25">
      <c r="A809">
        <v>21417</v>
      </c>
      <c r="B809" t="s">
        <v>35</v>
      </c>
      <c r="C809" t="s">
        <v>33</v>
      </c>
      <c r="D809" s="32">
        <v>60000</v>
      </c>
      <c r="E809">
        <v>0</v>
      </c>
      <c r="F809" t="s">
        <v>19</v>
      </c>
      <c r="G809" t="s">
        <v>21</v>
      </c>
      <c r="H809" t="s">
        <v>18</v>
      </c>
      <c r="I809">
        <v>2</v>
      </c>
      <c r="J809" t="s">
        <v>26</v>
      </c>
      <c r="K809" t="s">
        <v>32</v>
      </c>
      <c r="L809">
        <v>32</v>
      </c>
      <c r="M809" t="s">
        <v>15</v>
      </c>
    </row>
    <row r="810" spans="1:13" x14ac:dyDescent="0.25">
      <c r="A810">
        <v>17668</v>
      </c>
      <c r="B810" t="s">
        <v>35</v>
      </c>
      <c r="C810" t="s">
        <v>34</v>
      </c>
      <c r="D810" s="32">
        <v>30000</v>
      </c>
      <c r="E810">
        <v>2</v>
      </c>
      <c r="F810" t="s">
        <v>27</v>
      </c>
      <c r="G810" t="s">
        <v>14</v>
      </c>
      <c r="H810" t="s">
        <v>15</v>
      </c>
      <c r="I810">
        <v>2</v>
      </c>
      <c r="J810" t="s">
        <v>26</v>
      </c>
      <c r="K810" t="s">
        <v>32</v>
      </c>
      <c r="L810">
        <v>50</v>
      </c>
      <c r="M810" t="s">
        <v>15</v>
      </c>
    </row>
    <row r="811" spans="1:13" x14ac:dyDescent="0.25">
      <c r="A811">
        <v>27994</v>
      </c>
      <c r="B811" t="s">
        <v>34</v>
      </c>
      <c r="C811" t="s">
        <v>33</v>
      </c>
      <c r="D811" s="32">
        <v>40000</v>
      </c>
      <c r="E811">
        <v>4</v>
      </c>
      <c r="F811" t="s">
        <v>27</v>
      </c>
      <c r="G811" t="s">
        <v>21</v>
      </c>
      <c r="H811" t="s">
        <v>15</v>
      </c>
      <c r="I811">
        <v>2</v>
      </c>
      <c r="J811" t="s">
        <v>23</v>
      </c>
      <c r="K811" t="s">
        <v>32</v>
      </c>
      <c r="L811">
        <v>69</v>
      </c>
      <c r="M811" t="s">
        <v>18</v>
      </c>
    </row>
    <row r="812" spans="1:13" x14ac:dyDescent="0.25">
      <c r="A812">
        <v>20376</v>
      </c>
      <c r="B812" t="s">
        <v>35</v>
      </c>
      <c r="C812" t="s">
        <v>33</v>
      </c>
      <c r="D812" s="32">
        <v>70000</v>
      </c>
      <c r="E812">
        <v>3</v>
      </c>
      <c r="F812" t="s">
        <v>31</v>
      </c>
      <c r="G812" t="s">
        <v>28</v>
      </c>
      <c r="H812" t="s">
        <v>15</v>
      </c>
      <c r="I812">
        <v>2</v>
      </c>
      <c r="J812" t="s">
        <v>23</v>
      </c>
      <c r="K812" t="s">
        <v>32</v>
      </c>
      <c r="L812">
        <v>52</v>
      </c>
      <c r="M812" t="s">
        <v>15</v>
      </c>
    </row>
    <row r="813" spans="1:13" x14ac:dyDescent="0.25">
      <c r="A813">
        <v>25954</v>
      </c>
      <c r="B813" t="s">
        <v>34</v>
      </c>
      <c r="C813" t="s">
        <v>34</v>
      </c>
      <c r="D813" s="32">
        <v>60000</v>
      </c>
      <c r="E813">
        <v>0</v>
      </c>
      <c r="F813" t="s">
        <v>19</v>
      </c>
      <c r="G813" t="s">
        <v>14</v>
      </c>
      <c r="H813" t="s">
        <v>18</v>
      </c>
      <c r="I813">
        <v>2</v>
      </c>
      <c r="J813" t="s">
        <v>26</v>
      </c>
      <c r="K813" t="s">
        <v>32</v>
      </c>
      <c r="L813">
        <v>31</v>
      </c>
      <c r="M813" t="s">
        <v>18</v>
      </c>
    </row>
    <row r="814" spans="1:13" x14ac:dyDescent="0.25">
      <c r="A814">
        <v>15749</v>
      </c>
      <c r="B814" t="s">
        <v>35</v>
      </c>
      <c r="C814" t="s">
        <v>33</v>
      </c>
      <c r="D814" s="32">
        <v>70000</v>
      </c>
      <c r="E814">
        <v>4</v>
      </c>
      <c r="F814" t="s">
        <v>13</v>
      </c>
      <c r="G814" t="s">
        <v>28</v>
      </c>
      <c r="H814" t="s">
        <v>15</v>
      </c>
      <c r="I814">
        <v>2</v>
      </c>
      <c r="J814" t="s">
        <v>30</v>
      </c>
      <c r="K814" t="s">
        <v>32</v>
      </c>
      <c r="L814">
        <v>61</v>
      </c>
      <c r="M814" t="s">
        <v>18</v>
      </c>
    </row>
    <row r="815" spans="1:13" x14ac:dyDescent="0.25">
      <c r="A815">
        <v>25899</v>
      </c>
      <c r="B815" t="s">
        <v>34</v>
      </c>
      <c r="C815" t="s">
        <v>33</v>
      </c>
      <c r="D815" s="32">
        <v>70000</v>
      </c>
      <c r="E815">
        <v>2</v>
      </c>
      <c r="F815" t="s">
        <v>27</v>
      </c>
      <c r="G815" t="s">
        <v>21</v>
      </c>
      <c r="H815" t="s">
        <v>15</v>
      </c>
      <c r="I815">
        <v>2</v>
      </c>
      <c r="J815" t="s">
        <v>30</v>
      </c>
      <c r="K815" t="s">
        <v>32</v>
      </c>
      <c r="L815">
        <v>53</v>
      </c>
      <c r="M815" t="s">
        <v>18</v>
      </c>
    </row>
    <row r="816" spans="1:13" x14ac:dyDescent="0.25">
      <c r="A816">
        <v>13351</v>
      </c>
      <c r="B816" t="s">
        <v>35</v>
      </c>
      <c r="C816" t="s">
        <v>33</v>
      </c>
      <c r="D816" s="32">
        <v>70000</v>
      </c>
      <c r="E816">
        <v>4</v>
      </c>
      <c r="F816" t="s">
        <v>13</v>
      </c>
      <c r="G816" t="s">
        <v>28</v>
      </c>
      <c r="H816" t="s">
        <v>15</v>
      </c>
      <c r="I816">
        <v>2</v>
      </c>
      <c r="J816" t="s">
        <v>26</v>
      </c>
      <c r="K816" t="s">
        <v>32</v>
      </c>
      <c r="L816">
        <v>62</v>
      </c>
      <c r="M816" t="s">
        <v>15</v>
      </c>
    </row>
    <row r="817" spans="1:13" x14ac:dyDescent="0.25">
      <c r="A817">
        <v>23333</v>
      </c>
      <c r="B817" t="s">
        <v>34</v>
      </c>
      <c r="C817" t="s">
        <v>34</v>
      </c>
      <c r="D817" s="32">
        <v>40000</v>
      </c>
      <c r="E817">
        <v>0</v>
      </c>
      <c r="F817" t="s">
        <v>19</v>
      </c>
      <c r="G817" t="s">
        <v>14</v>
      </c>
      <c r="H817" t="s">
        <v>18</v>
      </c>
      <c r="I817">
        <v>2</v>
      </c>
      <c r="J817" t="s">
        <v>26</v>
      </c>
      <c r="K817" t="s">
        <v>32</v>
      </c>
      <c r="L817">
        <v>30</v>
      </c>
      <c r="M817" t="s">
        <v>18</v>
      </c>
    </row>
    <row r="818" spans="1:13" x14ac:dyDescent="0.25">
      <c r="A818">
        <v>21660</v>
      </c>
      <c r="B818" t="s">
        <v>34</v>
      </c>
      <c r="C818" t="s">
        <v>33</v>
      </c>
      <c r="D818" s="32">
        <v>60000</v>
      </c>
      <c r="E818">
        <v>3</v>
      </c>
      <c r="F818" t="s">
        <v>31</v>
      </c>
      <c r="G818" t="s">
        <v>21</v>
      </c>
      <c r="H818" t="s">
        <v>15</v>
      </c>
      <c r="I818">
        <v>0</v>
      </c>
      <c r="J818" t="s">
        <v>22</v>
      </c>
      <c r="K818" t="s">
        <v>32</v>
      </c>
      <c r="L818">
        <v>43</v>
      </c>
      <c r="M818" t="s">
        <v>15</v>
      </c>
    </row>
    <row r="819" spans="1:13" x14ac:dyDescent="0.25">
      <c r="A819">
        <v>17012</v>
      </c>
      <c r="B819" t="s">
        <v>34</v>
      </c>
      <c r="C819" t="s">
        <v>33</v>
      </c>
      <c r="D819" s="32">
        <v>60000</v>
      </c>
      <c r="E819">
        <v>3</v>
      </c>
      <c r="F819" t="s">
        <v>31</v>
      </c>
      <c r="G819" t="s">
        <v>21</v>
      </c>
      <c r="H819" t="s">
        <v>15</v>
      </c>
      <c r="I819">
        <v>0</v>
      </c>
      <c r="J819" t="s">
        <v>22</v>
      </c>
      <c r="K819" t="s">
        <v>32</v>
      </c>
      <c r="L819">
        <v>42</v>
      </c>
      <c r="M819" t="s">
        <v>15</v>
      </c>
    </row>
    <row r="820" spans="1:13" x14ac:dyDescent="0.25">
      <c r="A820">
        <v>24514</v>
      </c>
      <c r="B820" t="s">
        <v>34</v>
      </c>
      <c r="C820" t="s">
        <v>34</v>
      </c>
      <c r="D820" s="32">
        <v>40000</v>
      </c>
      <c r="E820">
        <v>0</v>
      </c>
      <c r="F820" t="s">
        <v>19</v>
      </c>
      <c r="G820" t="s">
        <v>14</v>
      </c>
      <c r="H820" t="s">
        <v>15</v>
      </c>
      <c r="I820">
        <v>1</v>
      </c>
      <c r="J820" t="s">
        <v>23</v>
      </c>
      <c r="K820" t="s">
        <v>32</v>
      </c>
      <c r="L820">
        <v>30</v>
      </c>
      <c r="M820" t="s">
        <v>18</v>
      </c>
    </row>
    <row r="821" spans="1:13" x14ac:dyDescent="0.25">
      <c r="A821">
        <v>27505</v>
      </c>
      <c r="B821" t="s">
        <v>35</v>
      </c>
      <c r="C821" t="s">
        <v>33</v>
      </c>
      <c r="D821" s="32">
        <v>40000</v>
      </c>
      <c r="E821">
        <v>0</v>
      </c>
      <c r="F821" t="s">
        <v>27</v>
      </c>
      <c r="G821" t="s">
        <v>14</v>
      </c>
      <c r="H821" t="s">
        <v>15</v>
      </c>
      <c r="I821">
        <v>2</v>
      </c>
      <c r="J821" t="s">
        <v>23</v>
      </c>
      <c r="K821" t="s">
        <v>32</v>
      </c>
      <c r="L821">
        <v>30</v>
      </c>
      <c r="M821" t="s">
        <v>18</v>
      </c>
    </row>
    <row r="822" spans="1:13" x14ac:dyDescent="0.25">
      <c r="A822">
        <v>29243</v>
      </c>
      <c r="B822" t="s">
        <v>35</v>
      </c>
      <c r="C822" t="s">
        <v>34</v>
      </c>
      <c r="D822" s="32">
        <v>110000</v>
      </c>
      <c r="E822">
        <v>1</v>
      </c>
      <c r="F822" t="s">
        <v>13</v>
      </c>
      <c r="G822" t="s">
        <v>28</v>
      </c>
      <c r="H822" t="s">
        <v>15</v>
      </c>
      <c r="I822">
        <v>1</v>
      </c>
      <c r="J822" t="s">
        <v>23</v>
      </c>
      <c r="K822" t="s">
        <v>32</v>
      </c>
      <c r="L822">
        <v>43</v>
      </c>
      <c r="M822" t="s">
        <v>18</v>
      </c>
    </row>
    <row r="823" spans="1:13" x14ac:dyDescent="0.25">
      <c r="A823">
        <v>26582</v>
      </c>
      <c r="B823" t="s">
        <v>34</v>
      </c>
      <c r="C823" t="s">
        <v>34</v>
      </c>
      <c r="D823" s="32">
        <v>60000</v>
      </c>
      <c r="E823">
        <v>0</v>
      </c>
      <c r="F823" t="s">
        <v>19</v>
      </c>
      <c r="G823" t="s">
        <v>14</v>
      </c>
      <c r="H823" t="s">
        <v>15</v>
      </c>
      <c r="I823">
        <v>2</v>
      </c>
      <c r="J823" t="s">
        <v>23</v>
      </c>
      <c r="K823" t="s">
        <v>32</v>
      </c>
      <c r="L823">
        <v>33</v>
      </c>
      <c r="M823" t="s">
        <v>15</v>
      </c>
    </row>
    <row r="824" spans="1:13" x14ac:dyDescent="0.25">
      <c r="A824">
        <v>14271</v>
      </c>
      <c r="B824" t="s">
        <v>34</v>
      </c>
      <c r="C824" t="s">
        <v>34</v>
      </c>
      <c r="D824" s="32">
        <v>30000</v>
      </c>
      <c r="E824">
        <v>0</v>
      </c>
      <c r="F824" t="s">
        <v>27</v>
      </c>
      <c r="G824" t="s">
        <v>14</v>
      </c>
      <c r="H824" t="s">
        <v>15</v>
      </c>
      <c r="I824">
        <v>2</v>
      </c>
      <c r="J824" t="s">
        <v>23</v>
      </c>
      <c r="K824" t="s">
        <v>32</v>
      </c>
      <c r="L824">
        <v>32</v>
      </c>
      <c r="M824" t="s">
        <v>18</v>
      </c>
    </row>
    <row r="825" spans="1:13" x14ac:dyDescent="0.25">
      <c r="A825">
        <v>23041</v>
      </c>
      <c r="B825" t="s">
        <v>35</v>
      </c>
      <c r="C825" t="s">
        <v>33</v>
      </c>
      <c r="D825" s="32">
        <v>70000</v>
      </c>
      <c r="E825">
        <v>4</v>
      </c>
      <c r="F825" t="s">
        <v>27</v>
      </c>
      <c r="G825" t="s">
        <v>21</v>
      </c>
      <c r="H825" t="s">
        <v>15</v>
      </c>
      <c r="I825">
        <v>0</v>
      </c>
      <c r="J825" t="s">
        <v>23</v>
      </c>
      <c r="K825" t="s">
        <v>32</v>
      </c>
      <c r="L825">
        <v>50</v>
      </c>
      <c r="M825" t="s">
        <v>15</v>
      </c>
    </row>
    <row r="826" spans="1:13" x14ac:dyDescent="0.25">
      <c r="A826">
        <v>29048</v>
      </c>
      <c r="B826" t="s">
        <v>35</v>
      </c>
      <c r="C826" t="s">
        <v>34</v>
      </c>
      <c r="D826" s="32">
        <v>110000</v>
      </c>
      <c r="E826">
        <v>2</v>
      </c>
      <c r="F826" t="s">
        <v>13</v>
      </c>
      <c r="G826" t="s">
        <v>28</v>
      </c>
      <c r="H826" t="s">
        <v>18</v>
      </c>
      <c r="I826">
        <v>3</v>
      </c>
      <c r="J826" t="s">
        <v>16</v>
      </c>
      <c r="K826" t="s">
        <v>32</v>
      </c>
      <c r="L826">
        <v>37</v>
      </c>
      <c r="M826" t="s">
        <v>15</v>
      </c>
    </row>
    <row r="827" spans="1:13" x14ac:dyDescent="0.25">
      <c r="A827">
        <v>24433</v>
      </c>
      <c r="B827" t="s">
        <v>34</v>
      </c>
      <c r="C827" t="s">
        <v>34</v>
      </c>
      <c r="D827" s="32">
        <v>70000</v>
      </c>
      <c r="E827">
        <v>3</v>
      </c>
      <c r="F827" t="s">
        <v>27</v>
      </c>
      <c r="G827" t="s">
        <v>21</v>
      </c>
      <c r="H827" t="s">
        <v>18</v>
      </c>
      <c r="I827">
        <v>1</v>
      </c>
      <c r="J827" t="s">
        <v>26</v>
      </c>
      <c r="K827" t="s">
        <v>32</v>
      </c>
      <c r="L827">
        <v>52</v>
      </c>
      <c r="M827" t="s">
        <v>15</v>
      </c>
    </row>
    <row r="828" spans="1:13" x14ac:dyDescent="0.25">
      <c r="A828">
        <v>15501</v>
      </c>
      <c r="B828" t="s">
        <v>34</v>
      </c>
      <c r="C828" t="s">
        <v>34</v>
      </c>
      <c r="D828" s="32">
        <v>70000</v>
      </c>
      <c r="E828">
        <v>4</v>
      </c>
      <c r="F828" t="s">
        <v>31</v>
      </c>
      <c r="G828" t="s">
        <v>21</v>
      </c>
      <c r="H828" t="s">
        <v>15</v>
      </c>
      <c r="I828">
        <v>0</v>
      </c>
      <c r="J828" t="s">
        <v>22</v>
      </c>
      <c r="K828" t="s">
        <v>32</v>
      </c>
      <c r="L828">
        <v>36</v>
      </c>
      <c r="M828" t="s">
        <v>15</v>
      </c>
    </row>
    <row r="829" spans="1:13" x14ac:dyDescent="0.25">
      <c r="A829">
        <v>13911</v>
      </c>
      <c r="B829" t="s">
        <v>35</v>
      </c>
      <c r="C829" t="s">
        <v>33</v>
      </c>
      <c r="D829" s="32">
        <v>80000</v>
      </c>
      <c r="E829">
        <v>3</v>
      </c>
      <c r="F829" t="s">
        <v>13</v>
      </c>
      <c r="G829" t="s">
        <v>14</v>
      </c>
      <c r="H829" t="s">
        <v>15</v>
      </c>
      <c r="I829">
        <v>2</v>
      </c>
      <c r="J829" t="s">
        <v>22</v>
      </c>
      <c r="K829" t="s">
        <v>32</v>
      </c>
      <c r="L829">
        <v>41</v>
      </c>
      <c r="M829" t="s">
        <v>15</v>
      </c>
    </row>
    <row r="830" spans="1:13" x14ac:dyDescent="0.25">
      <c r="A830">
        <v>20421</v>
      </c>
      <c r="B830" t="s">
        <v>35</v>
      </c>
      <c r="C830" t="s">
        <v>33</v>
      </c>
      <c r="D830" s="32">
        <v>40000</v>
      </c>
      <c r="E830">
        <v>0</v>
      </c>
      <c r="F830" t="s">
        <v>29</v>
      </c>
      <c r="G830" t="s">
        <v>20</v>
      </c>
      <c r="H830" t="s">
        <v>15</v>
      </c>
      <c r="I830">
        <v>2</v>
      </c>
      <c r="J830" t="s">
        <v>23</v>
      </c>
      <c r="K830" t="s">
        <v>32</v>
      </c>
      <c r="L830">
        <v>26</v>
      </c>
      <c r="M830" t="s">
        <v>18</v>
      </c>
    </row>
    <row r="831" spans="1:13" x14ac:dyDescent="0.25">
      <c r="A831">
        <v>16009</v>
      </c>
      <c r="B831" t="s">
        <v>35</v>
      </c>
      <c r="C831" t="s">
        <v>34</v>
      </c>
      <c r="D831" s="32">
        <v>170000</v>
      </c>
      <c r="E831">
        <v>1</v>
      </c>
      <c r="F831" t="s">
        <v>31</v>
      </c>
      <c r="G831" t="s">
        <v>28</v>
      </c>
      <c r="H831" t="s">
        <v>18</v>
      </c>
      <c r="I831">
        <v>4</v>
      </c>
      <c r="J831" t="s">
        <v>16</v>
      </c>
      <c r="K831" t="s">
        <v>32</v>
      </c>
      <c r="L831">
        <v>66</v>
      </c>
      <c r="M831" t="s">
        <v>18</v>
      </c>
    </row>
    <row r="832" spans="1:13" x14ac:dyDescent="0.25">
      <c r="A832">
        <v>18411</v>
      </c>
      <c r="B832" t="s">
        <v>34</v>
      </c>
      <c r="C832" t="s">
        <v>34</v>
      </c>
      <c r="D832" s="32">
        <v>60000</v>
      </c>
      <c r="E832">
        <v>2</v>
      </c>
      <c r="F832" t="s">
        <v>27</v>
      </c>
      <c r="G832" t="s">
        <v>21</v>
      </c>
      <c r="H832" t="s">
        <v>18</v>
      </c>
      <c r="I832">
        <v>2</v>
      </c>
      <c r="J832" t="s">
        <v>23</v>
      </c>
      <c r="K832" t="s">
        <v>32</v>
      </c>
      <c r="L832">
        <v>51</v>
      </c>
      <c r="M832" t="s">
        <v>18</v>
      </c>
    </row>
    <row r="833" spans="1:13" x14ac:dyDescent="0.25">
      <c r="A833">
        <v>19163</v>
      </c>
      <c r="B833" t="s">
        <v>34</v>
      </c>
      <c r="C833" t="s">
        <v>33</v>
      </c>
      <c r="D833" s="32">
        <v>70000</v>
      </c>
      <c r="E833">
        <v>4</v>
      </c>
      <c r="F833" t="s">
        <v>13</v>
      </c>
      <c r="G833" t="s">
        <v>21</v>
      </c>
      <c r="H833" t="s">
        <v>15</v>
      </c>
      <c r="I833">
        <v>2</v>
      </c>
      <c r="J833" t="s">
        <v>16</v>
      </c>
      <c r="K833" t="s">
        <v>32</v>
      </c>
      <c r="L833">
        <v>43</v>
      </c>
      <c r="M833" t="s">
        <v>15</v>
      </c>
    </row>
    <row r="834" spans="1:13" x14ac:dyDescent="0.25">
      <c r="A834">
        <v>18572</v>
      </c>
      <c r="B834" t="s">
        <v>34</v>
      </c>
      <c r="C834" t="s">
        <v>33</v>
      </c>
      <c r="D834" s="32">
        <v>60000</v>
      </c>
      <c r="E834">
        <v>0</v>
      </c>
      <c r="F834" t="s">
        <v>31</v>
      </c>
      <c r="G834" t="s">
        <v>21</v>
      </c>
      <c r="H834" t="s">
        <v>15</v>
      </c>
      <c r="I834">
        <v>0</v>
      </c>
      <c r="J834" t="s">
        <v>16</v>
      </c>
      <c r="K834" t="s">
        <v>32</v>
      </c>
      <c r="L834">
        <v>39</v>
      </c>
      <c r="M834" t="s">
        <v>18</v>
      </c>
    </row>
    <row r="835" spans="1:13" x14ac:dyDescent="0.25">
      <c r="A835">
        <v>27540</v>
      </c>
      <c r="B835" t="s">
        <v>35</v>
      </c>
      <c r="C835" t="s">
        <v>33</v>
      </c>
      <c r="D835" s="32">
        <v>70000</v>
      </c>
      <c r="E835">
        <v>0</v>
      </c>
      <c r="F835" t="s">
        <v>13</v>
      </c>
      <c r="G835" t="s">
        <v>21</v>
      </c>
      <c r="H835" t="s">
        <v>18</v>
      </c>
      <c r="I835">
        <v>1</v>
      </c>
      <c r="J835" t="s">
        <v>16</v>
      </c>
      <c r="K835" t="s">
        <v>32</v>
      </c>
      <c r="L835">
        <v>37</v>
      </c>
      <c r="M835" t="s">
        <v>15</v>
      </c>
    </row>
    <row r="836" spans="1:13" x14ac:dyDescent="0.25">
      <c r="A836">
        <v>19889</v>
      </c>
      <c r="B836" t="s">
        <v>35</v>
      </c>
      <c r="C836" t="s">
        <v>33</v>
      </c>
      <c r="D836" s="32">
        <v>70000</v>
      </c>
      <c r="E836">
        <v>2</v>
      </c>
      <c r="F836" t="s">
        <v>29</v>
      </c>
      <c r="G836" t="s">
        <v>14</v>
      </c>
      <c r="H836" t="s">
        <v>18</v>
      </c>
      <c r="I836">
        <v>2</v>
      </c>
      <c r="J836" t="s">
        <v>22</v>
      </c>
      <c r="K836" t="s">
        <v>32</v>
      </c>
      <c r="L836">
        <v>54</v>
      </c>
      <c r="M836" t="s">
        <v>15</v>
      </c>
    </row>
    <row r="837" spans="1:13" x14ac:dyDescent="0.25">
      <c r="A837">
        <v>12922</v>
      </c>
      <c r="B837" t="s">
        <v>35</v>
      </c>
      <c r="C837" t="s">
        <v>33</v>
      </c>
      <c r="D837" s="32">
        <v>60000</v>
      </c>
      <c r="E837">
        <v>3</v>
      </c>
      <c r="F837" t="s">
        <v>13</v>
      </c>
      <c r="G837" t="s">
        <v>14</v>
      </c>
      <c r="H837" t="s">
        <v>15</v>
      </c>
      <c r="I837">
        <v>0</v>
      </c>
      <c r="J837" t="s">
        <v>22</v>
      </c>
      <c r="K837" t="s">
        <v>32</v>
      </c>
      <c r="L837">
        <v>40</v>
      </c>
      <c r="M837" t="s">
        <v>15</v>
      </c>
    </row>
    <row r="838" spans="1:13" x14ac:dyDescent="0.25">
      <c r="A838">
        <v>18891</v>
      </c>
      <c r="B838" t="s">
        <v>34</v>
      </c>
      <c r="C838" t="s">
        <v>33</v>
      </c>
      <c r="D838" s="32">
        <v>40000</v>
      </c>
      <c r="E838">
        <v>0</v>
      </c>
      <c r="F838" t="s">
        <v>19</v>
      </c>
      <c r="G838" t="s">
        <v>14</v>
      </c>
      <c r="H838" t="s">
        <v>15</v>
      </c>
      <c r="I838">
        <v>2</v>
      </c>
      <c r="J838" t="s">
        <v>23</v>
      </c>
      <c r="K838" t="s">
        <v>32</v>
      </c>
      <c r="L838">
        <v>28</v>
      </c>
      <c r="M838" t="s">
        <v>18</v>
      </c>
    </row>
    <row r="839" spans="1:13" x14ac:dyDescent="0.25">
      <c r="A839">
        <v>16773</v>
      </c>
      <c r="B839" t="s">
        <v>34</v>
      </c>
      <c r="C839" t="s">
        <v>34</v>
      </c>
      <c r="D839" s="32">
        <v>60000</v>
      </c>
      <c r="E839">
        <v>1</v>
      </c>
      <c r="F839" t="s">
        <v>31</v>
      </c>
      <c r="G839" t="s">
        <v>14</v>
      </c>
      <c r="H839" t="s">
        <v>15</v>
      </c>
      <c r="I839">
        <v>0</v>
      </c>
      <c r="J839" t="s">
        <v>16</v>
      </c>
      <c r="K839" t="s">
        <v>32</v>
      </c>
      <c r="L839">
        <v>33</v>
      </c>
      <c r="M839" t="s">
        <v>18</v>
      </c>
    </row>
    <row r="840" spans="1:13" x14ac:dyDescent="0.25">
      <c r="A840">
        <v>19143</v>
      </c>
      <c r="B840" t="s">
        <v>35</v>
      </c>
      <c r="C840" t="s">
        <v>33</v>
      </c>
      <c r="D840" s="32">
        <v>80000</v>
      </c>
      <c r="E840">
        <v>3</v>
      </c>
      <c r="F840" t="s">
        <v>13</v>
      </c>
      <c r="G840" t="s">
        <v>14</v>
      </c>
      <c r="H840" t="s">
        <v>15</v>
      </c>
      <c r="I840">
        <v>2</v>
      </c>
      <c r="J840" t="s">
        <v>22</v>
      </c>
      <c r="K840" t="s">
        <v>32</v>
      </c>
      <c r="L840">
        <v>41</v>
      </c>
      <c r="M840" t="s">
        <v>15</v>
      </c>
    </row>
    <row r="841" spans="1:13" x14ac:dyDescent="0.25">
      <c r="A841">
        <v>23882</v>
      </c>
      <c r="B841" t="s">
        <v>35</v>
      </c>
      <c r="C841" t="s">
        <v>33</v>
      </c>
      <c r="D841" s="32">
        <v>80000</v>
      </c>
      <c r="E841">
        <v>3</v>
      </c>
      <c r="F841" t="s">
        <v>31</v>
      </c>
      <c r="G841" t="s">
        <v>21</v>
      </c>
      <c r="H841" t="s">
        <v>15</v>
      </c>
      <c r="I841">
        <v>0</v>
      </c>
      <c r="J841" t="s">
        <v>16</v>
      </c>
      <c r="K841" t="s">
        <v>32</v>
      </c>
      <c r="L841">
        <v>37</v>
      </c>
      <c r="M841" t="s">
        <v>15</v>
      </c>
    </row>
    <row r="842" spans="1:13" x14ac:dyDescent="0.25">
      <c r="A842">
        <v>11233</v>
      </c>
      <c r="B842" t="s">
        <v>34</v>
      </c>
      <c r="C842" t="s">
        <v>34</v>
      </c>
      <c r="D842" s="32">
        <v>70000</v>
      </c>
      <c r="E842">
        <v>4</v>
      </c>
      <c r="F842" t="s">
        <v>19</v>
      </c>
      <c r="G842" t="s">
        <v>21</v>
      </c>
      <c r="H842" t="s">
        <v>15</v>
      </c>
      <c r="I842">
        <v>2</v>
      </c>
      <c r="J842" t="s">
        <v>30</v>
      </c>
      <c r="K842" t="s">
        <v>32</v>
      </c>
      <c r="L842">
        <v>53</v>
      </c>
      <c r="M842" t="s">
        <v>18</v>
      </c>
    </row>
    <row r="843" spans="1:13" x14ac:dyDescent="0.25">
      <c r="A843">
        <v>12056</v>
      </c>
      <c r="B843" t="s">
        <v>34</v>
      </c>
      <c r="C843" t="s">
        <v>34</v>
      </c>
      <c r="D843" s="32">
        <v>120000</v>
      </c>
      <c r="E843">
        <v>2</v>
      </c>
      <c r="F843" t="s">
        <v>31</v>
      </c>
      <c r="G843" t="s">
        <v>28</v>
      </c>
      <c r="H843" t="s">
        <v>15</v>
      </c>
      <c r="I843">
        <v>3</v>
      </c>
      <c r="J843" t="s">
        <v>23</v>
      </c>
      <c r="K843" t="s">
        <v>32</v>
      </c>
      <c r="L843">
        <v>64</v>
      </c>
      <c r="M843" t="s">
        <v>18</v>
      </c>
    </row>
    <row r="844" spans="1:13" x14ac:dyDescent="0.25">
      <c r="A844">
        <v>15555</v>
      </c>
      <c r="B844" t="s">
        <v>34</v>
      </c>
      <c r="C844" t="s">
        <v>33</v>
      </c>
      <c r="D844" s="32">
        <v>60000</v>
      </c>
      <c r="E844">
        <v>1</v>
      </c>
      <c r="F844" t="s">
        <v>19</v>
      </c>
      <c r="G844" t="s">
        <v>14</v>
      </c>
      <c r="H844" t="s">
        <v>15</v>
      </c>
      <c r="I844">
        <v>1</v>
      </c>
      <c r="J844" t="s">
        <v>22</v>
      </c>
      <c r="K844" t="s">
        <v>32</v>
      </c>
      <c r="L844">
        <v>45</v>
      </c>
      <c r="M844" t="s">
        <v>15</v>
      </c>
    </row>
    <row r="845" spans="1:13" x14ac:dyDescent="0.25">
      <c r="A845">
        <v>18423</v>
      </c>
      <c r="B845" t="s">
        <v>35</v>
      </c>
      <c r="C845" t="s">
        <v>34</v>
      </c>
      <c r="D845" s="32">
        <v>80000</v>
      </c>
      <c r="E845">
        <v>2</v>
      </c>
      <c r="F845" t="s">
        <v>29</v>
      </c>
      <c r="G845" t="s">
        <v>14</v>
      </c>
      <c r="H845" t="s">
        <v>18</v>
      </c>
      <c r="I845">
        <v>2</v>
      </c>
      <c r="J845" t="s">
        <v>26</v>
      </c>
      <c r="K845" t="s">
        <v>32</v>
      </c>
      <c r="L845">
        <v>52</v>
      </c>
      <c r="M845" t="s">
        <v>18</v>
      </c>
    </row>
    <row r="846" spans="1:13" x14ac:dyDescent="0.25">
      <c r="A846">
        <v>22743</v>
      </c>
      <c r="B846" t="s">
        <v>34</v>
      </c>
      <c r="C846" t="s">
        <v>33</v>
      </c>
      <c r="D846" s="32">
        <v>40000</v>
      </c>
      <c r="E846">
        <v>5</v>
      </c>
      <c r="F846" t="s">
        <v>27</v>
      </c>
      <c r="G846" t="s">
        <v>21</v>
      </c>
      <c r="H846" t="s">
        <v>15</v>
      </c>
      <c r="I846">
        <v>2</v>
      </c>
      <c r="J846" t="s">
        <v>30</v>
      </c>
      <c r="K846" t="s">
        <v>32</v>
      </c>
      <c r="L846">
        <v>60</v>
      </c>
      <c r="M846" t="s">
        <v>18</v>
      </c>
    </row>
    <row r="847" spans="1:13" x14ac:dyDescent="0.25">
      <c r="A847">
        <v>25343</v>
      </c>
      <c r="B847" t="s">
        <v>35</v>
      </c>
      <c r="C847" t="s">
        <v>33</v>
      </c>
      <c r="D847" s="32">
        <v>20000</v>
      </c>
      <c r="E847">
        <v>3</v>
      </c>
      <c r="F847" t="s">
        <v>29</v>
      </c>
      <c r="G847" t="s">
        <v>20</v>
      </c>
      <c r="H847" t="s">
        <v>15</v>
      </c>
      <c r="I847">
        <v>2</v>
      </c>
      <c r="J847" t="s">
        <v>26</v>
      </c>
      <c r="K847" t="s">
        <v>32</v>
      </c>
      <c r="L847">
        <v>50</v>
      </c>
      <c r="M847" t="s">
        <v>18</v>
      </c>
    </row>
    <row r="848" spans="1:13" x14ac:dyDescent="0.25">
      <c r="A848">
        <v>13390</v>
      </c>
      <c r="B848" t="s">
        <v>34</v>
      </c>
      <c r="C848" t="s">
        <v>33</v>
      </c>
      <c r="D848" s="32">
        <v>70000</v>
      </c>
      <c r="E848">
        <v>4</v>
      </c>
      <c r="F848" t="s">
        <v>19</v>
      </c>
      <c r="G848" t="s">
        <v>21</v>
      </c>
      <c r="H848" t="s">
        <v>18</v>
      </c>
      <c r="I848">
        <v>1</v>
      </c>
      <c r="J848" t="s">
        <v>26</v>
      </c>
      <c r="K848" t="s">
        <v>32</v>
      </c>
      <c r="L848">
        <v>56</v>
      </c>
      <c r="M848" t="s">
        <v>18</v>
      </c>
    </row>
    <row r="849" spans="1:13" x14ac:dyDescent="0.25">
      <c r="A849">
        <v>17482</v>
      </c>
      <c r="B849" t="s">
        <v>35</v>
      </c>
      <c r="C849" t="s">
        <v>33</v>
      </c>
      <c r="D849" s="32">
        <v>40000</v>
      </c>
      <c r="E849">
        <v>0</v>
      </c>
      <c r="F849" t="s">
        <v>29</v>
      </c>
      <c r="G849" t="s">
        <v>20</v>
      </c>
      <c r="H849" t="s">
        <v>15</v>
      </c>
      <c r="I849">
        <v>2</v>
      </c>
      <c r="J849" t="s">
        <v>23</v>
      </c>
      <c r="K849" t="s">
        <v>32</v>
      </c>
      <c r="L849">
        <v>29</v>
      </c>
      <c r="M849" t="s">
        <v>18</v>
      </c>
    </row>
    <row r="850" spans="1:13" x14ac:dyDescent="0.25">
      <c r="A850">
        <v>13176</v>
      </c>
      <c r="B850" t="s">
        <v>35</v>
      </c>
      <c r="C850" t="s">
        <v>34</v>
      </c>
      <c r="D850" s="32">
        <v>130000</v>
      </c>
      <c r="E850">
        <v>0</v>
      </c>
      <c r="F850" t="s">
        <v>31</v>
      </c>
      <c r="G850" t="s">
        <v>28</v>
      </c>
      <c r="H850" t="s">
        <v>18</v>
      </c>
      <c r="I850">
        <v>2</v>
      </c>
      <c r="J850" t="s">
        <v>16</v>
      </c>
      <c r="K850" t="s">
        <v>32</v>
      </c>
      <c r="L850">
        <v>38</v>
      </c>
      <c r="M850" t="s">
        <v>15</v>
      </c>
    </row>
    <row r="851" spans="1:13" x14ac:dyDescent="0.25">
      <c r="A851">
        <v>20504</v>
      </c>
      <c r="B851" t="s">
        <v>34</v>
      </c>
      <c r="C851" t="s">
        <v>33</v>
      </c>
      <c r="D851" s="32">
        <v>40000</v>
      </c>
      <c r="E851">
        <v>5</v>
      </c>
      <c r="F851" t="s">
        <v>27</v>
      </c>
      <c r="G851" t="s">
        <v>21</v>
      </c>
      <c r="H851" t="s">
        <v>18</v>
      </c>
      <c r="I851">
        <v>2</v>
      </c>
      <c r="J851" t="s">
        <v>22</v>
      </c>
      <c r="K851" t="s">
        <v>32</v>
      </c>
      <c r="L851">
        <v>60</v>
      </c>
      <c r="M851" t="s">
        <v>18</v>
      </c>
    </row>
    <row r="852" spans="1:13" x14ac:dyDescent="0.25">
      <c r="A852">
        <v>12205</v>
      </c>
      <c r="B852" t="s">
        <v>35</v>
      </c>
      <c r="C852" t="s">
        <v>33</v>
      </c>
      <c r="D852" s="32">
        <v>130000</v>
      </c>
      <c r="E852">
        <v>2</v>
      </c>
      <c r="F852" t="s">
        <v>13</v>
      </c>
      <c r="G852" t="s">
        <v>28</v>
      </c>
      <c r="H852" t="s">
        <v>18</v>
      </c>
      <c r="I852">
        <v>4</v>
      </c>
      <c r="J852" t="s">
        <v>16</v>
      </c>
      <c r="K852" t="s">
        <v>32</v>
      </c>
      <c r="L852">
        <v>67</v>
      </c>
      <c r="M852" t="s">
        <v>18</v>
      </c>
    </row>
    <row r="853" spans="1:13" x14ac:dyDescent="0.25">
      <c r="A853">
        <v>16751</v>
      </c>
      <c r="B853" t="s">
        <v>34</v>
      </c>
      <c r="C853" t="s">
        <v>34</v>
      </c>
      <c r="D853" s="32">
        <v>60000</v>
      </c>
      <c r="E853">
        <v>0</v>
      </c>
      <c r="F853" t="s">
        <v>19</v>
      </c>
      <c r="G853" t="s">
        <v>14</v>
      </c>
      <c r="H853" t="s">
        <v>15</v>
      </c>
      <c r="I853">
        <v>1</v>
      </c>
      <c r="J853" t="s">
        <v>23</v>
      </c>
      <c r="K853" t="s">
        <v>32</v>
      </c>
      <c r="L853">
        <v>32</v>
      </c>
      <c r="M853" t="s">
        <v>15</v>
      </c>
    </row>
    <row r="854" spans="1:13" x14ac:dyDescent="0.25">
      <c r="A854">
        <v>21613</v>
      </c>
      <c r="B854" t="s">
        <v>35</v>
      </c>
      <c r="C854" t="s">
        <v>34</v>
      </c>
      <c r="D854" s="32">
        <v>50000</v>
      </c>
      <c r="E854">
        <v>2</v>
      </c>
      <c r="F854" t="s">
        <v>13</v>
      </c>
      <c r="G854" t="s">
        <v>14</v>
      </c>
      <c r="H854" t="s">
        <v>18</v>
      </c>
      <c r="I854">
        <v>1</v>
      </c>
      <c r="J854" t="s">
        <v>16</v>
      </c>
      <c r="K854" t="s">
        <v>32</v>
      </c>
      <c r="L854">
        <v>39</v>
      </c>
      <c r="M854" t="s">
        <v>15</v>
      </c>
    </row>
    <row r="855" spans="1:13" x14ac:dyDescent="0.25">
      <c r="A855">
        <v>24801</v>
      </c>
      <c r="B855" t="s">
        <v>35</v>
      </c>
      <c r="C855" t="s">
        <v>34</v>
      </c>
      <c r="D855" s="32">
        <v>60000</v>
      </c>
      <c r="E855">
        <v>1</v>
      </c>
      <c r="F855" t="s">
        <v>31</v>
      </c>
      <c r="G855" t="s">
        <v>21</v>
      </c>
      <c r="H855" t="s">
        <v>15</v>
      </c>
      <c r="I855">
        <v>0</v>
      </c>
      <c r="J855" t="s">
        <v>22</v>
      </c>
      <c r="K855" t="s">
        <v>32</v>
      </c>
      <c r="L855">
        <v>35</v>
      </c>
      <c r="M855" t="s">
        <v>15</v>
      </c>
    </row>
    <row r="856" spans="1:13" x14ac:dyDescent="0.25">
      <c r="A856">
        <v>17519</v>
      </c>
      <c r="B856" t="s">
        <v>34</v>
      </c>
      <c r="C856" t="s">
        <v>33</v>
      </c>
      <c r="D856" s="32">
        <v>60000</v>
      </c>
      <c r="E856">
        <v>0</v>
      </c>
      <c r="F856" t="s">
        <v>19</v>
      </c>
      <c r="G856" t="s">
        <v>21</v>
      </c>
      <c r="H856" t="s">
        <v>15</v>
      </c>
      <c r="I856">
        <v>2</v>
      </c>
      <c r="J856" t="s">
        <v>23</v>
      </c>
      <c r="K856" t="s">
        <v>32</v>
      </c>
      <c r="L856">
        <v>32</v>
      </c>
      <c r="M856" t="s">
        <v>18</v>
      </c>
    </row>
    <row r="857" spans="1:13" x14ac:dyDescent="0.25">
      <c r="A857">
        <v>18347</v>
      </c>
      <c r="B857" t="s">
        <v>35</v>
      </c>
      <c r="C857" t="s">
        <v>33</v>
      </c>
      <c r="D857" s="32">
        <v>30000</v>
      </c>
      <c r="E857">
        <v>0</v>
      </c>
      <c r="F857" t="s">
        <v>19</v>
      </c>
      <c r="G857" t="s">
        <v>14</v>
      </c>
      <c r="H857" t="s">
        <v>18</v>
      </c>
      <c r="I857">
        <v>1</v>
      </c>
      <c r="J857" t="s">
        <v>26</v>
      </c>
      <c r="K857" t="s">
        <v>32</v>
      </c>
      <c r="L857">
        <v>31</v>
      </c>
      <c r="M857" t="s">
        <v>18</v>
      </c>
    </row>
    <row r="858" spans="1:13" x14ac:dyDescent="0.25">
      <c r="A858">
        <v>29052</v>
      </c>
      <c r="B858" t="s">
        <v>35</v>
      </c>
      <c r="C858" t="s">
        <v>34</v>
      </c>
      <c r="D858" s="32">
        <v>40000</v>
      </c>
      <c r="E858">
        <v>0</v>
      </c>
      <c r="F858" t="s">
        <v>19</v>
      </c>
      <c r="G858" t="s">
        <v>14</v>
      </c>
      <c r="H858" t="s">
        <v>15</v>
      </c>
      <c r="I858">
        <v>1</v>
      </c>
      <c r="J858" t="s">
        <v>23</v>
      </c>
      <c r="K858" t="s">
        <v>32</v>
      </c>
      <c r="L858">
        <v>27</v>
      </c>
      <c r="M858" t="s">
        <v>18</v>
      </c>
    </row>
    <row r="859" spans="1:13" x14ac:dyDescent="0.25">
      <c r="A859">
        <v>11745</v>
      </c>
      <c r="B859" t="s">
        <v>34</v>
      </c>
      <c r="C859" t="s">
        <v>33</v>
      </c>
      <c r="D859" s="32">
        <v>60000</v>
      </c>
      <c r="E859">
        <v>1</v>
      </c>
      <c r="F859" t="s">
        <v>13</v>
      </c>
      <c r="G859" t="s">
        <v>21</v>
      </c>
      <c r="H859" t="s">
        <v>15</v>
      </c>
      <c r="I859">
        <v>1</v>
      </c>
      <c r="J859" t="s">
        <v>16</v>
      </c>
      <c r="K859" t="s">
        <v>32</v>
      </c>
      <c r="L859">
        <v>47</v>
      </c>
      <c r="M859" t="s">
        <v>15</v>
      </c>
    </row>
    <row r="860" spans="1:13" x14ac:dyDescent="0.25">
      <c r="A860">
        <v>19147</v>
      </c>
      <c r="B860" t="s">
        <v>34</v>
      </c>
      <c r="C860" t="s">
        <v>34</v>
      </c>
      <c r="D860" s="32">
        <v>40000</v>
      </c>
      <c r="E860">
        <v>0</v>
      </c>
      <c r="F860" t="s">
        <v>13</v>
      </c>
      <c r="G860" t="s">
        <v>21</v>
      </c>
      <c r="H860" t="s">
        <v>18</v>
      </c>
      <c r="I860">
        <v>1</v>
      </c>
      <c r="J860" t="s">
        <v>16</v>
      </c>
      <c r="K860" t="s">
        <v>32</v>
      </c>
      <c r="L860">
        <v>42</v>
      </c>
      <c r="M860" t="s">
        <v>18</v>
      </c>
    </row>
    <row r="861" spans="1:13" x14ac:dyDescent="0.25">
      <c r="A861">
        <v>19217</v>
      </c>
      <c r="B861" t="s">
        <v>34</v>
      </c>
      <c r="C861" t="s">
        <v>34</v>
      </c>
      <c r="D861" s="32">
        <v>30000</v>
      </c>
      <c r="E861">
        <v>2</v>
      </c>
      <c r="F861" t="s">
        <v>27</v>
      </c>
      <c r="G861" t="s">
        <v>14</v>
      </c>
      <c r="H861" t="s">
        <v>15</v>
      </c>
      <c r="I861">
        <v>2</v>
      </c>
      <c r="J861" t="s">
        <v>26</v>
      </c>
      <c r="K861" t="s">
        <v>32</v>
      </c>
      <c r="L861">
        <v>49</v>
      </c>
      <c r="M861" t="s">
        <v>18</v>
      </c>
    </row>
    <row r="862" spans="1:13" x14ac:dyDescent="0.25">
      <c r="A862">
        <v>15839</v>
      </c>
      <c r="B862" t="s">
        <v>35</v>
      </c>
      <c r="C862" t="s">
        <v>34</v>
      </c>
      <c r="D862" s="32">
        <v>30000</v>
      </c>
      <c r="E862">
        <v>0</v>
      </c>
      <c r="F862" t="s">
        <v>19</v>
      </c>
      <c r="G862" t="s">
        <v>14</v>
      </c>
      <c r="H862" t="s">
        <v>15</v>
      </c>
      <c r="I862">
        <v>1</v>
      </c>
      <c r="J862" t="s">
        <v>23</v>
      </c>
      <c r="K862" t="s">
        <v>32</v>
      </c>
      <c r="L862">
        <v>32</v>
      </c>
      <c r="M862" t="s">
        <v>18</v>
      </c>
    </row>
    <row r="863" spans="1:13" x14ac:dyDescent="0.25">
      <c r="A863">
        <v>13714</v>
      </c>
      <c r="B863" t="s">
        <v>34</v>
      </c>
      <c r="C863" t="s">
        <v>33</v>
      </c>
      <c r="D863" s="32">
        <v>20000</v>
      </c>
      <c r="E863">
        <v>2</v>
      </c>
      <c r="F863" t="s">
        <v>27</v>
      </c>
      <c r="G863" t="s">
        <v>25</v>
      </c>
      <c r="H863" t="s">
        <v>18</v>
      </c>
      <c r="I863">
        <v>2</v>
      </c>
      <c r="J863" t="s">
        <v>26</v>
      </c>
      <c r="K863" t="s">
        <v>32</v>
      </c>
      <c r="L863">
        <v>53</v>
      </c>
      <c r="M863" t="s">
        <v>15</v>
      </c>
    </row>
    <row r="864" spans="1:13" x14ac:dyDescent="0.25">
      <c r="A864">
        <v>22330</v>
      </c>
      <c r="B864" t="s">
        <v>34</v>
      </c>
      <c r="C864" t="s">
        <v>34</v>
      </c>
      <c r="D864" s="32">
        <v>50000</v>
      </c>
      <c r="E864">
        <v>0</v>
      </c>
      <c r="F864" t="s">
        <v>31</v>
      </c>
      <c r="G864" t="s">
        <v>14</v>
      </c>
      <c r="H864" t="s">
        <v>15</v>
      </c>
      <c r="I864">
        <v>0</v>
      </c>
      <c r="J864" t="s">
        <v>26</v>
      </c>
      <c r="K864" t="s">
        <v>32</v>
      </c>
      <c r="L864">
        <v>32</v>
      </c>
      <c r="M864" t="s">
        <v>15</v>
      </c>
    </row>
    <row r="865" spans="1:13" x14ac:dyDescent="0.25">
      <c r="A865">
        <v>18783</v>
      </c>
      <c r="B865" t="s">
        <v>35</v>
      </c>
      <c r="C865" t="s">
        <v>34</v>
      </c>
      <c r="D865" s="32">
        <v>80000</v>
      </c>
      <c r="E865">
        <v>0</v>
      </c>
      <c r="F865" t="s">
        <v>13</v>
      </c>
      <c r="G865" t="s">
        <v>28</v>
      </c>
      <c r="H865" t="s">
        <v>18</v>
      </c>
      <c r="I865">
        <v>1</v>
      </c>
      <c r="J865" t="s">
        <v>16</v>
      </c>
      <c r="K865" t="s">
        <v>32</v>
      </c>
      <c r="L865">
        <v>38</v>
      </c>
      <c r="M865" t="s">
        <v>15</v>
      </c>
    </row>
    <row r="866" spans="1:13" x14ac:dyDescent="0.25">
      <c r="A866">
        <v>25041</v>
      </c>
      <c r="B866" t="s">
        <v>35</v>
      </c>
      <c r="C866" t="s">
        <v>34</v>
      </c>
      <c r="D866" s="32">
        <v>40000</v>
      </c>
      <c r="E866">
        <v>0</v>
      </c>
      <c r="F866" t="s">
        <v>27</v>
      </c>
      <c r="G866" t="s">
        <v>14</v>
      </c>
      <c r="H866" t="s">
        <v>15</v>
      </c>
      <c r="I866">
        <v>2</v>
      </c>
      <c r="J866" t="s">
        <v>23</v>
      </c>
      <c r="K866" t="s">
        <v>32</v>
      </c>
      <c r="L866">
        <v>31</v>
      </c>
      <c r="M866" t="s">
        <v>18</v>
      </c>
    </row>
    <row r="867" spans="1:13" x14ac:dyDescent="0.25">
      <c r="A867">
        <v>22046</v>
      </c>
      <c r="B867" t="s">
        <v>35</v>
      </c>
      <c r="C867" t="s">
        <v>33</v>
      </c>
      <c r="D867" s="32">
        <v>80000</v>
      </c>
      <c r="E867">
        <v>0</v>
      </c>
      <c r="F867" t="s">
        <v>13</v>
      </c>
      <c r="G867" t="s">
        <v>28</v>
      </c>
      <c r="H867" t="s">
        <v>18</v>
      </c>
      <c r="I867">
        <v>1</v>
      </c>
      <c r="J867" t="s">
        <v>16</v>
      </c>
      <c r="K867" t="s">
        <v>32</v>
      </c>
      <c r="L867">
        <v>38</v>
      </c>
      <c r="M867" t="s">
        <v>15</v>
      </c>
    </row>
    <row r="868" spans="1:13" x14ac:dyDescent="0.25">
      <c r="A868">
        <v>28052</v>
      </c>
      <c r="B868" t="s">
        <v>34</v>
      </c>
      <c r="C868" t="s">
        <v>34</v>
      </c>
      <c r="D868" s="32">
        <v>60000</v>
      </c>
      <c r="E868">
        <v>2</v>
      </c>
      <c r="F868" t="s">
        <v>27</v>
      </c>
      <c r="G868" t="s">
        <v>21</v>
      </c>
      <c r="H868" t="s">
        <v>15</v>
      </c>
      <c r="I868">
        <v>2</v>
      </c>
      <c r="J868" t="s">
        <v>30</v>
      </c>
      <c r="K868" t="s">
        <v>32</v>
      </c>
      <c r="L868">
        <v>55</v>
      </c>
      <c r="M868" t="s">
        <v>18</v>
      </c>
    </row>
    <row r="869" spans="1:13" x14ac:dyDescent="0.25">
      <c r="A869">
        <v>26693</v>
      </c>
      <c r="B869" t="s">
        <v>34</v>
      </c>
      <c r="C869" t="s">
        <v>34</v>
      </c>
      <c r="D869" s="32">
        <v>70000</v>
      </c>
      <c r="E869">
        <v>3</v>
      </c>
      <c r="F869" t="s">
        <v>19</v>
      </c>
      <c r="G869" t="s">
        <v>21</v>
      </c>
      <c r="H869" t="s">
        <v>15</v>
      </c>
      <c r="I869">
        <v>1</v>
      </c>
      <c r="J869" t="s">
        <v>23</v>
      </c>
      <c r="K869" t="s">
        <v>32</v>
      </c>
      <c r="L869">
        <v>49</v>
      </c>
      <c r="M869" t="s">
        <v>18</v>
      </c>
    </row>
    <row r="870" spans="1:13" x14ac:dyDescent="0.25">
      <c r="A870">
        <v>24955</v>
      </c>
      <c r="B870" t="s">
        <v>35</v>
      </c>
      <c r="C870" t="s">
        <v>34</v>
      </c>
      <c r="D870" s="32">
        <v>30000</v>
      </c>
      <c r="E870">
        <v>5</v>
      </c>
      <c r="F870" t="s">
        <v>29</v>
      </c>
      <c r="G870" t="s">
        <v>14</v>
      </c>
      <c r="H870" t="s">
        <v>15</v>
      </c>
      <c r="I870">
        <v>3</v>
      </c>
      <c r="J870" t="s">
        <v>30</v>
      </c>
      <c r="K870" t="s">
        <v>32</v>
      </c>
      <c r="L870">
        <v>60</v>
      </c>
      <c r="M870" t="s">
        <v>15</v>
      </c>
    </row>
    <row r="871" spans="1:13" x14ac:dyDescent="0.25">
      <c r="A871">
        <v>26065</v>
      </c>
      <c r="B871" t="s">
        <v>35</v>
      </c>
      <c r="C871" t="s">
        <v>33</v>
      </c>
      <c r="D871" s="32">
        <v>110000</v>
      </c>
      <c r="E871">
        <v>3</v>
      </c>
      <c r="F871" t="s">
        <v>13</v>
      </c>
      <c r="G871" t="s">
        <v>28</v>
      </c>
      <c r="H871" t="s">
        <v>18</v>
      </c>
      <c r="I871">
        <v>4</v>
      </c>
      <c r="J871" t="s">
        <v>26</v>
      </c>
      <c r="K871" t="s">
        <v>32</v>
      </c>
      <c r="L871">
        <v>42</v>
      </c>
      <c r="M871" t="s">
        <v>18</v>
      </c>
    </row>
    <row r="872" spans="1:13" x14ac:dyDescent="0.25">
      <c r="A872">
        <v>13942</v>
      </c>
      <c r="B872" t="s">
        <v>34</v>
      </c>
      <c r="C872" t="s">
        <v>34</v>
      </c>
      <c r="D872" s="32">
        <v>60000</v>
      </c>
      <c r="E872">
        <v>1</v>
      </c>
      <c r="F872" t="s">
        <v>19</v>
      </c>
      <c r="G872" t="s">
        <v>14</v>
      </c>
      <c r="H872" t="s">
        <v>15</v>
      </c>
      <c r="I872">
        <v>1</v>
      </c>
      <c r="J872" t="s">
        <v>16</v>
      </c>
      <c r="K872" t="s">
        <v>32</v>
      </c>
      <c r="L872">
        <v>46</v>
      </c>
      <c r="M872" t="s">
        <v>18</v>
      </c>
    </row>
    <row r="873" spans="1:13" x14ac:dyDescent="0.25">
      <c r="A873">
        <v>11219</v>
      </c>
      <c r="B873" t="s">
        <v>34</v>
      </c>
      <c r="C873" t="s">
        <v>34</v>
      </c>
      <c r="D873" s="32">
        <v>60000</v>
      </c>
      <c r="E873">
        <v>2</v>
      </c>
      <c r="F873" t="s">
        <v>27</v>
      </c>
      <c r="G873" t="s">
        <v>21</v>
      </c>
      <c r="H873" t="s">
        <v>15</v>
      </c>
      <c r="I873">
        <v>2</v>
      </c>
      <c r="J873" t="s">
        <v>30</v>
      </c>
      <c r="K873" t="s">
        <v>32</v>
      </c>
      <c r="L873">
        <v>55</v>
      </c>
      <c r="M873" t="s">
        <v>18</v>
      </c>
    </row>
    <row r="874" spans="1:13" x14ac:dyDescent="0.25">
      <c r="A874">
        <v>22118</v>
      </c>
      <c r="B874" t="s">
        <v>35</v>
      </c>
      <c r="C874" t="s">
        <v>33</v>
      </c>
      <c r="D874" s="32">
        <v>70000</v>
      </c>
      <c r="E874">
        <v>3</v>
      </c>
      <c r="F874" t="s">
        <v>31</v>
      </c>
      <c r="G874" t="s">
        <v>28</v>
      </c>
      <c r="H874" t="s">
        <v>15</v>
      </c>
      <c r="I874">
        <v>2</v>
      </c>
      <c r="J874" t="s">
        <v>23</v>
      </c>
      <c r="K874" t="s">
        <v>32</v>
      </c>
      <c r="L874">
        <v>53</v>
      </c>
      <c r="M874" t="s">
        <v>15</v>
      </c>
    </row>
    <row r="875" spans="1:13" x14ac:dyDescent="0.25">
      <c r="A875">
        <v>23197</v>
      </c>
      <c r="B875" t="s">
        <v>34</v>
      </c>
      <c r="C875" t="s">
        <v>34</v>
      </c>
      <c r="D875" s="32">
        <v>50000</v>
      </c>
      <c r="E875">
        <v>3</v>
      </c>
      <c r="F875" t="s">
        <v>13</v>
      </c>
      <c r="G875" t="s">
        <v>14</v>
      </c>
      <c r="H875" t="s">
        <v>15</v>
      </c>
      <c r="I875">
        <v>2</v>
      </c>
      <c r="J875" t="s">
        <v>22</v>
      </c>
      <c r="K875" t="s">
        <v>32</v>
      </c>
      <c r="L875">
        <v>40</v>
      </c>
      <c r="M875" t="s">
        <v>18</v>
      </c>
    </row>
    <row r="876" spans="1:13" x14ac:dyDescent="0.25">
      <c r="A876">
        <v>14883</v>
      </c>
      <c r="B876" t="s">
        <v>34</v>
      </c>
      <c r="C876" t="s">
        <v>33</v>
      </c>
      <c r="D876" s="32">
        <v>30000</v>
      </c>
      <c r="E876">
        <v>1</v>
      </c>
      <c r="F876" t="s">
        <v>13</v>
      </c>
      <c r="G876" t="s">
        <v>14</v>
      </c>
      <c r="H876" t="s">
        <v>15</v>
      </c>
      <c r="I876">
        <v>1</v>
      </c>
      <c r="J876" t="s">
        <v>23</v>
      </c>
      <c r="K876" t="s">
        <v>32</v>
      </c>
      <c r="L876">
        <v>53</v>
      </c>
      <c r="M876" t="s">
        <v>15</v>
      </c>
    </row>
    <row r="877" spans="1:13" x14ac:dyDescent="0.25">
      <c r="A877">
        <v>27279</v>
      </c>
      <c r="B877" t="s">
        <v>35</v>
      </c>
      <c r="C877" t="s">
        <v>33</v>
      </c>
      <c r="D877" s="32">
        <v>70000</v>
      </c>
      <c r="E877">
        <v>2</v>
      </c>
      <c r="F877" t="s">
        <v>13</v>
      </c>
      <c r="G877" t="s">
        <v>14</v>
      </c>
      <c r="H877" t="s">
        <v>15</v>
      </c>
      <c r="I877">
        <v>0</v>
      </c>
      <c r="J877" t="s">
        <v>22</v>
      </c>
      <c r="K877" t="s">
        <v>32</v>
      </c>
      <c r="L877">
        <v>38</v>
      </c>
      <c r="M877" t="s">
        <v>15</v>
      </c>
    </row>
    <row r="878" spans="1:13" x14ac:dyDescent="0.25">
      <c r="A878">
        <v>18322</v>
      </c>
      <c r="B878" t="s">
        <v>35</v>
      </c>
      <c r="C878" t="s">
        <v>34</v>
      </c>
      <c r="D878" s="32">
        <v>30000</v>
      </c>
      <c r="E878">
        <v>0</v>
      </c>
      <c r="F878" t="s">
        <v>29</v>
      </c>
      <c r="G878" t="s">
        <v>20</v>
      </c>
      <c r="H878" t="s">
        <v>18</v>
      </c>
      <c r="I878">
        <v>2</v>
      </c>
      <c r="J878" t="s">
        <v>16</v>
      </c>
      <c r="K878" t="s">
        <v>32</v>
      </c>
      <c r="L878">
        <v>26</v>
      </c>
      <c r="M878" t="s">
        <v>18</v>
      </c>
    </row>
    <row r="879" spans="1:13" x14ac:dyDescent="0.25">
      <c r="A879">
        <v>15879</v>
      </c>
      <c r="B879" t="s">
        <v>34</v>
      </c>
      <c r="C879" t="s">
        <v>34</v>
      </c>
      <c r="D879" s="32">
        <v>70000</v>
      </c>
      <c r="E879">
        <v>5</v>
      </c>
      <c r="F879" t="s">
        <v>13</v>
      </c>
      <c r="G879" t="s">
        <v>28</v>
      </c>
      <c r="H879" t="s">
        <v>15</v>
      </c>
      <c r="I879">
        <v>2</v>
      </c>
      <c r="J879" t="s">
        <v>22</v>
      </c>
      <c r="K879" t="s">
        <v>32</v>
      </c>
      <c r="L879">
        <v>61</v>
      </c>
      <c r="M879" t="s">
        <v>18</v>
      </c>
    </row>
    <row r="880" spans="1:13" x14ac:dyDescent="0.25">
      <c r="A880">
        <v>28278</v>
      </c>
      <c r="B880" t="s">
        <v>34</v>
      </c>
      <c r="C880" t="s">
        <v>34</v>
      </c>
      <c r="D880" s="32">
        <v>50000</v>
      </c>
      <c r="E880">
        <v>2</v>
      </c>
      <c r="F880" t="s">
        <v>31</v>
      </c>
      <c r="G880" t="s">
        <v>28</v>
      </c>
      <c r="H880" t="s">
        <v>15</v>
      </c>
      <c r="I880">
        <v>2</v>
      </c>
      <c r="J880" t="s">
        <v>23</v>
      </c>
      <c r="K880" t="s">
        <v>32</v>
      </c>
      <c r="L880">
        <v>71</v>
      </c>
      <c r="M880" t="s">
        <v>18</v>
      </c>
    </row>
    <row r="881" spans="1:13" x14ac:dyDescent="0.25">
      <c r="A881">
        <v>24416</v>
      </c>
      <c r="B881" t="s">
        <v>34</v>
      </c>
      <c r="C881" t="s">
        <v>34</v>
      </c>
      <c r="D881" s="32">
        <v>90000</v>
      </c>
      <c r="E881">
        <v>4</v>
      </c>
      <c r="F881" t="s">
        <v>27</v>
      </c>
      <c r="G881" t="s">
        <v>21</v>
      </c>
      <c r="H881" t="s">
        <v>15</v>
      </c>
      <c r="I881">
        <v>2</v>
      </c>
      <c r="J881" t="s">
        <v>26</v>
      </c>
      <c r="K881" t="s">
        <v>32</v>
      </c>
      <c r="L881">
        <v>45</v>
      </c>
      <c r="M881" t="s">
        <v>18</v>
      </c>
    </row>
    <row r="882" spans="1:13" x14ac:dyDescent="0.25">
      <c r="A882">
        <v>28066</v>
      </c>
      <c r="B882" t="s">
        <v>34</v>
      </c>
      <c r="C882" t="s">
        <v>34</v>
      </c>
      <c r="D882" s="32">
        <v>80000</v>
      </c>
      <c r="E882">
        <v>2</v>
      </c>
      <c r="F882" t="s">
        <v>31</v>
      </c>
      <c r="G882" t="s">
        <v>21</v>
      </c>
      <c r="H882" t="s">
        <v>15</v>
      </c>
      <c r="I882">
        <v>0</v>
      </c>
      <c r="J882" t="s">
        <v>16</v>
      </c>
      <c r="K882" t="s">
        <v>32</v>
      </c>
      <c r="L882">
        <v>37</v>
      </c>
      <c r="M882" t="s">
        <v>15</v>
      </c>
    </row>
    <row r="883" spans="1:13" x14ac:dyDescent="0.25">
      <c r="A883">
        <v>11275</v>
      </c>
      <c r="B883" t="s">
        <v>34</v>
      </c>
      <c r="C883" t="s">
        <v>33</v>
      </c>
      <c r="D883" s="32">
        <v>80000</v>
      </c>
      <c r="E883">
        <v>4</v>
      </c>
      <c r="F883" t="s">
        <v>31</v>
      </c>
      <c r="G883" t="s">
        <v>28</v>
      </c>
      <c r="H883" t="s">
        <v>15</v>
      </c>
      <c r="I883">
        <v>2</v>
      </c>
      <c r="J883" t="s">
        <v>16</v>
      </c>
      <c r="K883" t="s">
        <v>32</v>
      </c>
      <c r="L883">
        <v>72</v>
      </c>
      <c r="M883" t="s">
        <v>15</v>
      </c>
    </row>
    <row r="884" spans="1:13" x14ac:dyDescent="0.25">
      <c r="A884">
        <v>14872</v>
      </c>
      <c r="B884" t="s">
        <v>34</v>
      </c>
      <c r="C884" t="s">
        <v>34</v>
      </c>
      <c r="D884" s="32">
        <v>30000</v>
      </c>
      <c r="E884">
        <v>0</v>
      </c>
      <c r="F884" t="s">
        <v>31</v>
      </c>
      <c r="G884" t="s">
        <v>14</v>
      </c>
      <c r="H884" t="s">
        <v>15</v>
      </c>
      <c r="I884">
        <v>0</v>
      </c>
      <c r="J884" t="s">
        <v>16</v>
      </c>
      <c r="K884" t="s">
        <v>32</v>
      </c>
      <c r="L884">
        <v>32</v>
      </c>
      <c r="M884" t="s">
        <v>18</v>
      </c>
    </row>
    <row r="885" spans="1:13" x14ac:dyDescent="0.25">
      <c r="A885">
        <v>16151</v>
      </c>
      <c r="B885" t="s">
        <v>34</v>
      </c>
      <c r="C885" t="s">
        <v>33</v>
      </c>
      <c r="D885" s="32">
        <v>60000</v>
      </c>
      <c r="E885">
        <v>1</v>
      </c>
      <c r="F885" t="s">
        <v>13</v>
      </c>
      <c r="G885" t="s">
        <v>21</v>
      </c>
      <c r="H885" t="s">
        <v>15</v>
      </c>
      <c r="I885">
        <v>1</v>
      </c>
      <c r="J885" t="s">
        <v>22</v>
      </c>
      <c r="K885" t="s">
        <v>32</v>
      </c>
      <c r="L885">
        <v>48</v>
      </c>
      <c r="M885" t="s">
        <v>15</v>
      </c>
    </row>
    <row r="886" spans="1:13" x14ac:dyDescent="0.25">
      <c r="A886">
        <v>19731</v>
      </c>
      <c r="B886" t="s">
        <v>34</v>
      </c>
      <c r="C886" t="s">
        <v>34</v>
      </c>
      <c r="D886" s="32">
        <v>80000</v>
      </c>
      <c r="E886">
        <v>4</v>
      </c>
      <c r="F886" t="s">
        <v>31</v>
      </c>
      <c r="G886" t="s">
        <v>28</v>
      </c>
      <c r="H886" t="s">
        <v>15</v>
      </c>
      <c r="I886">
        <v>2</v>
      </c>
      <c r="J886" t="s">
        <v>23</v>
      </c>
      <c r="K886" t="s">
        <v>32</v>
      </c>
      <c r="L886">
        <v>68</v>
      </c>
      <c r="M886" t="s">
        <v>18</v>
      </c>
    </row>
    <row r="887" spans="1:13" x14ac:dyDescent="0.25">
      <c r="A887">
        <v>23801</v>
      </c>
      <c r="B887" t="s">
        <v>34</v>
      </c>
      <c r="C887" t="s">
        <v>33</v>
      </c>
      <c r="D887" s="32">
        <v>20000</v>
      </c>
      <c r="E887">
        <v>2</v>
      </c>
      <c r="F887" t="s">
        <v>29</v>
      </c>
      <c r="G887" t="s">
        <v>20</v>
      </c>
      <c r="H887" t="s">
        <v>15</v>
      </c>
      <c r="I887">
        <v>2</v>
      </c>
      <c r="J887" t="s">
        <v>16</v>
      </c>
      <c r="K887" t="s">
        <v>32</v>
      </c>
      <c r="L887">
        <v>49</v>
      </c>
      <c r="M887" t="s">
        <v>18</v>
      </c>
    </row>
    <row r="888" spans="1:13" x14ac:dyDescent="0.25">
      <c r="A888">
        <v>11807</v>
      </c>
      <c r="B888" t="s">
        <v>34</v>
      </c>
      <c r="C888" t="s">
        <v>34</v>
      </c>
      <c r="D888" s="32">
        <v>70000</v>
      </c>
      <c r="E888">
        <v>3</v>
      </c>
      <c r="F888" t="s">
        <v>31</v>
      </c>
      <c r="G888" t="s">
        <v>21</v>
      </c>
      <c r="H888" t="s">
        <v>15</v>
      </c>
      <c r="I888">
        <v>0</v>
      </c>
      <c r="J888" t="s">
        <v>22</v>
      </c>
      <c r="K888" t="s">
        <v>32</v>
      </c>
      <c r="L888">
        <v>34</v>
      </c>
      <c r="M888" t="s">
        <v>18</v>
      </c>
    </row>
    <row r="889" spans="1:13" x14ac:dyDescent="0.25">
      <c r="A889">
        <v>11622</v>
      </c>
      <c r="B889" t="s">
        <v>34</v>
      </c>
      <c r="C889" t="s">
        <v>34</v>
      </c>
      <c r="D889" s="32">
        <v>50000</v>
      </c>
      <c r="E889">
        <v>0</v>
      </c>
      <c r="F889" t="s">
        <v>31</v>
      </c>
      <c r="G889" t="s">
        <v>14</v>
      </c>
      <c r="H889" t="s">
        <v>15</v>
      </c>
      <c r="I889">
        <v>0</v>
      </c>
      <c r="J889" t="s">
        <v>16</v>
      </c>
      <c r="K889" t="s">
        <v>32</v>
      </c>
      <c r="L889">
        <v>32</v>
      </c>
      <c r="M889" t="s">
        <v>18</v>
      </c>
    </row>
    <row r="890" spans="1:13" x14ac:dyDescent="0.25">
      <c r="A890">
        <v>26597</v>
      </c>
      <c r="B890" t="s">
        <v>35</v>
      </c>
      <c r="C890" t="s">
        <v>33</v>
      </c>
      <c r="D890" s="32">
        <v>60000</v>
      </c>
      <c r="E890">
        <v>4</v>
      </c>
      <c r="F890" t="s">
        <v>13</v>
      </c>
      <c r="G890" t="s">
        <v>14</v>
      </c>
      <c r="H890" t="s">
        <v>18</v>
      </c>
      <c r="I890">
        <v>2</v>
      </c>
      <c r="J890" t="s">
        <v>16</v>
      </c>
      <c r="K890" t="s">
        <v>32</v>
      </c>
      <c r="L890">
        <v>42</v>
      </c>
      <c r="M890" t="s">
        <v>18</v>
      </c>
    </row>
    <row r="891" spans="1:13" x14ac:dyDescent="0.25">
      <c r="A891">
        <v>27074</v>
      </c>
      <c r="B891" t="s">
        <v>34</v>
      </c>
      <c r="C891" t="s">
        <v>33</v>
      </c>
      <c r="D891" s="32">
        <v>70000</v>
      </c>
      <c r="E891">
        <v>1</v>
      </c>
      <c r="F891" t="s">
        <v>31</v>
      </c>
      <c r="G891" t="s">
        <v>14</v>
      </c>
      <c r="H891" t="s">
        <v>15</v>
      </c>
      <c r="I891">
        <v>0</v>
      </c>
      <c r="J891" t="s">
        <v>16</v>
      </c>
      <c r="K891" t="s">
        <v>32</v>
      </c>
      <c r="L891">
        <v>35</v>
      </c>
      <c r="M891" t="s">
        <v>15</v>
      </c>
    </row>
    <row r="892" spans="1:13" x14ac:dyDescent="0.25">
      <c r="A892">
        <v>19228</v>
      </c>
      <c r="B892" t="s">
        <v>34</v>
      </c>
      <c r="C892" t="s">
        <v>33</v>
      </c>
      <c r="D892" s="32">
        <v>40000</v>
      </c>
      <c r="E892">
        <v>2</v>
      </c>
      <c r="F892" t="s">
        <v>19</v>
      </c>
      <c r="G892" t="s">
        <v>20</v>
      </c>
      <c r="H892" t="s">
        <v>15</v>
      </c>
      <c r="I892">
        <v>1</v>
      </c>
      <c r="J892" t="s">
        <v>16</v>
      </c>
      <c r="K892" t="s">
        <v>32</v>
      </c>
      <c r="L892">
        <v>48</v>
      </c>
      <c r="M892" t="s">
        <v>18</v>
      </c>
    </row>
    <row r="893" spans="1:13" x14ac:dyDescent="0.25">
      <c r="A893">
        <v>13415</v>
      </c>
      <c r="B893" t="s">
        <v>35</v>
      </c>
      <c r="C893" t="s">
        <v>34</v>
      </c>
      <c r="D893" s="32">
        <v>100000</v>
      </c>
      <c r="E893">
        <v>1</v>
      </c>
      <c r="F893" t="s">
        <v>31</v>
      </c>
      <c r="G893" t="s">
        <v>28</v>
      </c>
      <c r="H893" t="s">
        <v>15</v>
      </c>
      <c r="I893">
        <v>3</v>
      </c>
      <c r="J893" t="s">
        <v>22</v>
      </c>
      <c r="K893" t="s">
        <v>32</v>
      </c>
      <c r="L893">
        <v>73</v>
      </c>
      <c r="M893" t="s">
        <v>15</v>
      </c>
    </row>
    <row r="894" spans="1:13" x14ac:dyDescent="0.25">
      <c r="A894">
        <v>17000</v>
      </c>
      <c r="B894" t="s">
        <v>35</v>
      </c>
      <c r="C894" t="s">
        <v>33</v>
      </c>
      <c r="D894" s="32">
        <v>70000</v>
      </c>
      <c r="E894">
        <v>4</v>
      </c>
      <c r="F894" t="s">
        <v>13</v>
      </c>
      <c r="G894" t="s">
        <v>14</v>
      </c>
      <c r="H894" t="s">
        <v>15</v>
      </c>
      <c r="I894">
        <v>2</v>
      </c>
      <c r="J894" t="s">
        <v>22</v>
      </c>
      <c r="K894" t="s">
        <v>32</v>
      </c>
      <c r="L894">
        <v>43</v>
      </c>
      <c r="M894" t="s">
        <v>15</v>
      </c>
    </row>
    <row r="895" spans="1:13" x14ac:dyDescent="0.25">
      <c r="A895">
        <v>14569</v>
      </c>
      <c r="B895" t="s">
        <v>34</v>
      </c>
      <c r="C895" t="s">
        <v>34</v>
      </c>
      <c r="D895" s="32">
        <v>60000</v>
      </c>
      <c r="E895">
        <v>1</v>
      </c>
      <c r="F895" t="s">
        <v>31</v>
      </c>
      <c r="G895" t="s">
        <v>21</v>
      </c>
      <c r="H895" t="s">
        <v>15</v>
      </c>
      <c r="I895">
        <v>0</v>
      </c>
      <c r="J895" t="s">
        <v>16</v>
      </c>
      <c r="K895" t="s">
        <v>32</v>
      </c>
      <c r="L895">
        <v>35</v>
      </c>
      <c r="M895" t="s">
        <v>18</v>
      </c>
    </row>
    <row r="896" spans="1:13" x14ac:dyDescent="0.25">
      <c r="A896">
        <v>13873</v>
      </c>
      <c r="B896" t="s">
        <v>34</v>
      </c>
      <c r="C896" t="s">
        <v>34</v>
      </c>
      <c r="D896" s="32">
        <v>70000</v>
      </c>
      <c r="E896">
        <v>3</v>
      </c>
      <c r="F896" t="s">
        <v>31</v>
      </c>
      <c r="G896" t="s">
        <v>21</v>
      </c>
      <c r="H896" t="s">
        <v>15</v>
      </c>
      <c r="I896">
        <v>0</v>
      </c>
      <c r="J896" t="s">
        <v>16</v>
      </c>
      <c r="K896" t="s">
        <v>32</v>
      </c>
      <c r="L896">
        <v>35</v>
      </c>
      <c r="M896" t="s">
        <v>15</v>
      </c>
    </row>
    <row r="897" spans="1:13" x14ac:dyDescent="0.25">
      <c r="A897">
        <v>20401</v>
      </c>
      <c r="B897" t="s">
        <v>34</v>
      </c>
      <c r="C897" t="s">
        <v>33</v>
      </c>
      <c r="D897" s="32">
        <v>50000</v>
      </c>
      <c r="E897">
        <v>4</v>
      </c>
      <c r="F897" t="s">
        <v>13</v>
      </c>
      <c r="G897" t="s">
        <v>28</v>
      </c>
      <c r="H897" t="s">
        <v>15</v>
      </c>
      <c r="I897">
        <v>2</v>
      </c>
      <c r="J897" t="s">
        <v>26</v>
      </c>
      <c r="K897" t="s">
        <v>32</v>
      </c>
      <c r="L897">
        <v>64</v>
      </c>
      <c r="M897" t="s">
        <v>15</v>
      </c>
    </row>
    <row r="898" spans="1:13" x14ac:dyDescent="0.25">
      <c r="A898">
        <v>21583</v>
      </c>
      <c r="B898" t="s">
        <v>34</v>
      </c>
      <c r="C898" t="s">
        <v>33</v>
      </c>
      <c r="D898" s="32">
        <v>50000</v>
      </c>
      <c r="E898">
        <v>1</v>
      </c>
      <c r="F898" t="s">
        <v>13</v>
      </c>
      <c r="G898" t="s">
        <v>14</v>
      </c>
      <c r="H898" t="s">
        <v>15</v>
      </c>
      <c r="I898">
        <v>0</v>
      </c>
      <c r="J898" t="s">
        <v>16</v>
      </c>
      <c r="K898" t="s">
        <v>32</v>
      </c>
      <c r="L898">
        <v>34</v>
      </c>
      <c r="M898" t="s">
        <v>15</v>
      </c>
    </row>
    <row r="899" spans="1:13" x14ac:dyDescent="0.25">
      <c r="A899">
        <v>12029</v>
      </c>
      <c r="B899" t="s">
        <v>34</v>
      </c>
      <c r="C899" t="s">
        <v>34</v>
      </c>
      <c r="D899" s="32">
        <v>30000</v>
      </c>
      <c r="E899">
        <v>0</v>
      </c>
      <c r="F899" t="s">
        <v>29</v>
      </c>
      <c r="G899" t="s">
        <v>20</v>
      </c>
      <c r="H899" t="s">
        <v>18</v>
      </c>
      <c r="I899">
        <v>2</v>
      </c>
      <c r="J899" t="s">
        <v>16</v>
      </c>
      <c r="K899" t="s">
        <v>32</v>
      </c>
      <c r="L899">
        <v>28</v>
      </c>
      <c r="M899" t="s">
        <v>18</v>
      </c>
    </row>
    <row r="900" spans="1:13" x14ac:dyDescent="0.25">
      <c r="A900">
        <v>18066</v>
      </c>
      <c r="B900" t="s">
        <v>35</v>
      </c>
      <c r="C900" t="s">
        <v>34</v>
      </c>
      <c r="D900" s="32">
        <v>70000</v>
      </c>
      <c r="E900">
        <v>5</v>
      </c>
      <c r="F900" t="s">
        <v>13</v>
      </c>
      <c r="G900" t="s">
        <v>28</v>
      </c>
      <c r="H900" t="s">
        <v>15</v>
      </c>
      <c r="I900">
        <v>3</v>
      </c>
      <c r="J900" t="s">
        <v>30</v>
      </c>
      <c r="K900" t="s">
        <v>32</v>
      </c>
      <c r="L900">
        <v>60</v>
      </c>
      <c r="M900" t="s">
        <v>15</v>
      </c>
    </row>
    <row r="901" spans="1:13" x14ac:dyDescent="0.25">
      <c r="A901">
        <v>28192</v>
      </c>
      <c r="B901" t="s">
        <v>34</v>
      </c>
      <c r="C901" t="s">
        <v>33</v>
      </c>
      <c r="D901" s="32">
        <v>70000</v>
      </c>
      <c r="E901">
        <v>5</v>
      </c>
      <c r="F901" t="s">
        <v>31</v>
      </c>
      <c r="G901" t="s">
        <v>21</v>
      </c>
      <c r="H901" t="s">
        <v>15</v>
      </c>
      <c r="I901">
        <v>3</v>
      </c>
      <c r="J901" t="s">
        <v>30</v>
      </c>
      <c r="K901" t="s">
        <v>32</v>
      </c>
      <c r="L901">
        <v>46</v>
      </c>
      <c r="M901" t="s">
        <v>18</v>
      </c>
    </row>
    <row r="902" spans="1:13" x14ac:dyDescent="0.25">
      <c r="A902">
        <v>16122</v>
      </c>
      <c r="B902" t="s">
        <v>34</v>
      </c>
      <c r="C902" t="s">
        <v>34</v>
      </c>
      <c r="D902" s="32">
        <v>40000</v>
      </c>
      <c r="E902">
        <v>4</v>
      </c>
      <c r="F902" t="s">
        <v>27</v>
      </c>
      <c r="G902" t="s">
        <v>14</v>
      </c>
      <c r="H902" t="s">
        <v>15</v>
      </c>
      <c r="I902">
        <v>2</v>
      </c>
      <c r="J902" t="s">
        <v>16</v>
      </c>
      <c r="K902" t="s">
        <v>32</v>
      </c>
      <c r="L902">
        <v>44</v>
      </c>
      <c r="M902" t="s">
        <v>15</v>
      </c>
    </row>
    <row r="903" spans="1:13" x14ac:dyDescent="0.25">
      <c r="A903">
        <v>18607</v>
      </c>
      <c r="B903" t="s">
        <v>35</v>
      </c>
      <c r="C903" t="s">
        <v>33</v>
      </c>
      <c r="D903" s="32">
        <v>60000</v>
      </c>
      <c r="E903">
        <v>4</v>
      </c>
      <c r="F903" t="s">
        <v>13</v>
      </c>
      <c r="G903" t="s">
        <v>14</v>
      </c>
      <c r="H903" t="s">
        <v>15</v>
      </c>
      <c r="I903">
        <v>2</v>
      </c>
      <c r="J903" t="s">
        <v>22</v>
      </c>
      <c r="K903" t="s">
        <v>32</v>
      </c>
      <c r="L903">
        <v>42</v>
      </c>
      <c r="M903" t="s">
        <v>15</v>
      </c>
    </row>
    <row r="904" spans="1:13" x14ac:dyDescent="0.25">
      <c r="A904">
        <v>28858</v>
      </c>
      <c r="B904" t="s">
        <v>35</v>
      </c>
      <c r="C904" t="s">
        <v>34</v>
      </c>
      <c r="D904" s="32">
        <v>80000</v>
      </c>
      <c r="E904">
        <v>3</v>
      </c>
      <c r="F904" t="s">
        <v>13</v>
      </c>
      <c r="G904" t="s">
        <v>14</v>
      </c>
      <c r="H904" t="s">
        <v>15</v>
      </c>
      <c r="I904">
        <v>0</v>
      </c>
      <c r="J904" t="s">
        <v>22</v>
      </c>
      <c r="K904" t="s">
        <v>32</v>
      </c>
      <c r="L904">
        <v>40</v>
      </c>
      <c r="M904" t="s">
        <v>18</v>
      </c>
    </row>
    <row r="905" spans="1:13" x14ac:dyDescent="0.25">
      <c r="A905">
        <v>14432</v>
      </c>
      <c r="B905" t="s">
        <v>35</v>
      </c>
      <c r="C905" t="s">
        <v>34</v>
      </c>
      <c r="D905" s="32">
        <v>90000</v>
      </c>
      <c r="E905">
        <v>4</v>
      </c>
      <c r="F905" t="s">
        <v>31</v>
      </c>
      <c r="G905" t="s">
        <v>28</v>
      </c>
      <c r="H905" t="s">
        <v>15</v>
      </c>
      <c r="I905">
        <v>1</v>
      </c>
      <c r="J905" t="s">
        <v>23</v>
      </c>
      <c r="K905" t="s">
        <v>32</v>
      </c>
      <c r="L905">
        <v>73</v>
      </c>
      <c r="M905" t="s">
        <v>18</v>
      </c>
    </row>
    <row r="906" spans="1:13" x14ac:dyDescent="0.25">
      <c r="A906">
        <v>26305</v>
      </c>
      <c r="B906" t="s">
        <v>35</v>
      </c>
      <c r="C906" t="s">
        <v>33</v>
      </c>
      <c r="D906" s="32">
        <v>60000</v>
      </c>
      <c r="E906">
        <v>2</v>
      </c>
      <c r="F906" t="s">
        <v>13</v>
      </c>
      <c r="G906" t="s">
        <v>14</v>
      </c>
      <c r="H906" t="s">
        <v>18</v>
      </c>
      <c r="I906">
        <v>0</v>
      </c>
      <c r="J906" t="s">
        <v>16</v>
      </c>
      <c r="K906" t="s">
        <v>32</v>
      </c>
      <c r="L906">
        <v>36</v>
      </c>
      <c r="M906" t="s">
        <v>15</v>
      </c>
    </row>
    <row r="907" spans="1:13" x14ac:dyDescent="0.25">
      <c r="A907">
        <v>22050</v>
      </c>
      <c r="B907" t="s">
        <v>35</v>
      </c>
      <c r="C907" t="s">
        <v>34</v>
      </c>
      <c r="D907" s="32">
        <v>90000</v>
      </c>
      <c r="E907">
        <v>4</v>
      </c>
      <c r="F907" t="s">
        <v>13</v>
      </c>
      <c r="G907" t="s">
        <v>28</v>
      </c>
      <c r="H907" t="s">
        <v>15</v>
      </c>
      <c r="I907">
        <v>1</v>
      </c>
      <c r="J907" t="s">
        <v>26</v>
      </c>
      <c r="K907" t="s">
        <v>32</v>
      </c>
      <c r="L907">
        <v>38</v>
      </c>
      <c r="M907" t="s">
        <v>15</v>
      </c>
    </row>
    <row r="908" spans="1:13" x14ac:dyDescent="0.25">
      <c r="A908">
        <v>25394</v>
      </c>
      <c r="B908" t="s">
        <v>34</v>
      </c>
      <c r="C908" t="s">
        <v>34</v>
      </c>
      <c r="D908" s="32">
        <v>60000</v>
      </c>
      <c r="E908">
        <v>1</v>
      </c>
      <c r="F908" t="s">
        <v>31</v>
      </c>
      <c r="G908" t="s">
        <v>21</v>
      </c>
      <c r="H908" t="s">
        <v>15</v>
      </c>
      <c r="I908">
        <v>0</v>
      </c>
      <c r="J908" t="s">
        <v>22</v>
      </c>
      <c r="K908" t="s">
        <v>32</v>
      </c>
      <c r="L908">
        <v>34</v>
      </c>
      <c r="M908" t="s">
        <v>15</v>
      </c>
    </row>
    <row r="909" spans="1:13" x14ac:dyDescent="0.25">
      <c r="A909">
        <v>19747</v>
      </c>
      <c r="B909" t="s">
        <v>34</v>
      </c>
      <c r="C909" t="s">
        <v>34</v>
      </c>
      <c r="D909" s="32">
        <v>50000</v>
      </c>
      <c r="E909">
        <v>4</v>
      </c>
      <c r="F909" t="s">
        <v>13</v>
      </c>
      <c r="G909" t="s">
        <v>28</v>
      </c>
      <c r="H909" t="s">
        <v>15</v>
      </c>
      <c r="I909">
        <v>2</v>
      </c>
      <c r="J909" t="s">
        <v>30</v>
      </c>
      <c r="K909" t="s">
        <v>32</v>
      </c>
      <c r="L909">
        <v>63</v>
      </c>
      <c r="M909" t="s">
        <v>18</v>
      </c>
    </row>
    <row r="910" spans="1:13" x14ac:dyDescent="0.25">
      <c r="A910">
        <v>23195</v>
      </c>
      <c r="B910" t="s">
        <v>35</v>
      </c>
      <c r="C910" t="s">
        <v>34</v>
      </c>
      <c r="D910" s="32">
        <v>50000</v>
      </c>
      <c r="E910">
        <v>3</v>
      </c>
      <c r="F910" t="s">
        <v>13</v>
      </c>
      <c r="G910" t="s">
        <v>14</v>
      </c>
      <c r="H910" t="s">
        <v>15</v>
      </c>
      <c r="I910">
        <v>2</v>
      </c>
      <c r="J910" t="s">
        <v>22</v>
      </c>
      <c r="K910" t="s">
        <v>32</v>
      </c>
      <c r="L910">
        <v>41</v>
      </c>
      <c r="M910" t="s">
        <v>15</v>
      </c>
    </row>
    <row r="911" spans="1:13" x14ac:dyDescent="0.25">
      <c r="A911">
        <v>21695</v>
      </c>
      <c r="B911" t="s">
        <v>34</v>
      </c>
      <c r="C911" t="s">
        <v>34</v>
      </c>
      <c r="D911" s="32">
        <v>60000</v>
      </c>
      <c r="E911">
        <v>0</v>
      </c>
      <c r="F911" t="s">
        <v>31</v>
      </c>
      <c r="G911" t="s">
        <v>14</v>
      </c>
      <c r="H911" t="s">
        <v>15</v>
      </c>
      <c r="I911">
        <v>0</v>
      </c>
      <c r="J911" t="s">
        <v>26</v>
      </c>
      <c r="K911" t="s">
        <v>32</v>
      </c>
      <c r="L911">
        <v>39</v>
      </c>
      <c r="M911" t="s">
        <v>15</v>
      </c>
    </row>
    <row r="912" spans="1:13" x14ac:dyDescent="0.25">
      <c r="A912">
        <v>13934</v>
      </c>
      <c r="B912" t="s">
        <v>34</v>
      </c>
      <c r="C912" t="s">
        <v>34</v>
      </c>
      <c r="D912" s="32">
        <v>40000</v>
      </c>
      <c r="E912">
        <v>4</v>
      </c>
      <c r="F912" t="s">
        <v>27</v>
      </c>
      <c r="G912" t="s">
        <v>14</v>
      </c>
      <c r="H912" t="s">
        <v>15</v>
      </c>
      <c r="I912">
        <v>2</v>
      </c>
      <c r="J912" t="s">
        <v>22</v>
      </c>
      <c r="K912" t="s">
        <v>32</v>
      </c>
      <c r="L912">
        <v>46</v>
      </c>
      <c r="M912" t="s">
        <v>18</v>
      </c>
    </row>
    <row r="913" spans="1:13" x14ac:dyDescent="0.25">
      <c r="A913">
        <v>13337</v>
      </c>
      <c r="B913" t="s">
        <v>34</v>
      </c>
      <c r="C913" t="s">
        <v>33</v>
      </c>
      <c r="D913" s="32">
        <v>80000</v>
      </c>
      <c r="E913">
        <v>5</v>
      </c>
      <c r="F913" t="s">
        <v>13</v>
      </c>
      <c r="G913" t="s">
        <v>28</v>
      </c>
      <c r="H913" t="s">
        <v>15</v>
      </c>
      <c r="I913">
        <v>2</v>
      </c>
      <c r="J913" t="s">
        <v>23</v>
      </c>
      <c r="K913" t="s">
        <v>32</v>
      </c>
      <c r="L913">
        <v>64</v>
      </c>
      <c r="M913" t="s">
        <v>18</v>
      </c>
    </row>
    <row r="914" spans="1:13" x14ac:dyDescent="0.25">
      <c r="A914">
        <v>27190</v>
      </c>
      <c r="B914" t="s">
        <v>34</v>
      </c>
      <c r="C914" t="s">
        <v>33</v>
      </c>
      <c r="D914" s="32">
        <v>40000</v>
      </c>
      <c r="E914">
        <v>3</v>
      </c>
      <c r="F914" t="s">
        <v>19</v>
      </c>
      <c r="G914" t="s">
        <v>20</v>
      </c>
      <c r="H914" t="s">
        <v>15</v>
      </c>
      <c r="I914">
        <v>1</v>
      </c>
      <c r="J914" t="s">
        <v>26</v>
      </c>
      <c r="K914" t="s">
        <v>32</v>
      </c>
      <c r="L914">
        <v>32</v>
      </c>
      <c r="M914" t="s">
        <v>18</v>
      </c>
    </row>
    <row r="915" spans="1:13" x14ac:dyDescent="0.25">
      <c r="A915">
        <v>28657</v>
      </c>
      <c r="B915" t="s">
        <v>35</v>
      </c>
      <c r="C915" t="s">
        <v>34</v>
      </c>
      <c r="D915" s="32">
        <v>60000</v>
      </c>
      <c r="E915">
        <v>2</v>
      </c>
      <c r="F915" t="s">
        <v>13</v>
      </c>
      <c r="G915" t="s">
        <v>14</v>
      </c>
      <c r="H915" t="s">
        <v>15</v>
      </c>
      <c r="I915">
        <v>0</v>
      </c>
      <c r="J915" t="s">
        <v>22</v>
      </c>
      <c r="K915" t="s">
        <v>32</v>
      </c>
      <c r="L915">
        <v>36</v>
      </c>
      <c r="M915" t="s">
        <v>15</v>
      </c>
    </row>
    <row r="916" spans="1:13" x14ac:dyDescent="0.25">
      <c r="A916">
        <v>21713</v>
      </c>
      <c r="B916" t="s">
        <v>35</v>
      </c>
      <c r="C916" t="s">
        <v>34</v>
      </c>
      <c r="D916" s="32">
        <v>80000</v>
      </c>
      <c r="E916">
        <v>5</v>
      </c>
      <c r="F916" t="s">
        <v>31</v>
      </c>
      <c r="G916" t="s">
        <v>14</v>
      </c>
      <c r="H916" t="s">
        <v>18</v>
      </c>
      <c r="I916">
        <v>0</v>
      </c>
      <c r="J916" t="s">
        <v>16</v>
      </c>
      <c r="K916" t="s">
        <v>32</v>
      </c>
      <c r="L916">
        <v>47</v>
      </c>
      <c r="M916" t="s">
        <v>18</v>
      </c>
    </row>
    <row r="917" spans="1:13" x14ac:dyDescent="0.25">
      <c r="A917">
        <v>21752</v>
      </c>
      <c r="B917" t="s">
        <v>34</v>
      </c>
      <c r="C917" t="s">
        <v>34</v>
      </c>
      <c r="D917" s="32">
        <v>60000</v>
      </c>
      <c r="E917">
        <v>3</v>
      </c>
      <c r="F917" t="s">
        <v>31</v>
      </c>
      <c r="G917" t="s">
        <v>28</v>
      </c>
      <c r="H917" t="s">
        <v>15</v>
      </c>
      <c r="I917">
        <v>2</v>
      </c>
      <c r="J917" t="s">
        <v>30</v>
      </c>
      <c r="K917" t="s">
        <v>32</v>
      </c>
      <c r="L917">
        <v>64</v>
      </c>
      <c r="M917" t="s">
        <v>18</v>
      </c>
    </row>
    <row r="918" spans="1:13" x14ac:dyDescent="0.25">
      <c r="A918">
        <v>27273</v>
      </c>
      <c r="B918" t="s">
        <v>35</v>
      </c>
      <c r="C918" t="s">
        <v>34</v>
      </c>
      <c r="D918" s="32">
        <v>70000</v>
      </c>
      <c r="E918">
        <v>3</v>
      </c>
      <c r="F918" t="s">
        <v>31</v>
      </c>
      <c r="G918" t="s">
        <v>21</v>
      </c>
      <c r="H918" t="s">
        <v>18</v>
      </c>
      <c r="I918">
        <v>0</v>
      </c>
      <c r="J918" t="s">
        <v>16</v>
      </c>
      <c r="K918" t="s">
        <v>32</v>
      </c>
      <c r="L918">
        <v>35</v>
      </c>
      <c r="M918" t="s">
        <v>15</v>
      </c>
    </row>
    <row r="919" spans="1:13" x14ac:dyDescent="0.25">
      <c r="A919">
        <v>22719</v>
      </c>
      <c r="B919" t="s">
        <v>35</v>
      </c>
      <c r="C919" t="s">
        <v>34</v>
      </c>
      <c r="D919" s="32">
        <v>110000</v>
      </c>
      <c r="E919">
        <v>3</v>
      </c>
      <c r="F919" t="s">
        <v>13</v>
      </c>
      <c r="G919" t="s">
        <v>28</v>
      </c>
      <c r="H919" t="s">
        <v>15</v>
      </c>
      <c r="I919">
        <v>4</v>
      </c>
      <c r="J919" t="s">
        <v>22</v>
      </c>
      <c r="K919" t="s">
        <v>32</v>
      </c>
      <c r="L919">
        <v>40</v>
      </c>
      <c r="M919" t="s">
        <v>15</v>
      </c>
    </row>
    <row r="920" spans="1:13" x14ac:dyDescent="0.25">
      <c r="A920">
        <v>22042</v>
      </c>
      <c r="B920" t="s">
        <v>34</v>
      </c>
      <c r="C920" t="s">
        <v>33</v>
      </c>
      <c r="D920" s="32">
        <v>70000</v>
      </c>
      <c r="E920">
        <v>0</v>
      </c>
      <c r="F920" t="s">
        <v>19</v>
      </c>
      <c r="G920" t="s">
        <v>14</v>
      </c>
      <c r="H920" t="s">
        <v>15</v>
      </c>
      <c r="I920">
        <v>2</v>
      </c>
      <c r="J920" t="s">
        <v>23</v>
      </c>
      <c r="K920" t="s">
        <v>32</v>
      </c>
      <c r="L920">
        <v>34</v>
      </c>
      <c r="M920" t="s">
        <v>15</v>
      </c>
    </row>
    <row r="921" spans="1:13" x14ac:dyDescent="0.25">
      <c r="A921">
        <v>21451</v>
      </c>
      <c r="B921" t="s">
        <v>34</v>
      </c>
      <c r="C921" t="s">
        <v>33</v>
      </c>
      <c r="D921" s="32">
        <v>40000</v>
      </c>
      <c r="E921">
        <v>4</v>
      </c>
      <c r="F921" t="s">
        <v>27</v>
      </c>
      <c r="G921" t="s">
        <v>21</v>
      </c>
      <c r="H921" t="s">
        <v>15</v>
      </c>
      <c r="I921">
        <v>2</v>
      </c>
      <c r="J921" t="s">
        <v>30</v>
      </c>
      <c r="K921" t="s">
        <v>32</v>
      </c>
      <c r="L921">
        <v>61</v>
      </c>
      <c r="M921" t="s">
        <v>18</v>
      </c>
    </row>
    <row r="922" spans="1:13" x14ac:dyDescent="0.25">
      <c r="A922">
        <v>20754</v>
      </c>
      <c r="B922" t="s">
        <v>34</v>
      </c>
      <c r="C922" t="s">
        <v>34</v>
      </c>
      <c r="D922" s="32">
        <v>30000</v>
      </c>
      <c r="E922">
        <v>2</v>
      </c>
      <c r="F922" t="s">
        <v>27</v>
      </c>
      <c r="G922" t="s">
        <v>14</v>
      </c>
      <c r="H922" t="s">
        <v>15</v>
      </c>
      <c r="I922">
        <v>2</v>
      </c>
      <c r="J922" t="s">
        <v>26</v>
      </c>
      <c r="K922" t="s">
        <v>32</v>
      </c>
      <c r="L922">
        <v>51</v>
      </c>
      <c r="M922" t="s">
        <v>18</v>
      </c>
    </row>
    <row r="923" spans="1:13" x14ac:dyDescent="0.25">
      <c r="A923">
        <v>12153</v>
      </c>
      <c r="B923" t="s">
        <v>35</v>
      </c>
      <c r="C923" t="s">
        <v>33</v>
      </c>
      <c r="D923" s="32">
        <v>70000</v>
      </c>
      <c r="E923">
        <v>3</v>
      </c>
      <c r="F923" t="s">
        <v>19</v>
      </c>
      <c r="G923" t="s">
        <v>21</v>
      </c>
      <c r="H923" t="s">
        <v>15</v>
      </c>
      <c r="I923">
        <v>1</v>
      </c>
      <c r="J923" t="s">
        <v>23</v>
      </c>
      <c r="K923" t="s">
        <v>32</v>
      </c>
      <c r="L923">
        <v>49</v>
      </c>
      <c r="M923" t="s">
        <v>15</v>
      </c>
    </row>
    <row r="924" spans="1:13" x14ac:dyDescent="0.25">
      <c r="A924">
        <v>16895</v>
      </c>
      <c r="B924" t="s">
        <v>34</v>
      </c>
      <c r="C924" t="s">
        <v>33</v>
      </c>
      <c r="D924" s="32">
        <v>40000</v>
      </c>
      <c r="E924">
        <v>3</v>
      </c>
      <c r="F924" t="s">
        <v>19</v>
      </c>
      <c r="G924" t="s">
        <v>21</v>
      </c>
      <c r="H924" t="s">
        <v>18</v>
      </c>
      <c r="I924">
        <v>2</v>
      </c>
      <c r="J924" t="s">
        <v>26</v>
      </c>
      <c r="K924" t="s">
        <v>32</v>
      </c>
      <c r="L924">
        <v>54</v>
      </c>
      <c r="M924" t="s">
        <v>15</v>
      </c>
    </row>
    <row r="925" spans="1:13" x14ac:dyDescent="0.25">
      <c r="A925">
        <v>26728</v>
      </c>
      <c r="B925" t="s">
        <v>35</v>
      </c>
      <c r="C925" t="s">
        <v>34</v>
      </c>
      <c r="D925" s="32">
        <v>70000</v>
      </c>
      <c r="E925">
        <v>3</v>
      </c>
      <c r="F925" t="s">
        <v>31</v>
      </c>
      <c r="G925" t="s">
        <v>28</v>
      </c>
      <c r="H925" t="s">
        <v>18</v>
      </c>
      <c r="I925">
        <v>2</v>
      </c>
      <c r="J925" t="s">
        <v>26</v>
      </c>
      <c r="K925" t="s">
        <v>32</v>
      </c>
      <c r="L925">
        <v>53</v>
      </c>
      <c r="M925" t="s">
        <v>15</v>
      </c>
    </row>
    <row r="926" spans="1:13" x14ac:dyDescent="0.25">
      <c r="A926">
        <v>11090</v>
      </c>
      <c r="B926" t="s">
        <v>35</v>
      </c>
      <c r="C926" t="s">
        <v>34</v>
      </c>
      <c r="D926" s="32">
        <v>90000</v>
      </c>
      <c r="E926">
        <v>2</v>
      </c>
      <c r="F926" t="s">
        <v>19</v>
      </c>
      <c r="G926" t="s">
        <v>21</v>
      </c>
      <c r="H926" t="s">
        <v>15</v>
      </c>
      <c r="I926">
        <v>1</v>
      </c>
      <c r="J926" t="s">
        <v>22</v>
      </c>
      <c r="K926" t="s">
        <v>32</v>
      </c>
      <c r="L926">
        <v>48</v>
      </c>
      <c r="M926" t="s">
        <v>15</v>
      </c>
    </row>
    <row r="927" spans="1:13" x14ac:dyDescent="0.25">
      <c r="A927">
        <v>15862</v>
      </c>
      <c r="B927" t="s">
        <v>35</v>
      </c>
      <c r="C927" t="s">
        <v>33</v>
      </c>
      <c r="D927" s="32">
        <v>50000</v>
      </c>
      <c r="E927">
        <v>0</v>
      </c>
      <c r="F927" t="s">
        <v>31</v>
      </c>
      <c r="G927" t="s">
        <v>14</v>
      </c>
      <c r="H927" t="s">
        <v>15</v>
      </c>
      <c r="I927">
        <v>0</v>
      </c>
      <c r="J927" t="s">
        <v>26</v>
      </c>
      <c r="K927" t="s">
        <v>32</v>
      </c>
      <c r="L927">
        <v>33</v>
      </c>
      <c r="M927" t="s">
        <v>15</v>
      </c>
    </row>
    <row r="928" spans="1:13" x14ac:dyDescent="0.25">
      <c r="A928">
        <v>26495</v>
      </c>
      <c r="B928" t="s">
        <v>35</v>
      </c>
      <c r="C928" t="s">
        <v>33</v>
      </c>
      <c r="D928" s="32">
        <v>40000</v>
      </c>
      <c r="E928">
        <v>2</v>
      </c>
      <c r="F928" t="s">
        <v>27</v>
      </c>
      <c r="G928" t="s">
        <v>21</v>
      </c>
      <c r="H928" t="s">
        <v>15</v>
      </c>
      <c r="I928">
        <v>2</v>
      </c>
      <c r="J928" t="s">
        <v>30</v>
      </c>
      <c r="K928" t="s">
        <v>32</v>
      </c>
      <c r="L928">
        <v>57</v>
      </c>
      <c r="M928" t="s">
        <v>18</v>
      </c>
    </row>
    <row r="929" spans="1:13" x14ac:dyDescent="0.25">
      <c r="A929">
        <v>11823</v>
      </c>
      <c r="B929" t="s">
        <v>34</v>
      </c>
      <c r="C929" t="s">
        <v>33</v>
      </c>
      <c r="D929" s="32">
        <v>70000</v>
      </c>
      <c r="E929">
        <v>0</v>
      </c>
      <c r="F929" t="s">
        <v>31</v>
      </c>
      <c r="G929" t="s">
        <v>21</v>
      </c>
      <c r="H929" t="s">
        <v>15</v>
      </c>
      <c r="I929">
        <v>0</v>
      </c>
      <c r="J929" t="s">
        <v>22</v>
      </c>
      <c r="K929" t="s">
        <v>32</v>
      </c>
      <c r="L929">
        <v>39</v>
      </c>
      <c r="M929" t="s">
        <v>18</v>
      </c>
    </row>
    <row r="930" spans="1:13" x14ac:dyDescent="0.25">
      <c r="A930">
        <v>23449</v>
      </c>
      <c r="B930" t="s">
        <v>34</v>
      </c>
      <c r="C930" t="s">
        <v>34</v>
      </c>
      <c r="D930" s="32">
        <v>60000</v>
      </c>
      <c r="E930">
        <v>2</v>
      </c>
      <c r="F930" t="s">
        <v>27</v>
      </c>
      <c r="G930" t="s">
        <v>21</v>
      </c>
      <c r="H930" t="s">
        <v>15</v>
      </c>
      <c r="I930">
        <v>2</v>
      </c>
      <c r="J930" t="s">
        <v>23</v>
      </c>
      <c r="K930" t="s">
        <v>32</v>
      </c>
      <c r="L930">
        <v>48</v>
      </c>
      <c r="M930" t="s">
        <v>18</v>
      </c>
    </row>
    <row r="931" spans="1:13" x14ac:dyDescent="0.25">
      <c r="A931">
        <v>23459</v>
      </c>
      <c r="B931" t="s">
        <v>34</v>
      </c>
      <c r="C931" t="s">
        <v>34</v>
      </c>
      <c r="D931" s="32">
        <v>60000</v>
      </c>
      <c r="E931">
        <v>2</v>
      </c>
      <c r="F931" t="s">
        <v>27</v>
      </c>
      <c r="G931" t="s">
        <v>21</v>
      </c>
      <c r="H931" t="s">
        <v>15</v>
      </c>
      <c r="I931">
        <v>2</v>
      </c>
      <c r="J931" t="s">
        <v>23</v>
      </c>
      <c r="K931" t="s">
        <v>32</v>
      </c>
      <c r="L931">
        <v>50</v>
      </c>
      <c r="M931" t="s">
        <v>18</v>
      </c>
    </row>
    <row r="932" spans="1:13" x14ac:dyDescent="0.25">
      <c r="A932">
        <v>19543</v>
      </c>
      <c r="B932" t="s">
        <v>34</v>
      </c>
      <c r="C932" t="s">
        <v>34</v>
      </c>
      <c r="D932" s="32">
        <v>70000</v>
      </c>
      <c r="E932">
        <v>5</v>
      </c>
      <c r="F932" t="s">
        <v>31</v>
      </c>
      <c r="G932" t="s">
        <v>21</v>
      </c>
      <c r="H932" t="s">
        <v>18</v>
      </c>
      <c r="I932">
        <v>3</v>
      </c>
      <c r="J932" t="s">
        <v>30</v>
      </c>
      <c r="K932" t="s">
        <v>32</v>
      </c>
      <c r="L932">
        <v>47</v>
      </c>
      <c r="M932" t="s">
        <v>18</v>
      </c>
    </row>
    <row r="933" spans="1:13" x14ac:dyDescent="0.25">
      <c r="A933">
        <v>14914</v>
      </c>
      <c r="B933" t="s">
        <v>34</v>
      </c>
      <c r="C933" t="s">
        <v>33</v>
      </c>
      <c r="D933" s="32">
        <v>40000</v>
      </c>
      <c r="E933">
        <v>1</v>
      </c>
      <c r="F933" t="s">
        <v>19</v>
      </c>
      <c r="G933" t="s">
        <v>20</v>
      </c>
      <c r="H933" t="s">
        <v>15</v>
      </c>
      <c r="I933">
        <v>1</v>
      </c>
      <c r="J933" t="s">
        <v>26</v>
      </c>
      <c r="K933" t="s">
        <v>32</v>
      </c>
      <c r="L933">
        <v>49</v>
      </c>
      <c r="M933" t="s">
        <v>15</v>
      </c>
    </row>
    <row r="934" spans="1:13" x14ac:dyDescent="0.25">
      <c r="A934">
        <v>12033</v>
      </c>
      <c r="B934" t="s">
        <v>35</v>
      </c>
      <c r="C934" t="s">
        <v>33</v>
      </c>
      <c r="D934" s="32">
        <v>40000</v>
      </c>
      <c r="E934">
        <v>0</v>
      </c>
      <c r="F934" t="s">
        <v>27</v>
      </c>
      <c r="G934" t="s">
        <v>14</v>
      </c>
      <c r="H934" t="s">
        <v>18</v>
      </c>
      <c r="I934">
        <v>2</v>
      </c>
      <c r="J934" t="s">
        <v>16</v>
      </c>
      <c r="K934" t="s">
        <v>32</v>
      </c>
      <c r="L934">
        <v>27</v>
      </c>
      <c r="M934" t="s">
        <v>15</v>
      </c>
    </row>
    <row r="935" spans="1:13" x14ac:dyDescent="0.25">
      <c r="A935">
        <v>11941</v>
      </c>
      <c r="B935" t="s">
        <v>35</v>
      </c>
      <c r="C935" t="s">
        <v>34</v>
      </c>
      <c r="D935" s="32">
        <v>60000</v>
      </c>
      <c r="E935">
        <v>0</v>
      </c>
      <c r="F935" t="s">
        <v>19</v>
      </c>
      <c r="G935" t="s">
        <v>14</v>
      </c>
      <c r="H935" t="s">
        <v>15</v>
      </c>
      <c r="I935">
        <v>0</v>
      </c>
      <c r="J935" t="s">
        <v>23</v>
      </c>
      <c r="K935" t="s">
        <v>32</v>
      </c>
      <c r="L935">
        <v>29</v>
      </c>
      <c r="M935" t="s">
        <v>18</v>
      </c>
    </row>
    <row r="936" spans="1:13" x14ac:dyDescent="0.25">
      <c r="A936">
        <v>14389</v>
      </c>
      <c r="B936" t="s">
        <v>34</v>
      </c>
      <c r="C936" t="s">
        <v>34</v>
      </c>
      <c r="D936" s="32">
        <v>60000</v>
      </c>
      <c r="E936">
        <v>2</v>
      </c>
      <c r="F936" t="s">
        <v>13</v>
      </c>
      <c r="G936" t="s">
        <v>28</v>
      </c>
      <c r="H936" t="s">
        <v>15</v>
      </c>
      <c r="I936">
        <v>0</v>
      </c>
      <c r="J936" t="s">
        <v>22</v>
      </c>
      <c r="K936" t="s">
        <v>32</v>
      </c>
      <c r="L936">
        <v>59</v>
      </c>
      <c r="M936" t="s">
        <v>18</v>
      </c>
    </row>
    <row r="937" spans="1:13" x14ac:dyDescent="0.25">
      <c r="A937">
        <v>18050</v>
      </c>
      <c r="B937" t="s">
        <v>34</v>
      </c>
      <c r="C937" t="s">
        <v>33</v>
      </c>
      <c r="D937" s="32">
        <v>60000</v>
      </c>
      <c r="E937">
        <v>1</v>
      </c>
      <c r="F937" t="s">
        <v>19</v>
      </c>
      <c r="G937" t="s">
        <v>14</v>
      </c>
      <c r="H937" t="s">
        <v>15</v>
      </c>
      <c r="I937">
        <v>1</v>
      </c>
      <c r="J937" t="s">
        <v>16</v>
      </c>
      <c r="K937" t="s">
        <v>32</v>
      </c>
      <c r="L937">
        <v>45</v>
      </c>
      <c r="M937" t="s">
        <v>15</v>
      </c>
    </row>
    <row r="938" spans="1:13" x14ac:dyDescent="0.25">
      <c r="A938">
        <v>19856</v>
      </c>
      <c r="B938" t="s">
        <v>34</v>
      </c>
      <c r="C938" t="s">
        <v>33</v>
      </c>
      <c r="D938" s="32">
        <v>60000</v>
      </c>
      <c r="E938">
        <v>4</v>
      </c>
      <c r="F938" t="s">
        <v>13</v>
      </c>
      <c r="G938" t="s">
        <v>28</v>
      </c>
      <c r="H938" t="s">
        <v>15</v>
      </c>
      <c r="I938">
        <v>2</v>
      </c>
      <c r="J938" t="s">
        <v>22</v>
      </c>
      <c r="K938" t="s">
        <v>32</v>
      </c>
      <c r="L938">
        <v>60</v>
      </c>
      <c r="M938" t="s">
        <v>18</v>
      </c>
    </row>
    <row r="939" spans="1:13" x14ac:dyDescent="0.25">
      <c r="A939">
        <v>11663</v>
      </c>
      <c r="B939" t="s">
        <v>34</v>
      </c>
      <c r="C939" t="s">
        <v>34</v>
      </c>
      <c r="D939" s="32">
        <v>70000</v>
      </c>
      <c r="E939">
        <v>4</v>
      </c>
      <c r="F939" t="s">
        <v>31</v>
      </c>
      <c r="G939" t="s">
        <v>21</v>
      </c>
      <c r="H939" t="s">
        <v>15</v>
      </c>
      <c r="I939">
        <v>0</v>
      </c>
      <c r="J939" t="s">
        <v>16</v>
      </c>
      <c r="K939" t="s">
        <v>32</v>
      </c>
      <c r="L939">
        <v>36</v>
      </c>
      <c r="M939" t="s">
        <v>15</v>
      </c>
    </row>
    <row r="940" spans="1:13" x14ac:dyDescent="0.25">
      <c r="A940">
        <v>27740</v>
      </c>
      <c r="B940" t="s">
        <v>34</v>
      </c>
      <c r="C940" t="s">
        <v>33</v>
      </c>
      <c r="D940" s="32">
        <v>40000</v>
      </c>
      <c r="E940">
        <v>0</v>
      </c>
      <c r="F940" t="s">
        <v>27</v>
      </c>
      <c r="G940" t="s">
        <v>14</v>
      </c>
      <c r="H940" t="s">
        <v>15</v>
      </c>
      <c r="I940">
        <v>2</v>
      </c>
      <c r="J940" t="s">
        <v>23</v>
      </c>
      <c r="K940" t="s">
        <v>32</v>
      </c>
      <c r="L940">
        <v>27</v>
      </c>
      <c r="M940" t="s">
        <v>18</v>
      </c>
    </row>
    <row r="941" spans="1:13" x14ac:dyDescent="0.25">
      <c r="A941">
        <v>23455</v>
      </c>
      <c r="B941" t="s">
        <v>35</v>
      </c>
      <c r="C941" t="s">
        <v>34</v>
      </c>
      <c r="D941" s="32">
        <v>80000</v>
      </c>
      <c r="E941">
        <v>2</v>
      </c>
      <c r="F941" t="s">
        <v>29</v>
      </c>
      <c r="G941" t="s">
        <v>14</v>
      </c>
      <c r="H941" t="s">
        <v>18</v>
      </c>
      <c r="I941">
        <v>2</v>
      </c>
      <c r="J941" t="s">
        <v>26</v>
      </c>
      <c r="K941" t="s">
        <v>32</v>
      </c>
      <c r="L941">
        <v>50</v>
      </c>
      <c r="M941" t="s">
        <v>18</v>
      </c>
    </row>
    <row r="942" spans="1:13" x14ac:dyDescent="0.25">
      <c r="A942">
        <v>15292</v>
      </c>
      <c r="B942" t="s">
        <v>35</v>
      </c>
      <c r="C942" t="s">
        <v>33</v>
      </c>
      <c r="D942" s="32">
        <v>60000</v>
      </c>
      <c r="E942">
        <v>1</v>
      </c>
      <c r="F942" t="s">
        <v>31</v>
      </c>
      <c r="G942" t="s">
        <v>14</v>
      </c>
      <c r="H942" t="s">
        <v>15</v>
      </c>
      <c r="I942">
        <v>0</v>
      </c>
      <c r="J942" t="s">
        <v>26</v>
      </c>
      <c r="K942" t="s">
        <v>32</v>
      </c>
      <c r="L942">
        <v>35</v>
      </c>
      <c r="M942" t="s">
        <v>18</v>
      </c>
    </row>
    <row r="943" spans="1:13" x14ac:dyDescent="0.25">
      <c r="A943">
        <v>21587</v>
      </c>
      <c r="B943" t="s">
        <v>34</v>
      </c>
      <c r="C943" t="s">
        <v>33</v>
      </c>
      <c r="D943" s="32">
        <v>60000</v>
      </c>
      <c r="E943">
        <v>1</v>
      </c>
      <c r="F943" t="s">
        <v>31</v>
      </c>
      <c r="G943" t="s">
        <v>14</v>
      </c>
      <c r="H943" t="s">
        <v>15</v>
      </c>
      <c r="I943">
        <v>0</v>
      </c>
      <c r="J943" t="s">
        <v>22</v>
      </c>
      <c r="K943" t="s">
        <v>32</v>
      </c>
      <c r="L943">
        <v>34</v>
      </c>
      <c r="M943" t="s">
        <v>15</v>
      </c>
    </row>
    <row r="944" spans="1:13" x14ac:dyDescent="0.25">
      <c r="A944">
        <v>23513</v>
      </c>
      <c r="B944" t="s">
        <v>34</v>
      </c>
      <c r="C944" t="s">
        <v>33</v>
      </c>
      <c r="D944" s="32">
        <v>40000</v>
      </c>
      <c r="E944">
        <v>3</v>
      </c>
      <c r="F944" t="s">
        <v>19</v>
      </c>
      <c r="G944" t="s">
        <v>21</v>
      </c>
      <c r="H944" t="s">
        <v>15</v>
      </c>
      <c r="I944">
        <v>2</v>
      </c>
      <c r="J944" t="s">
        <v>23</v>
      </c>
      <c r="K944" t="s">
        <v>32</v>
      </c>
      <c r="L944">
        <v>54</v>
      </c>
      <c r="M944" t="s">
        <v>18</v>
      </c>
    </row>
    <row r="945" spans="1:13" x14ac:dyDescent="0.25">
      <c r="A945">
        <v>24322</v>
      </c>
      <c r="B945" t="s">
        <v>34</v>
      </c>
      <c r="C945" t="s">
        <v>33</v>
      </c>
      <c r="D945" s="32">
        <v>60000</v>
      </c>
      <c r="E945">
        <v>4</v>
      </c>
      <c r="F945" t="s">
        <v>13</v>
      </c>
      <c r="G945" t="s">
        <v>14</v>
      </c>
      <c r="H945" t="s">
        <v>18</v>
      </c>
      <c r="I945">
        <v>2</v>
      </c>
      <c r="J945" t="s">
        <v>16</v>
      </c>
      <c r="K945" t="s">
        <v>32</v>
      </c>
      <c r="L945">
        <v>42</v>
      </c>
      <c r="M945" t="s">
        <v>18</v>
      </c>
    </row>
    <row r="946" spans="1:13" x14ac:dyDescent="0.25">
      <c r="A946">
        <v>26298</v>
      </c>
      <c r="B946" t="s">
        <v>34</v>
      </c>
      <c r="C946" t="s">
        <v>33</v>
      </c>
      <c r="D946" s="32">
        <v>50000</v>
      </c>
      <c r="E946">
        <v>1</v>
      </c>
      <c r="F946" t="s">
        <v>13</v>
      </c>
      <c r="G946" t="s">
        <v>14</v>
      </c>
      <c r="H946" t="s">
        <v>15</v>
      </c>
      <c r="I946">
        <v>0</v>
      </c>
      <c r="J946" t="s">
        <v>22</v>
      </c>
      <c r="K946" t="s">
        <v>32</v>
      </c>
      <c r="L946">
        <v>34</v>
      </c>
      <c r="M946" t="s">
        <v>15</v>
      </c>
    </row>
    <row r="947" spans="1:13" x14ac:dyDescent="0.25">
      <c r="A947">
        <v>25419</v>
      </c>
      <c r="B947" t="s">
        <v>35</v>
      </c>
      <c r="C947" t="s">
        <v>34</v>
      </c>
      <c r="D947" s="32">
        <v>50000</v>
      </c>
      <c r="E947">
        <v>2</v>
      </c>
      <c r="F947" t="s">
        <v>13</v>
      </c>
      <c r="G947" t="s">
        <v>14</v>
      </c>
      <c r="H947" t="s">
        <v>18</v>
      </c>
      <c r="I947">
        <v>1</v>
      </c>
      <c r="J947" t="s">
        <v>16</v>
      </c>
      <c r="K947" t="s">
        <v>32</v>
      </c>
      <c r="L947">
        <v>38</v>
      </c>
      <c r="M947" t="s">
        <v>15</v>
      </c>
    </row>
    <row r="948" spans="1:13" x14ac:dyDescent="0.25">
      <c r="A948">
        <v>13343</v>
      </c>
      <c r="B948" t="s">
        <v>34</v>
      </c>
      <c r="C948" t="s">
        <v>33</v>
      </c>
      <c r="D948" s="32">
        <v>90000</v>
      </c>
      <c r="E948">
        <v>5</v>
      </c>
      <c r="F948" t="s">
        <v>13</v>
      </c>
      <c r="G948" t="s">
        <v>28</v>
      </c>
      <c r="H948" t="s">
        <v>15</v>
      </c>
      <c r="I948">
        <v>2</v>
      </c>
      <c r="J948" t="s">
        <v>26</v>
      </c>
      <c r="K948" t="s">
        <v>32</v>
      </c>
      <c r="L948">
        <v>63</v>
      </c>
      <c r="M948" t="s">
        <v>15</v>
      </c>
    </row>
    <row r="949" spans="1:13" x14ac:dyDescent="0.25">
      <c r="A949">
        <v>11303</v>
      </c>
      <c r="B949" t="s">
        <v>35</v>
      </c>
      <c r="C949" t="s">
        <v>33</v>
      </c>
      <c r="D949" s="32">
        <v>90000</v>
      </c>
      <c r="E949">
        <v>4</v>
      </c>
      <c r="F949" t="s">
        <v>27</v>
      </c>
      <c r="G949" t="s">
        <v>21</v>
      </c>
      <c r="H949" t="s">
        <v>18</v>
      </c>
      <c r="I949">
        <v>3</v>
      </c>
      <c r="J949" t="s">
        <v>26</v>
      </c>
      <c r="K949" t="s">
        <v>32</v>
      </c>
      <c r="L949">
        <v>45</v>
      </c>
      <c r="M949" t="s">
        <v>15</v>
      </c>
    </row>
    <row r="950" spans="1:13" x14ac:dyDescent="0.25">
      <c r="A950">
        <v>21693</v>
      </c>
      <c r="B950" t="s">
        <v>35</v>
      </c>
      <c r="C950" t="s">
        <v>33</v>
      </c>
      <c r="D950" s="32">
        <v>60000</v>
      </c>
      <c r="E950">
        <v>0</v>
      </c>
      <c r="F950" t="s">
        <v>31</v>
      </c>
      <c r="G950" t="s">
        <v>14</v>
      </c>
      <c r="H950" t="s">
        <v>18</v>
      </c>
      <c r="I950">
        <v>0</v>
      </c>
      <c r="J950" t="s">
        <v>16</v>
      </c>
      <c r="K950" t="s">
        <v>32</v>
      </c>
      <c r="L950">
        <v>40</v>
      </c>
      <c r="M950" t="s">
        <v>18</v>
      </c>
    </row>
    <row r="951" spans="1:13" x14ac:dyDescent="0.25">
      <c r="A951">
        <v>28056</v>
      </c>
      <c r="B951" t="s">
        <v>34</v>
      </c>
      <c r="C951" t="s">
        <v>34</v>
      </c>
      <c r="D951" s="32">
        <v>70000</v>
      </c>
      <c r="E951">
        <v>2</v>
      </c>
      <c r="F951" t="s">
        <v>29</v>
      </c>
      <c r="G951" t="s">
        <v>14</v>
      </c>
      <c r="H951" t="s">
        <v>15</v>
      </c>
      <c r="I951">
        <v>2</v>
      </c>
      <c r="J951" t="s">
        <v>30</v>
      </c>
      <c r="K951" t="s">
        <v>32</v>
      </c>
      <c r="L951">
        <v>53</v>
      </c>
      <c r="M951" t="s">
        <v>18</v>
      </c>
    </row>
    <row r="952" spans="1:13" x14ac:dyDescent="0.25">
      <c r="A952">
        <v>11788</v>
      </c>
      <c r="B952" t="s">
        <v>35</v>
      </c>
      <c r="C952" t="s">
        <v>33</v>
      </c>
      <c r="D952" s="32">
        <v>70000</v>
      </c>
      <c r="E952">
        <v>1</v>
      </c>
      <c r="F952" t="s">
        <v>31</v>
      </c>
      <c r="G952" t="s">
        <v>21</v>
      </c>
      <c r="H952" t="s">
        <v>15</v>
      </c>
      <c r="I952">
        <v>0</v>
      </c>
      <c r="J952" t="s">
        <v>22</v>
      </c>
      <c r="K952" t="s">
        <v>32</v>
      </c>
      <c r="L952">
        <v>34</v>
      </c>
      <c r="M952" t="s">
        <v>18</v>
      </c>
    </row>
    <row r="953" spans="1:13" x14ac:dyDescent="0.25">
      <c r="A953">
        <v>22296</v>
      </c>
      <c r="B953" t="s">
        <v>34</v>
      </c>
      <c r="C953" t="s">
        <v>34</v>
      </c>
      <c r="D953" s="32">
        <v>70000</v>
      </c>
      <c r="E953">
        <v>0</v>
      </c>
      <c r="F953" t="s">
        <v>13</v>
      </c>
      <c r="G953" t="s">
        <v>21</v>
      </c>
      <c r="H953" t="s">
        <v>18</v>
      </c>
      <c r="I953">
        <v>1</v>
      </c>
      <c r="J953" t="s">
        <v>16</v>
      </c>
      <c r="K953" t="s">
        <v>32</v>
      </c>
      <c r="L953">
        <v>38</v>
      </c>
      <c r="M953" t="s">
        <v>18</v>
      </c>
    </row>
    <row r="954" spans="1:13" x14ac:dyDescent="0.25">
      <c r="A954">
        <v>15319</v>
      </c>
      <c r="B954" t="s">
        <v>34</v>
      </c>
      <c r="C954" t="s">
        <v>33</v>
      </c>
      <c r="D954" s="32">
        <v>70000</v>
      </c>
      <c r="E954">
        <v>4</v>
      </c>
      <c r="F954" t="s">
        <v>13</v>
      </c>
      <c r="G954" t="s">
        <v>28</v>
      </c>
      <c r="H954" t="s">
        <v>18</v>
      </c>
      <c r="I954">
        <v>1</v>
      </c>
      <c r="J954" t="s">
        <v>26</v>
      </c>
      <c r="K954" t="s">
        <v>32</v>
      </c>
      <c r="L954">
        <v>59</v>
      </c>
      <c r="M954" t="s">
        <v>18</v>
      </c>
    </row>
    <row r="955" spans="1:13" x14ac:dyDescent="0.25">
      <c r="A955">
        <v>17654</v>
      </c>
      <c r="B955" t="s">
        <v>35</v>
      </c>
      <c r="C955" t="s">
        <v>33</v>
      </c>
      <c r="D955" s="32">
        <v>40000</v>
      </c>
      <c r="E955">
        <v>3</v>
      </c>
      <c r="F955" t="s">
        <v>19</v>
      </c>
      <c r="G955" t="s">
        <v>20</v>
      </c>
      <c r="H955" t="s">
        <v>15</v>
      </c>
      <c r="I955">
        <v>1</v>
      </c>
      <c r="J955" t="s">
        <v>26</v>
      </c>
      <c r="K955" t="s">
        <v>32</v>
      </c>
      <c r="L955">
        <v>30</v>
      </c>
      <c r="M955" t="s">
        <v>15</v>
      </c>
    </row>
    <row r="956" spans="1:13" x14ac:dyDescent="0.25">
      <c r="A956">
        <v>14662</v>
      </c>
      <c r="B956" t="s">
        <v>34</v>
      </c>
      <c r="C956" t="s">
        <v>34</v>
      </c>
      <c r="D956" s="32">
        <v>60000</v>
      </c>
      <c r="E956">
        <v>1</v>
      </c>
      <c r="F956" t="s">
        <v>13</v>
      </c>
      <c r="G956" t="s">
        <v>21</v>
      </c>
      <c r="H956" t="s">
        <v>15</v>
      </c>
      <c r="I956">
        <v>1</v>
      </c>
      <c r="J956" t="s">
        <v>16</v>
      </c>
      <c r="K956" t="s">
        <v>32</v>
      </c>
      <c r="L956">
        <v>48</v>
      </c>
      <c r="M956" t="s">
        <v>15</v>
      </c>
    </row>
    <row r="957" spans="1:13" x14ac:dyDescent="0.25">
      <c r="A957">
        <v>17541</v>
      </c>
      <c r="B957" t="s">
        <v>34</v>
      </c>
      <c r="C957" t="s">
        <v>33</v>
      </c>
      <c r="D957" s="32">
        <v>40000</v>
      </c>
      <c r="E957">
        <v>4</v>
      </c>
      <c r="F957" t="s">
        <v>27</v>
      </c>
      <c r="G957" t="s">
        <v>14</v>
      </c>
      <c r="H957" t="s">
        <v>15</v>
      </c>
      <c r="I957">
        <v>2</v>
      </c>
      <c r="J957" t="s">
        <v>22</v>
      </c>
      <c r="K957" t="s">
        <v>32</v>
      </c>
      <c r="L957">
        <v>43</v>
      </c>
      <c r="M957" t="s">
        <v>18</v>
      </c>
    </row>
    <row r="958" spans="1:13" x14ac:dyDescent="0.25">
      <c r="A958">
        <v>13886</v>
      </c>
      <c r="B958" t="s">
        <v>34</v>
      </c>
      <c r="C958" t="s">
        <v>33</v>
      </c>
      <c r="D958" s="32">
        <v>70000</v>
      </c>
      <c r="E958">
        <v>4</v>
      </c>
      <c r="F958" t="s">
        <v>31</v>
      </c>
      <c r="G958" t="s">
        <v>21</v>
      </c>
      <c r="H958" t="s">
        <v>15</v>
      </c>
      <c r="I958">
        <v>0</v>
      </c>
      <c r="J958" t="s">
        <v>22</v>
      </c>
      <c r="K958" t="s">
        <v>32</v>
      </c>
      <c r="L958">
        <v>35</v>
      </c>
      <c r="M958" t="s">
        <v>15</v>
      </c>
    </row>
    <row r="959" spans="1:13" x14ac:dyDescent="0.25">
      <c r="A959">
        <v>13073</v>
      </c>
      <c r="B959" t="s">
        <v>34</v>
      </c>
      <c r="C959" t="s">
        <v>33</v>
      </c>
      <c r="D959" s="32">
        <v>60000</v>
      </c>
      <c r="E959">
        <v>0</v>
      </c>
      <c r="F959" t="s">
        <v>19</v>
      </c>
      <c r="G959" t="s">
        <v>21</v>
      </c>
      <c r="H959" t="s">
        <v>15</v>
      </c>
      <c r="I959">
        <v>2</v>
      </c>
      <c r="J959" t="s">
        <v>23</v>
      </c>
      <c r="K959" t="s">
        <v>32</v>
      </c>
      <c r="L959">
        <v>30</v>
      </c>
      <c r="M959" t="s">
        <v>18</v>
      </c>
    </row>
    <row r="960" spans="1:13" x14ac:dyDescent="0.25">
      <c r="A960">
        <v>21940</v>
      </c>
      <c r="B960" t="s">
        <v>34</v>
      </c>
      <c r="C960" t="s">
        <v>34</v>
      </c>
      <c r="D960" s="32">
        <v>90000</v>
      </c>
      <c r="E960">
        <v>5</v>
      </c>
      <c r="F960" t="s">
        <v>31</v>
      </c>
      <c r="G960" t="s">
        <v>21</v>
      </c>
      <c r="H960" t="s">
        <v>15</v>
      </c>
      <c r="I960">
        <v>0</v>
      </c>
      <c r="J960" t="s">
        <v>16</v>
      </c>
      <c r="K960" t="s">
        <v>32</v>
      </c>
      <c r="L960">
        <v>47</v>
      </c>
      <c r="M960" t="s">
        <v>15</v>
      </c>
    </row>
    <row r="961" spans="1:13" x14ac:dyDescent="0.25">
      <c r="A961">
        <v>20196</v>
      </c>
      <c r="B961" t="s">
        <v>34</v>
      </c>
      <c r="C961" t="s">
        <v>34</v>
      </c>
      <c r="D961" s="32">
        <v>60000</v>
      </c>
      <c r="E961">
        <v>1</v>
      </c>
      <c r="F961" t="s">
        <v>19</v>
      </c>
      <c r="G961" t="s">
        <v>14</v>
      </c>
      <c r="H961" t="s">
        <v>15</v>
      </c>
      <c r="I961">
        <v>1</v>
      </c>
      <c r="J961" t="s">
        <v>22</v>
      </c>
      <c r="K961" t="s">
        <v>32</v>
      </c>
      <c r="L961">
        <v>45</v>
      </c>
      <c r="M961" t="s">
        <v>15</v>
      </c>
    </row>
    <row r="962" spans="1:13" x14ac:dyDescent="0.25">
      <c r="A962">
        <v>23491</v>
      </c>
      <c r="B962" t="s">
        <v>35</v>
      </c>
      <c r="C962" t="s">
        <v>34</v>
      </c>
      <c r="D962" s="32">
        <v>100000</v>
      </c>
      <c r="E962">
        <v>0</v>
      </c>
      <c r="F962" t="s">
        <v>19</v>
      </c>
      <c r="G962" t="s">
        <v>21</v>
      </c>
      <c r="H962" t="s">
        <v>18</v>
      </c>
      <c r="I962">
        <v>4</v>
      </c>
      <c r="J962" t="s">
        <v>26</v>
      </c>
      <c r="K962" t="s">
        <v>32</v>
      </c>
      <c r="L962">
        <v>45</v>
      </c>
      <c r="M962" t="s">
        <v>18</v>
      </c>
    </row>
    <row r="963" spans="1:13" x14ac:dyDescent="0.25">
      <c r="A963">
        <v>16651</v>
      </c>
      <c r="B963" t="s">
        <v>34</v>
      </c>
      <c r="C963" t="s">
        <v>33</v>
      </c>
      <c r="D963" s="32">
        <v>120000</v>
      </c>
      <c r="E963">
        <v>2</v>
      </c>
      <c r="F963" t="s">
        <v>13</v>
      </c>
      <c r="G963" t="s">
        <v>28</v>
      </c>
      <c r="H963" t="s">
        <v>15</v>
      </c>
      <c r="I963">
        <v>3</v>
      </c>
      <c r="J963" t="s">
        <v>23</v>
      </c>
      <c r="K963" t="s">
        <v>32</v>
      </c>
      <c r="L963">
        <v>62</v>
      </c>
      <c r="M963" t="s">
        <v>18</v>
      </c>
    </row>
    <row r="964" spans="1:13" x14ac:dyDescent="0.25">
      <c r="A964">
        <v>16813</v>
      </c>
      <c r="B964" t="s">
        <v>34</v>
      </c>
      <c r="C964" t="s">
        <v>34</v>
      </c>
      <c r="D964" s="32">
        <v>60000</v>
      </c>
      <c r="E964">
        <v>2</v>
      </c>
      <c r="F964" t="s">
        <v>19</v>
      </c>
      <c r="G964" t="s">
        <v>21</v>
      </c>
      <c r="H964" t="s">
        <v>15</v>
      </c>
      <c r="I964">
        <v>2</v>
      </c>
      <c r="J964" t="s">
        <v>30</v>
      </c>
      <c r="K964" t="s">
        <v>32</v>
      </c>
      <c r="L964">
        <v>55</v>
      </c>
      <c r="M964" t="s">
        <v>18</v>
      </c>
    </row>
    <row r="965" spans="1:13" x14ac:dyDescent="0.25">
      <c r="A965">
        <v>16007</v>
      </c>
      <c r="B965" t="s">
        <v>34</v>
      </c>
      <c r="C965" t="s">
        <v>33</v>
      </c>
      <c r="D965" s="32">
        <v>90000</v>
      </c>
      <c r="E965">
        <v>5</v>
      </c>
      <c r="F965" t="s">
        <v>13</v>
      </c>
      <c r="G965" t="s">
        <v>28</v>
      </c>
      <c r="H965" t="s">
        <v>15</v>
      </c>
      <c r="I965">
        <v>2</v>
      </c>
      <c r="J965" t="s">
        <v>26</v>
      </c>
      <c r="K965" t="s">
        <v>32</v>
      </c>
      <c r="L965">
        <v>66</v>
      </c>
      <c r="M965" t="s">
        <v>15</v>
      </c>
    </row>
    <row r="966" spans="1:13" x14ac:dyDescent="0.25">
      <c r="A966">
        <v>27434</v>
      </c>
      <c r="B966" t="s">
        <v>35</v>
      </c>
      <c r="C966" t="s">
        <v>34</v>
      </c>
      <c r="D966" s="32">
        <v>70000</v>
      </c>
      <c r="E966">
        <v>4</v>
      </c>
      <c r="F966" t="s">
        <v>19</v>
      </c>
      <c r="G966" t="s">
        <v>21</v>
      </c>
      <c r="H966" t="s">
        <v>15</v>
      </c>
      <c r="I966">
        <v>1</v>
      </c>
      <c r="J966" t="s">
        <v>30</v>
      </c>
      <c r="K966" t="s">
        <v>32</v>
      </c>
      <c r="L966">
        <v>56</v>
      </c>
      <c r="M966" t="s">
        <v>18</v>
      </c>
    </row>
    <row r="967" spans="1:13" x14ac:dyDescent="0.25">
      <c r="A967">
        <v>27756</v>
      </c>
      <c r="B967" t="s">
        <v>35</v>
      </c>
      <c r="C967" t="s">
        <v>33</v>
      </c>
      <c r="D967" s="32">
        <v>50000</v>
      </c>
      <c r="E967">
        <v>3</v>
      </c>
      <c r="F967" t="s">
        <v>13</v>
      </c>
      <c r="G967" t="s">
        <v>14</v>
      </c>
      <c r="H967" t="s">
        <v>18</v>
      </c>
      <c r="I967">
        <v>1</v>
      </c>
      <c r="J967" t="s">
        <v>16</v>
      </c>
      <c r="K967" t="s">
        <v>32</v>
      </c>
      <c r="L967">
        <v>40</v>
      </c>
      <c r="M967" t="s">
        <v>18</v>
      </c>
    </row>
    <row r="968" spans="1:13" x14ac:dyDescent="0.25">
      <c r="A968">
        <v>23818</v>
      </c>
      <c r="B968" t="s">
        <v>34</v>
      </c>
      <c r="C968" t="s">
        <v>33</v>
      </c>
      <c r="D968" s="32">
        <v>50000</v>
      </c>
      <c r="E968">
        <v>0</v>
      </c>
      <c r="F968" t="s">
        <v>31</v>
      </c>
      <c r="G968" t="s">
        <v>14</v>
      </c>
      <c r="H968" t="s">
        <v>15</v>
      </c>
      <c r="I968">
        <v>0</v>
      </c>
      <c r="J968" t="s">
        <v>26</v>
      </c>
      <c r="K968" t="s">
        <v>32</v>
      </c>
      <c r="L968">
        <v>33</v>
      </c>
      <c r="M968" t="s">
        <v>15</v>
      </c>
    </row>
    <row r="969" spans="1:13" x14ac:dyDescent="0.25">
      <c r="A969">
        <v>19012</v>
      </c>
      <c r="B969" t="s">
        <v>34</v>
      </c>
      <c r="C969" t="s">
        <v>34</v>
      </c>
      <c r="D969" s="32">
        <v>80000</v>
      </c>
      <c r="E969">
        <v>3</v>
      </c>
      <c r="F969" t="s">
        <v>13</v>
      </c>
      <c r="G969" t="s">
        <v>28</v>
      </c>
      <c r="H969" t="s">
        <v>15</v>
      </c>
      <c r="I969">
        <v>1</v>
      </c>
      <c r="J969" t="s">
        <v>26</v>
      </c>
      <c r="K969" t="s">
        <v>32</v>
      </c>
      <c r="L969">
        <v>56</v>
      </c>
      <c r="M969" t="s">
        <v>18</v>
      </c>
    </row>
    <row r="970" spans="1:13" x14ac:dyDescent="0.25">
      <c r="A970">
        <v>18329</v>
      </c>
      <c r="B970" t="s">
        <v>35</v>
      </c>
      <c r="C970" t="s">
        <v>34</v>
      </c>
      <c r="D970" s="32">
        <v>30000</v>
      </c>
      <c r="E970">
        <v>0</v>
      </c>
      <c r="F970" t="s">
        <v>29</v>
      </c>
      <c r="G970" t="s">
        <v>20</v>
      </c>
      <c r="H970" t="s">
        <v>18</v>
      </c>
      <c r="I970">
        <v>2</v>
      </c>
      <c r="J970" t="s">
        <v>23</v>
      </c>
      <c r="K970" t="s">
        <v>32</v>
      </c>
      <c r="L970">
        <v>27</v>
      </c>
      <c r="M970" t="s">
        <v>18</v>
      </c>
    </row>
    <row r="971" spans="1:13" x14ac:dyDescent="0.25">
      <c r="A971">
        <v>29037</v>
      </c>
      <c r="B971" t="s">
        <v>34</v>
      </c>
      <c r="C971" t="s">
        <v>34</v>
      </c>
      <c r="D971" s="32">
        <v>60000</v>
      </c>
      <c r="E971">
        <v>0</v>
      </c>
      <c r="F971" t="s">
        <v>31</v>
      </c>
      <c r="G971" t="s">
        <v>21</v>
      </c>
      <c r="H971" t="s">
        <v>18</v>
      </c>
      <c r="I971">
        <v>0</v>
      </c>
      <c r="J971" t="s">
        <v>16</v>
      </c>
      <c r="K971" t="s">
        <v>32</v>
      </c>
      <c r="L971">
        <v>39</v>
      </c>
      <c r="M971" t="s">
        <v>18</v>
      </c>
    </row>
    <row r="972" spans="1:13" x14ac:dyDescent="0.25">
      <c r="A972">
        <v>26576</v>
      </c>
      <c r="B972" t="s">
        <v>34</v>
      </c>
      <c r="C972" t="s">
        <v>33</v>
      </c>
      <c r="D972" s="32">
        <v>60000</v>
      </c>
      <c r="E972">
        <v>0</v>
      </c>
      <c r="F972" t="s">
        <v>19</v>
      </c>
      <c r="G972" t="s">
        <v>14</v>
      </c>
      <c r="H972" t="s">
        <v>15</v>
      </c>
      <c r="I972">
        <v>2</v>
      </c>
      <c r="J972" t="s">
        <v>23</v>
      </c>
      <c r="K972" t="s">
        <v>32</v>
      </c>
      <c r="L972">
        <v>31</v>
      </c>
      <c r="M972" t="s">
        <v>18</v>
      </c>
    </row>
    <row r="973" spans="1:13" x14ac:dyDescent="0.25">
      <c r="A973">
        <v>12192</v>
      </c>
      <c r="B973" t="s">
        <v>35</v>
      </c>
      <c r="C973" t="s">
        <v>33</v>
      </c>
      <c r="D973" s="32">
        <v>60000</v>
      </c>
      <c r="E973">
        <v>2</v>
      </c>
      <c r="F973" t="s">
        <v>29</v>
      </c>
      <c r="G973" t="s">
        <v>14</v>
      </c>
      <c r="H973" t="s">
        <v>18</v>
      </c>
      <c r="I973">
        <v>2</v>
      </c>
      <c r="J973" t="s">
        <v>26</v>
      </c>
      <c r="K973" t="s">
        <v>32</v>
      </c>
      <c r="L973">
        <v>51</v>
      </c>
      <c r="M973" t="s">
        <v>18</v>
      </c>
    </row>
    <row r="974" spans="1:13" x14ac:dyDescent="0.25">
      <c r="A974">
        <v>14887</v>
      </c>
      <c r="B974" t="s">
        <v>34</v>
      </c>
      <c r="C974" t="s">
        <v>33</v>
      </c>
      <c r="D974" s="32">
        <v>30000</v>
      </c>
      <c r="E974">
        <v>1</v>
      </c>
      <c r="F974" t="s">
        <v>27</v>
      </c>
      <c r="G974" t="s">
        <v>20</v>
      </c>
      <c r="H974" t="s">
        <v>15</v>
      </c>
      <c r="I974">
        <v>1</v>
      </c>
      <c r="J974" t="s">
        <v>23</v>
      </c>
      <c r="K974" t="s">
        <v>32</v>
      </c>
      <c r="L974">
        <v>52</v>
      </c>
      <c r="M974" t="s">
        <v>18</v>
      </c>
    </row>
    <row r="975" spans="1:13" x14ac:dyDescent="0.25">
      <c r="A975">
        <v>11734</v>
      </c>
      <c r="B975" t="s">
        <v>34</v>
      </c>
      <c r="C975" t="s">
        <v>34</v>
      </c>
      <c r="D975" s="32">
        <v>60000</v>
      </c>
      <c r="E975">
        <v>1</v>
      </c>
      <c r="F975" t="s">
        <v>19</v>
      </c>
      <c r="G975" t="s">
        <v>14</v>
      </c>
      <c r="H975" t="s">
        <v>18</v>
      </c>
      <c r="I975">
        <v>1</v>
      </c>
      <c r="J975" t="s">
        <v>16</v>
      </c>
      <c r="K975" t="s">
        <v>32</v>
      </c>
      <c r="L975">
        <v>47</v>
      </c>
      <c r="M975" t="s">
        <v>18</v>
      </c>
    </row>
    <row r="976" spans="1:13" x14ac:dyDescent="0.25">
      <c r="A976">
        <v>17462</v>
      </c>
      <c r="B976" t="s">
        <v>34</v>
      </c>
      <c r="C976" t="s">
        <v>34</v>
      </c>
      <c r="D976" s="32">
        <v>70000</v>
      </c>
      <c r="E976">
        <v>3</v>
      </c>
      <c r="F976" t="s">
        <v>31</v>
      </c>
      <c r="G976" t="s">
        <v>28</v>
      </c>
      <c r="H976" t="s">
        <v>15</v>
      </c>
      <c r="I976">
        <v>2</v>
      </c>
      <c r="J976" t="s">
        <v>23</v>
      </c>
      <c r="K976" t="s">
        <v>32</v>
      </c>
      <c r="L976">
        <v>53</v>
      </c>
      <c r="M976" t="s">
        <v>15</v>
      </c>
    </row>
    <row r="977" spans="1:13" x14ac:dyDescent="0.25">
      <c r="A977">
        <v>20659</v>
      </c>
      <c r="B977" t="s">
        <v>34</v>
      </c>
      <c r="C977" t="s">
        <v>34</v>
      </c>
      <c r="D977" s="32">
        <v>70000</v>
      </c>
      <c r="E977">
        <v>3</v>
      </c>
      <c r="F977" t="s">
        <v>31</v>
      </c>
      <c r="G977" t="s">
        <v>21</v>
      </c>
      <c r="H977" t="s">
        <v>15</v>
      </c>
      <c r="I977">
        <v>0</v>
      </c>
      <c r="J977" t="s">
        <v>16</v>
      </c>
      <c r="K977" t="s">
        <v>32</v>
      </c>
      <c r="L977">
        <v>35</v>
      </c>
      <c r="M977" t="s">
        <v>15</v>
      </c>
    </row>
    <row r="978" spans="1:13" x14ac:dyDescent="0.25">
      <c r="A978">
        <v>28004</v>
      </c>
      <c r="B978" t="s">
        <v>34</v>
      </c>
      <c r="C978" t="s">
        <v>33</v>
      </c>
      <c r="D978" s="32">
        <v>60000</v>
      </c>
      <c r="E978">
        <v>3</v>
      </c>
      <c r="F978" t="s">
        <v>13</v>
      </c>
      <c r="G978" t="s">
        <v>28</v>
      </c>
      <c r="H978" t="s">
        <v>15</v>
      </c>
      <c r="I978">
        <v>2</v>
      </c>
      <c r="J978" t="s">
        <v>30</v>
      </c>
      <c r="K978" t="s">
        <v>32</v>
      </c>
      <c r="L978">
        <v>66</v>
      </c>
      <c r="M978" t="s">
        <v>18</v>
      </c>
    </row>
    <row r="979" spans="1:13" x14ac:dyDescent="0.25">
      <c r="A979">
        <v>19741</v>
      </c>
      <c r="B979" t="s">
        <v>35</v>
      </c>
      <c r="C979" t="s">
        <v>33</v>
      </c>
      <c r="D979" s="32">
        <v>80000</v>
      </c>
      <c r="E979">
        <v>4</v>
      </c>
      <c r="F979" t="s">
        <v>31</v>
      </c>
      <c r="G979" t="s">
        <v>28</v>
      </c>
      <c r="H979" t="s">
        <v>15</v>
      </c>
      <c r="I979">
        <v>2</v>
      </c>
      <c r="J979" t="s">
        <v>23</v>
      </c>
      <c r="K979" t="s">
        <v>32</v>
      </c>
      <c r="L979">
        <v>65</v>
      </c>
      <c r="M979" t="s">
        <v>18</v>
      </c>
    </row>
    <row r="980" spans="1:13" x14ac:dyDescent="0.25">
      <c r="A980">
        <v>17450</v>
      </c>
      <c r="B980" t="s">
        <v>34</v>
      </c>
      <c r="C980" t="s">
        <v>34</v>
      </c>
      <c r="D980" s="32">
        <v>80000</v>
      </c>
      <c r="E980">
        <v>5</v>
      </c>
      <c r="F980" t="s">
        <v>19</v>
      </c>
      <c r="G980" t="s">
        <v>21</v>
      </c>
      <c r="H980" t="s">
        <v>15</v>
      </c>
      <c r="I980">
        <v>3</v>
      </c>
      <c r="J980" t="s">
        <v>23</v>
      </c>
      <c r="K980" t="s">
        <v>32</v>
      </c>
      <c r="L980">
        <v>45</v>
      </c>
      <c r="M980" t="s">
        <v>18</v>
      </c>
    </row>
    <row r="981" spans="1:13" x14ac:dyDescent="0.25">
      <c r="A981">
        <v>17337</v>
      </c>
      <c r="B981" t="s">
        <v>35</v>
      </c>
      <c r="C981" t="s">
        <v>34</v>
      </c>
      <c r="D981" s="32">
        <v>40000</v>
      </c>
      <c r="E981">
        <v>0</v>
      </c>
      <c r="F981" t="s">
        <v>27</v>
      </c>
      <c r="G981" t="s">
        <v>14</v>
      </c>
      <c r="H981" t="s">
        <v>15</v>
      </c>
      <c r="I981">
        <v>1</v>
      </c>
      <c r="J981" t="s">
        <v>23</v>
      </c>
      <c r="K981" t="s">
        <v>32</v>
      </c>
      <c r="L981">
        <v>31</v>
      </c>
      <c r="M981" t="s">
        <v>18</v>
      </c>
    </row>
    <row r="982" spans="1:13" x14ac:dyDescent="0.25">
      <c r="A982">
        <v>18594</v>
      </c>
      <c r="B982" t="s">
        <v>35</v>
      </c>
      <c r="C982" t="s">
        <v>33</v>
      </c>
      <c r="D982" s="32">
        <v>80000</v>
      </c>
      <c r="E982">
        <v>3</v>
      </c>
      <c r="F982" t="s">
        <v>13</v>
      </c>
      <c r="G982" t="s">
        <v>14</v>
      </c>
      <c r="H982" t="s">
        <v>15</v>
      </c>
      <c r="I982">
        <v>3</v>
      </c>
      <c r="J982" t="s">
        <v>30</v>
      </c>
      <c r="K982" t="s">
        <v>32</v>
      </c>
      <c r="L982">
        <v>40</v>
      </c>
      <c r="M982" t="s">
        <v>15</v>
      </c>
    </row>
    <row r="983" spans="1:13" x14ac:dyDescent="0.25">
      <c r="A983">
        <v>15982</v>
      </c>
      <c r="B983" t="s">
        <v>34</v>
      </c>
      <c r="C983" t="s">
        <v>34</v>
      </c>
      <c r="D983" s="32">
        <v>110000</v>
      </c>
      <c r="E983">
        <v>5</v>
      </c>
      <c r="F983" t="s">
        <v>19</v>
      </c>
      <c r="G983" t="s">
        <v>21</v>
      </c>
      <c r="H983" t="s">
        <v>15</v>
      </c>
      <c r="I983">
        <v>4</v>
      </c>
      <c r="J983" t="s">
        <v>22</v>
      </c>
      <c r="K983" t="s">
        <v>32</v>
      </c>
      <c r="L983">
        <v>46</v>
      </c>
      <c r="M983" t="s">
        <v>18</v>
      </c>
    </row>
    <row r="984" spans="1:13" x14ac:dyDescent="0.25">
      <c r="A984">
        <v>28625</v>
      </c>
      <c r="B984" t="s">
        <v>35</v>
      </c>
      <c r="C984" t="s">
        <v>34</v>
      </c>
      <c r="D984" s="32">
        <v>40000</v>
      </c>
      <c r="E984">
        <v>2</v>
      </c>
      <c r="F984" t="s">
        <v>19</v>
      </c>
      <c r="G984" t="s">
        <v>20</v>
      </c>
      <c r="H984" t="s">
        <v>18</v>
      </c>
      <c r="I984">
        <v>1</v>
      </c>
      <c r="J984" t="s">
        <v>26</v>
      </c>
      <c r="K984" t="s">
        <v>32</v>
      </c>
      <c r="L984">
        <v>47</v>
      </c>
      <c r="M984" t="s">
        <v>15</v>
      </c>
    </row>
    <row r="985" spans="1:13" x14ac:dyDescent="0.25">
      <c r="A985">
        <v>11269</v>
      </c>
      <c r="B985" t="s">
        <v>34</v>
      </c>
      <c r="C985" t="s">
        <v>34</v>
      </c>
      <c r="D985" s="32">
        <v>130000</v>
      </c>
      <c r="E985">
        <v>2</v>
      </c>
      <c r="F985" t="s">
        <v>31</v>
      </c>
      <c r="G985" t="s">
        <v>28</v>
      </c>
      <c r="H985" t="s">
        <v>15</v>
      </c>
      <c r="I985">
        <v>2</v>
      </c>
      <c r="J985" t="s">
        <v>16</v>
      </c>
      <c r="K985" t="s">
        <v>32</v>
      </c>
      <c r="L985">
        <v>41</v>
      </c>
      <c r="M985" t="s">
        <v>18</v>
      </c>
    </row>
    <row r="986" spans="1:13" x14ac:dyDescent="0.25">
      <c r="A986">
        <v>25148</v>
      </c>
      <c r="B986" t="s">
        <v>34</v>
      </c>
      <c r="C986" t="s">
        <v>34</v>
      </c>
      <c r="D986" s="32">
        <v>60000</v>
      </c>
      <c r="E986">
        <v>2</v>
      </c>
      <c r="F986" t="s">
        <v>27</v>
      </c>
      <c r="G986" t="s">
        <v>21</v>
      </c>
      <c r="H986" t="s">
        <v>18</v>
      </c>
      <c r="I986">
        <v>2</v>
      </c>
      <c r="J986" t="s">
        <v>26</v>
      </c>
      <c r="K986" t="s">
        <v>32</v>
      </c>
      <c r="L986">
        <v>48</v>
      </c>
      <c r="M986" t="s">
        <v>15</v>
      </c>
    </row>
    <row r="987" spans="1:13" x14ac:dyDescent="0.25">
      <c r="A987">
        <v>13920</v>
      </c>
      <c r="B987" t="s">
        <v>35</v>
      </c>
      <c r="C987" t="s">
        <v>33</v>
      </c>
      <c r="D987" s="32">
        <v>50000</v>
      </c>
      <c r="E987">
        <v>4</v>
      </c>
      <c r="F987" t="s">
        <v>13</v>
      </c>
      <c r="G987" t="s">
        <v>14</v>
      </c>
      <c r="H987" t="s">
        <v>15</v>
      </c>
      <c r="I987">
        <v>2</v>
      </c>
      <c r="J987" t="s">
        <v>16</v>
      </c>
      <c r="K987" t="s">
        <v>32</v>
      </c>
      <c r="L987">
        <v>42</v>
      </c>
      <c r="M987" t="s">
        <v>18</v>
      </c>
    </row>
    <row r="988" spans="1:13" x14ac:dyDescent="0.25">
      <c r="A988">
        <v>23704</v>
      </c>
      <c r="B988" t="s">
        <v>35</v>
      </c>
      <c r="C988" t="s">
        <v>34</v>
      </c>
      <c r="D988" s="32">
        <v>40000</v>
      </c>
      <c r="E988">
        <v>5</v>
      </c>
      <c r="F988" t="s">
        <v>27</v>
      </c>
      <c r="G988" t="s">
        <v>21</v>
      </c>
      <c r="H988" t="s">
        <v>15</v>
      </c>
      <c r="I988">
        <v>4</v>
      </c>
      <c r="J988" t="s">
        <v>30</v>
      </c>
      <c r="K988" t="s">
        <v>32</v>
      </c>
      <c r="L988">
        <v>60</v>
      </c>
      <c r="M988" t="s">
        <v>15</v>
      </c>
    </row>
    <row r="989" spans="1:13" x14ac:dyDescent="0.25">
      <c r="A989">
        <v>28972</v>
      </c>
      <c r="B989" t="s">
        <v>35</v>
      </c>
      <c r="C989" t="s">
        <v>33</v>
      </c>
      <c r="D989" s="32">
        <v>60000</v>
      </c>
      <c r="E989">
        <v>3</v>
      </c>
      <c r="F989" t="s">
        <v>31</v>
      </c>
      <c r="G989" t="s">
        <v>28</v>
      </c>
      <c r="H989" t="s">
        <v>15</v>
      </c>
      <c r="I989">
        <v>2</v>
      </c>
      <c r="J989" t="s">
        <v>30</v>
      </c>
      <c r="K989" t="s">
        <v>32</v>
      </c>
      <c r="L989">
        <v>66</v>
      </c>
      <c r="M989" t="s">
        <v>18</v>
      </c>
    </row>
    <row r="990" spans="1:13" x14ac:dyDescent="0.25">
      <c r="A990">
        <v>22730</v>
      </c>
      <c r="B990" t="s">
        <v>34</v>
      </c>
      <c r="C990" t="s">
        <v>34</v>
      </c>
      <c r="D990" s="32">
        <v>70000</v>
      </c>
      <c r="E990">
        <v>5</v>
      </c>
      <c r="F990" t="s">
        <v>13</v>
      </c>
      <c r="G990" t="s">
        <v>28</v>
      </c>
      <c r="H990" t="s">
        <v>15</v>
      </c>
      <c r="I990">
        <v>2</v>
      </c>
      <c r="J990" t="s">
        <v>30</v>
      </c>
      <c r="K990" t="s">
        <v>32</v>
      </c>
      <c r="L990">
        <v>63</v>
      </c>
      <c r="M990" t="s">
        <v>18</v>
      </c>
    </row>
    <row r="991" spans="1:13" x14ac:dyDescent="0.25">
      <c r="A991">
        <v>29134</v>
      </c>
      <c r="B991" t="s">
        <v>34</v>
      </c>
      <c r="C991" t="s">
        <v>34</v>
      </c>
      <c r="D991" s="32">
        <v>60000</v>
      </c>
      <c r="E991">
        <v>4</v>
      </c>
      <c r="F991" t="s">
        <v>13</v>
      </c>
      <c r="G991" t="s">
        <v>14</v>
      </c>
      <c r="H991" t="s">
        <v>18</v>
      </c>
      <c r="I991">
        <v>3</v>
      </c>
      <c r="J991" t="s">
        <v>30</v>
      </c>
      <c r="K991" t="s">
        <v>32</v>
      </c>
      <c r="L991">
        <v>42</v>
      </c>
      <c r="M991" t="s">
        <v>18</v>
      </c>
    </row>
    <row r="992" spans="1:13" x14ac:dyDescent="0.25">
      <c r="A992">
        <v>14332</v>
      </c>
      <c r="B992" t="s">
        <v>35</v>
      </c>
      <c r="C992" t="s">
        <v>33</v>
      </c>
      <c r="D992" s="32">
        <v>30000</v>
      </c>
      <c r="E992">
        <v>0</v>
      </c>
      <c r="F992" t="s">
        <v>27</v>
      </c>
      <c r="G992" t="s">
        <v>14</v>
      </c>
      <c r="H992" t="s">
        <v>18</v>
      </c>
      <c r="I992">
        <v>2</v>
      </c>
      <c r="J992" t="s">
        <v>23</v>
      </c>
      <c r="K992" t="s">
        <v>32</v>
      </c>
      <c r="L992">
        <v>26</v>
      </c>
      <c r="M992" t="s">
        <v>18</v>
      </c>
    </row>
    <row r="993" spans="1:13" x14ac:dyDescent="0.25">
      <c r="A993">
        <v>19117</v>
      </c>
      <c r="B993" t="s">
        <v>35</v>
      </c>
      <c r="C993" t="s">
        <v>33</v>
      </c>
      <c r="D993" s="32">
        <v>60000</v>
      </c>
      <c r="E993">
        <v>1</v>
      </c>
      <c r="F993" t="s">
        <v>31</v>
      </c>
      <c r="G993" t="s">
        <v>21</v>
      </c>
      <c r="H993" t="s">
        <v>15</v>
      </c>
      <c r="I993">
        <v>0</v>
      </c>
      <c r="J993" t="s">
        <v>22</v>
      </c>
      <c r="K993" t="s">
        <v>32</v>
      </c>
      <c r="L993">
        <v>36</v>
      </c>
      <c r="M993" t="s">
        <v>15</v>
      </c>
    </row>
    <row r="994" spans="1:13" x14ac:dyDescent="0.25">
      <c r="A994">
        <v>22864</v>
      </c>
      <c r="B994" t="s">
        <v>34</v>
      </c>
      <c r="C994" t="s">
        <v>34</v>
      </c>
      <c r="D994" s="32">
        <v>90000</v>
      </c>
      <c r="E994">
        <v>2</v>
      </c>
      <c r="F994" t="s">
        <v>19</v>
      </c>
      <c r="G994" t="s">
        <v>21</v>
      </c>
      <c r="H994" t="s">
        <v>18</v>
      </c>
      <c r="I994">
        <v>0</v>
      </c>
      <c r="J994" t="s">
        <v>23</v>
      </c>
      <c r="K994" t="s">
        <v>32</v>
      </c>
      <c r="L994">
        <v>49</v>
      </c>
      <c r="M994" t="s">
        <v>15</v>
      </c>
    </row>
    <row r="995" spans="1:13" x14ac:dyDescent="0.25">
      <c r="A995">
        <v>11292</v>
      </c>
      <c r="B995" t="s">
        <v>35</v>
      </c>
      <c r="C995" t="s">
        <v>34</v>
      </c>
      <c r="D995" s="32">
        <v>150000</v>
      </c>
      <c r="E995">
        <v>1</v>
      </c>
      <c r="F995" t="s">
        <v>19</v>
      </c>
      <c r="G995" t="s">
        <v>21</v>
      </c>
      <c r="H995" t="s">
        <v>18</v>
      </c>
      <c r="I995">
        <v>3</v>
      </c>
      <c r="J995" t="s">
        <v>16</v>
      </c>
      <c r="K995" t="s">
        <v>32</v>
      </c>
      <c r="L995">
        <v>44</v>
      </c>
      <c r="M995" t="s">
        <v>15</v>
      </c>
    </row>
    <row r="996" spans="1:13" x14ac:dyDescent="0.25">
      <c r="A996">
        <v>13466</v>
      </c>
      <c r="B996" t="s">
        <v>34</v>
      </c>
      <c r="C996" t="s">
        <v>34</v>
      </c>
      <c r="D996" s="32">
        <v>80000</v>
      </c>
      <c r="E996">
        <v>5</v>
      </c>
      <c r="F996" t="s">
        <v>19</v>
      </c>
      <c r="G996" t="s">
        <v>21</v>
      </c>
      <c r="H996" t="s">
        <v>15</v>
      </c>
      <c r="I996">
        <v>3</v>
      </c>
      <c r="J996" t="s">
        <v>26</v>
      </c>
      <c r="K996" t="s">
        <v>32</v>
      </c>
      <c r="L996">
        <v>46</v>
      </c>
      <c r="M996" t="s">
        <v>18</v>
      </c>
    </row>
    <row r="997" spans="1:13" x14ac:dyDescent="0.25">
      <c r="A997">
        <v>23731</v>
      </c>
      <c r="B997" t="s">
        <v>34</v>
      </c>
      <c r="C997" t="s">
        <v>34</v>
      </c>
      <c r="D997" s="32">
        <v>60000</v>
      </c>
      <c r="E997" s="1">
        <v>2</v>
      </c>
      <c r="F997" t="s">
        <v>27</v>
      </c>
      <c r="G997" t="s">
        <v>21</v>
      </c>
      <c r="H997" t="s">
        <v>15</v>
      </c>
      <c r="I997">
        <v>2</v>
      </c>
      <c r="J997" t="s">
        <v>22</v>
      </c>
      <c r="K997" t="s">
        <v>32</v>
      </c>
      <c r="L997">
        <v>54</v>
      </c>
      <c r="M997" t="s">
        <v>15</v>
      </c>
    </row>
    <row r="998" spans="1:13" x14ac:dyDescent="0.25">
      <c r="A998">
        <v>28672</v>
      </c>
      <c r="B998" t="s">
        <v>35</v>
      </c>
      <c r="C998" t="s">
        <v>34</v>
      </c>
      <c r="D998" s="32">
        <v>70000</v>
      </c>
      <c r="E998">
        <v>4</v>
      </c>
      <c r="F998" t="s">
        <v>31</v>
      </c>
      <c r="G998" t="s">
        <v>21</v>
      </c>
      <c r="H998" t="s">
        <v>15</v>
      </c>
      <c r="I998">
        <v>0</v>
      </c>
      <c r="J998" t="s">
        <v>22</v>
      </c>
      <c r="K998" t="s">
        <v>32</v>
      </c>
      <c r="L998">
        <v>35</v>
      </c>
      <c r="M998" t="s">
        <v>15</v>
      </c>
    </row>
    <row r="999" spans="1:13" x14ac:dyDescent="0.25">
      <c r="A999">
        <v>11809</v>
      </c>
      <c r="B999" t="s">
        <v>34</v>
      </c>
      <c r="C999" t="s">
        <v>34</v>
      </c>
      <c r="D999" s="32">
        <v>60000</v>
      </c>
      <c r="E999">
        <v>2</v>
      </c>
      <c r="F999" t="s">
        <v>13</v>
      </c>
      <c r="G999" t="s">
        <v>14</v>
      </c>
      <c r="H999" t="s">
        <v>15</v>
      </c>
      <c r="I999">
        <v>0</v>
      </c>
      <c r="J999" t="s">
        <v>16</v>
      </c>
      <c r="K999" t="s">
        <v>32</v>
      </c>
      <c r="L999">
        <v>38</v>
      </c>
      <c r="M999" t="s">
        <v>15</v>
      </c>
    </row>
    <row r="1000" spans="1:13" x14ac:dyDescent="0.25">
      <c r="A1000">
        <v>19664</v>
      </c>
      <c r="B1000" t="s">
        <v>35</v>
      </c>
      <c r="C1000" t="s">
        <v>34</v>
      </c>
      <c r="D1000" s="32">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32">
        <v>60000</v>
      </c>
      <c r="E1001">
        <v>3</v>
      </c>
      <c r="F1001" t="s">
        <v>27</v>
      </c>
      <c r="G1001" t="s">
        <v>21</v>
      </c>
      <c r="H1001" t="s">
        <v>15</v>
      </c>
      <c r="I1001">
        <v>2</v>
      </c>
      <c r="J1001" t="s">
        <v>30</v>
      </c>
      <c r="K1001" t="s">
        <v>32</v>
      </c>
      <c r="L1001">
        <v>53</v>
      </c>
      <c r="M1001" t="s">
        <v>15</v>
      </c>
    </row>
    <row r="1002" spans="1:13" x14ac:dyDescent="0.25">
      <c r="A1002">
        <v>13507</v>
      </c>
      <c r="B1002" t="s">
        <v>34</v>
      </c>
      <c r="C1002" t="s">
        <v>33</v>
      </c>
      <c r="D1002" s="32">
        <v>10000</v>
      </c>
      <c r="E1002">
        <v>2</v>
      </c>
      <c r="F1002" t="s">
        <v>19</v>
      </c>
      <c r="G1002" t="s">
        <v>25</v>
      </c>
      <c r="H1002" t="s">
        <v>15</v>
      </c>
      <c r="I1002">
        <v>0</v>
      </c>
      <c r="J1002" t="s">
        <v>26</v>
      </c>
      <c r="K1002" t="s">
        <v>17</v>
      </c>
      <c r="L1002">
        <v>50</v>
      </c>
      <c r="M1002" t="s">
        <v>18</v>
      </c>
    </row>
    <row r="1003" spans="1:13" x14ac:dyDescent="0.25">
      <c r="A1003">
        <v>19280</v>
      </c>
      <c r="B1003" t="s">
        <v>34</v>
      </c>
      <c r="C1003" t="s">
        <v>34</v>
      </c>
      <c r="D1003" s="32">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32">
        <v>30000</v>
      </c>
      <c r="E1004">
        <v>3</v>
      </c>
      <c r="F1004" t="s">
        <v>27</v>
      </c>
      <c r="G1004" t="s">
        <v>14</v>
      </c>
      <c r="H1004" t="s">
        <v>18</v>
      </c>
      <c r="I1004">
        <v>2</v>
      </c>
      <c r="J1004" t="s">
        <v>26</v>
      </c>
      <c r="K1004" t="s">
        <v>24</v>
      </c>
      <c r="L1004">
        <v>54</v>
      </c>
      <c r="M1004" t="s">
        <v>15</v>
      </c>
    </row>
    <row r="1005" spans="1:13" x14ac:dyDescent="0.25">
      <c r="A1005">
        <v>12697</v>
      </c>
      <c r="B1005" t="s">
        <v>35</v>
      </c>
      <c r="C1005" t="s">
        <v>33</v>
      </c>
      <c r="D1005" s="32">
        <v>90000</v>
      </c>
      <c r="E1005">
        <v>0</v>
      </c>
      <c r="F1005" t="s">
        <v>13</v>
      </c>
      <c r="G1005" t="s">
        <v>21</v>
      </c>
      <c r="H1005" t="s">
        <v>18</v>
      </c>
      <c r="I1005">
        <v>4</v>
      </c>
      <c r="J1005" t="s">
        <v>30</v>
      </c>
      <c r="K1005" t="s">
        <v>24</v>
      </c>
      <c r="L1005">
        <v>36</v>
      </c>
      <c r="M1005" t="s">
        <v>18</v>
      </c>
    </row>
    <row r="1006" spans="1:13" x14ac:dyDescent="0.25">
      <c r="A1006">
        <v>11434</v>
      </c>
      <c r="B1006" t="s">
        <v>34</v>
      </c>
      <c r="C1006" t="s">
        <v>34</v>
      </c>
      <c r="D1006" s="32">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32">
        <v>40000</v>
      </c>
      <c r="E1007">
        <v>2</v>
      </c>
      <c r="F1007" t="s">
        <v>19</v>
      </c>
      <c r="G1007" t="s">
        <v>20</v>
      </c>
      <c r="H1007" t="s">
        <v>15</v>
      </c>
      <c r="I1007">
        <v>1</v>
      </c>
      <c r="J1007" t="s">
        <v>26</v>
      </c>
      <c r="K1007" t="s">
        <v>17</v>
      </c>
      <c r="L1007">
        <v>35</v>
      </c>
      <c r="M1007" t="s">
        <v>15</v>
      </c>
    </row>
    <row r="1008" spans="1:13" x14ac:dyDescent="0.25">
      <c r="A1008">
        <v>23542</v>
      </c>
      <c r="B1008" t="s">
        <v>35</v>
      </c>
      <c r="C1008" t="s">
        <v>34</v>
      </c>
      <c r="D1008" s="32">
        <v>60000</v>
      </c>
      <c r="E1008">
        <v>1</v>
      </c>
      <c r="F1008" t="s">
        <v>19</v>
      </c>
      <c r="G1008" t="s">
        <v>14</v>
      </c>
      <c r="H1008" t="s">
        <v>18</v>
      </c>
      <c r="I1008">
        <v>1</v>
      </c>
      <c r="J1008" t="s">
        <v>16</v>
      </c>
      <c r="K1008" t="s">
        <v>24</v>
      </c>
      <c r="L1008">
        <v>45</v>
      </c>
      <c r="M1008" t="s">
        <v>15</v>
      </c>
    </row>
    <row r="1009" spans="1:13" x14ac:dyDescent="0.25">
      <c r="A1009">
        <v>20870</v>
      </c>
      <c r="B1009" t="s">
        <v>35</v>
      </c>
      <c r="C1009" t="s">
        <v>33</v>
      </c>
      <c r="D1009" s="32">
        <v>10000</v>
      </c>
      <c r="E1009">
        <v>2</v>
      </c>
      <c r="F1009" t="s">
        <v>27</v>
      </c>
      <c r="G1009" t="s">
        <v>25</v>
      </c>
      <c r="H1009" t="s">
        <v>15</v>
      </c>
      <c r="I1009">
        <v>1</v>
      </c>
      <c r="J1009" t="s">
        <v>16</v>
      </c>
      <c r="K1009" t="s">
        <v>17</v>
      </c>
      <c r="L1009">
        <v>38</v>
      </c>
      <c r="M1009" t="s">
        <v>15</v>
      </c>
    </row>
    <row r="1010" spans="1:13" x14ac:dyDescent="0.25">
      <c r="A1010">
        <v>23316</v>
      </c>
      <c r="B1010" t="s">
        <v>35</v>
      </c>
      <c r="C1010" t="s">
        <v>34</v>
      </c>
      <c r="D1010" s="32">
        <v>30000</v>
      </c>
      <c r="E1010">
        <v>3</v>
      </c>
      <c r="F1010" t="s">
        <v>19</v>
      </c>
      <c r="G1010" t="s">
        <v>20</v>
      </c>
      <c r="H1010" t="s">
        <v>18</v>
      </c>
      <c r="I1010">
        <v>2</v>
      </c>
      <c r="J1010" t="s">
        <v>26</v>
      </c>
      <c r="K1010" t="s">
        <v>24</v>
      </c>
      <c r="L1010">
        <v>59</v>
      </c>
      <c r="M1010" t="s">
        <v>15</v>
      </c>
    </row>
    <row r="1011" spans="1:13" x14ac:dyDescent="0.25">
      <c r="A1011">
        <v>12610</v>
      </c>
      <c r="B1011" t="s">
        <v>34</v>
      </c>
      <c r="C1011" t="s">
        <v>33</v>
      </c>
      <c r="D1011" s="32">
        <v>30000</v>
      </c>
      <c r="E1011">
        <v>1</v>
      </c>
      <c r="F1011" t="s">
        <v>13</v>
      </c>
      <c r="G1011" t="s">
        <v>20</v>
      </c>
      <c r="H1011" t="s">
        <v>15</v>
      </c>
      <c r="I1011">
        <v>0</v>
      </c>
      <c r="J1011" t="s">
        <v>16</v>
      </c>
      <c r="K1011" t="s">
        <v>17</v>
      </c>
      <c r="L1011">
        <v>47</v>
      </c>
      <c r="M1011" t="s">
        <v>18</v>
      </c>
    </row>
    <row r="1012" spans="1:13" x14ac:dyDescent="0.25">
      <c r="A1012">
        <v>27183</v>
      </c>
      <c r="B1012" t="s">
        <v>35</v>
      </c>
      <c r="C1012" t="s">
        <v>34</v>
      </c>
      <c r="D1012" s="32">
        <v>40000</v>
      </c>
      <c r="E1012">
        <v>2</v>
      </c>
      <c r="F1012" t="s">
        <v>19</v>
      </c>
      <c r="G1012" t="s">
        <v>20</v>
      </c>
      <c r="H1012" t="s">
        <v>15</v>
      </c>
      <c r="I1012">
        <v>1</v>
      </c>
      <c r="J1012" t="s">
        <v>26</v>
      </c>
      <c r="K1012" t="s">
        <v>17</v>
      </c>
      <c r="L1012">
        <v>35</v>
      </c>
      <c r="M1012" t="s">
        <v>15</v>
      </c>
    </row>
    <row r="1013" spans="1:13" x14ac:dyDescent="0.25">
      <c r="A1013">
        <v>25940</v>
      </c>
      <c r="B1013" t="s">
        <v>35</v>
      </c>
      <c r="C1013" t="s">
        <v>34</v>
      </c>
      <c r="D1013" s="32">
        <v>20000</v>
      </c>
      <c r="E1013">
        <v>2</v>
      </c>
      <c r="F1013" t="s">
        <v>29</v>
      </c>
      <c r="G1013" t="s">
        <v>20</v>
      </c>
      <c r="H1013" t="s">
        <v>15</v>
      </c>
      <c r="I1013">
        <v>2</v>
      </c>
      <c r="J1013" t="s">
        <v>23</v>
      </c>
      <c r="K1013" t="s">
        <v>24</v>
      </c>
      <c r="L1013">
        <v>55</v>
      </c>
      <c r="M1013" t="s">
        <v>15</v>
      </c>
    </row>
    <row r="1014" spans="1:13" x14ac:dyDescent="0.25">
      <c r="A1014">
        <v>25598</v>
      </c>
      <c r="B1014" t="s">
        <v>34</v>
      </c>
      <c r="C1014" t="s">
        <v>33</v>
      </c>
      <c r="D1014" s="32">
        <v>40000</v>
      </c>
      <c r="E1014">
        <v>0</v>
      </c>
      <c r="F1014" t="s">
        <v>31</v>
      </c>
      <c r="G1014" t="s">
        <v>20</v>
      </c>
      <c r="H1014" t="s">
        <v>15</v>
      </c>
      <c r="I1014">
        <v>0</v>
      </c>
      <c r="J1014" t="s">
        <v>16</v>
      </c>
      <c r="K1014" t="s">
        <v>17</v>
      </c>
      <c r="L1014">
        <v>36</v>
      </c>
      <c r="M1014" t="s">
        <v>15</v>
      </c>
    </row>
    <row r="1015" spans="1:13" x14ac:dyDescent="0.25">
      <c r="A1015">
        <v>21564</v>
      </c>
      <c r="B1015" t="s">
        <v>35</v>
      </c>
      <c r="C1015" t="s">
        <v>33</v>
      </c>
      <c r="D1015" s="32">
        <v>80000</v>
      </c>
      <c r="E1015">
        <v>0</v>
      </c>
      <c r="F1015" t="s">
        <v>13</v>
      </c>
      <c r="G1015" t="s">
        <v>21</v>
      </c>
      <c r="H1015" t="s">
        <v>15</v>
      </c>
      <c r="I1015">
        <v>4</v>
      </c>
      <c r="J1015" t="s">
        <v>30</v>
      </c>
      <c r="K1015" t="s">
        <v>24</v>
      </c>
      <c r="L1015">
        <v>35</v>
      </c>
      <c r="M1015" t="s">
        <v>18</v>
      </c>
    </row>
    <row r="1016" spans="1:13" x14ac:dyDescent="0.25">
      <c r="A1016">
        <v>19193</v>
      </c>
      <c r="B1016" t="s">
        <v>35</v>
      </c>
      <c r="C1016" t="s">
        <v>34</v>
      </c>
      <c r="D1016" s="32">
        <v>40000</v>
      </c>
      <c r="E1016">
        <v>2</v>
      </c>
      <c r="F1016" t="s">
        <v>19</v>
      </c>
      <c r="G1016" t="s">
        <v>20</v>
      </c>
      <c r="H1016" t="s">
        <v>15</v>
      </c>
      <c r="I1016">
        <v>0</v>
      </c>
      <c r="J1016" t="s">
        <v>26</v>
      </c>
      <c r="K1016" t="s">
        <v>17</v>
      </c>
      <c r="L1016">
        <v>35</v>
      </c>
      <c r="M1016" t="s">
        <v>15</v>
      </c>
    </row>
    <row r="1017" spans="1:13" x14ac:dyDescent="0.25">
      <c r="A1017">
        <v>26412</v>
      </c>
      <c r="B1017" t="s">
        <v>34</v>
      </c>
      <c r="C1017" t="s">
        <v>33</v>
      </c>
      <c r="D1017" s="32">
        <v>80000</v>
      </c>
      <c r="E1017">
        <v>5</v>
      </c>
      <c r="F1017" t="s">
        <v>27</v>
      </c>
      <c r="G1017" t="s">
        <v>28</v>
      </c>
      <c r="H1017" t="s">
        <v>18</v>
      </c>
      <c r="I1017">
        <v>3</v>
      </c>
      <c r="J1017" t="s">
        <v>23</v>
      </c>
      <c r="K1017" t="s">
        <v>17</v>
      </c>
      <c r="L1017">
        <v>56</v>
      </c>
      <c r="M1017" t="s">
        <v>18</v>
      </c>
    </row>
    <row r="1018" spans="1:13" x14ac:dyDescent="0.25">
      <c r="A1018">
        <v>27184</v>
      </c>
      <c r="B1018" t="s">
        <v>35</v>
      </c>
      <c r="C1018" t="s">
        <v>34</v>
      </c>
      <c r="D1018" s="32">
        <v>40000</v>
      </c>
      <c r="E1018">
        <v>2</v>
      </c>
      <c r="F1018" t="s">
        <v>19</v>
      </c>
      <c r="G1018" t="s">
        <v>20</v>
      </c>
      <c r="H1018" t="s">
        <v>18</v>
      </c>
      <c r="I1018">
        <v>1</v>
      </c>
      <c r="J1018" t="s">
        <v>16</v>
      </c>
      <c r="K1018" t="s">
        <v>17</v>
      </c>
      <c r="L1018">
        <v>34</v>
      </c>
      <c r="M1018" t="s">
        <v>18</v>
      </c>
    </row>
    <row r="1019" spans="1:13" x14ac:dyDescent="0.25">
      <c r="A1019">
        <v>12590</v>
      </c>
      <c r="B1019" t="s">
        <v>35</v>
      </c>
      <c r="C1019" t="s">
        <v>34</v>
      </c>
      <c r="D1019" s="32">
        <v>30000</v>
      </c>
      <c r="E1019">
        <v>1</v>
      </c>
      <c r="F1019" t="s">
        <v>13</v>
      </c>
      <c r="G1019" t="s">
        <v>20</v>
      </c>
      <c r="H1019" t="s">
        <v>15</v>
      </c>
      <c r="I1019">
        <v>0</v>
      </c>
      <c r="J1019" t="s">
        <v>16</v>
      </c>
      <c r="K1019" t="s">
        <v>17</v>
      </c>
      <c r="L1019">
        <v>63</v>
      </c>
      <c r="M1019" t="s">
        <v>18</v>
      </c>
    </row>
    <row r="1020" spans="1:13" x14ac:dyDescent="0.25">
      <c r="A1020">
        <v>17841</v>
      </c>
      <c r="B1020" t="s">
        <v>35</v>
      </c>
      <c r="C1020" t="s">
        <v>34</v>
      </c>
      <c r="D1020" s="32">
        <v>30000</v>
      </c>
      <c r="E1020">
        <v>0</v>
      </c>
      <c r="F1020" t="s">
        <v>19</v>
      </c>
      <c r="G1020" t="s">
        <v>20</v>
      </c>
      <c r="H1020" t="s">
        <v>18</v>
      </c>
      <c r="I1020">
        <v>1</v>
      </c>
      <c r="J1020" t="s">
        <v>16</v>
      </c>
      <c r="K1020" t="s">
        <v>17</v>
      </c>
      <c r="L1020">
        <v>29</v>
      </c>
      <c r="M1020" t="s">
        <v>15</v>
      </c>
    </row>
    <row r="1021" spans="1:13" x14ac:dyDescent="0.25">
      <c r="A1021">
        <v>18283</v>
      </c>
      <c r="B1021" t="s">
        <v>35</v>
      </c>
      <c r="C1021" t="s">
        <v>33</v>
      </c>
      <c r="D1021" s="32">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32">
        <v>70000</v>
      </c>
      <c r="E1022">
        <v>5</v>
      </c>
      <c r="F1022" t="s">
        <v>19</v>
      </c>
      <c r="G1022" t="s">
        <v>14</v>
      </c>
      <c r="H1022" t="s">
        <v>15</v>
      </c>
      <c r="I1022">
        <v>2</v>
      </c>
      <c r="J1022" t="s">
        <v>23</v>
      </c>
      <c r="K1022" t="s">
        <v>24</v>
      </c>
      <c r="L1022">
        <v>44</v>
      </c>
      <c r="M1022" t="s">
        <v>18</v>
      </c>
    </row>
    <row r="1023" spans="1:13" x14ac:dyDescent="0.25">
      <c r="A1023">
        <v>16466</v>
      </c>
      <c r="B1023" t="s">
        <v>35</v>
      </c>
      <c r="C1023" t="s">
        <v>33</v>
      </c>
      <c r="D1023" s="32">
        <v>20000</v>
      </c>
      <c r="E1023">
        <v>0</v>
      </c>
      <c r="F1023" t="s">
        <v>29</v>
      </c>
      <c r="G1023" t="s">
        <v>25</v>
      </c>
      <c r="H1023" t="s">
        <v>18</v>
      </c>
      <c r="I1023">
        <v>2</v>
      </c>
      <c r="J1023" t="s">
        <v>16</v>
      </c>
      <c r="K1023" t="s">
        <v>17</v>
      </c>
      <c r="L1023">
        <v>32</v>
      </c>
      <c r="M1023" t="s">
        <v>15</v>
      </c>
    </row>
    <row r="1024" spans="1:13" x14ac:dyDescent="0.25">
      <c r="A1024">
        <v>19273</v>
      </c>
      <c r="B1024" t="s">
        <v>34</v>
      </c>
      <c r="C1024" t="s">
        <v>33</v>
      </c>
      <c r="D1024" s="32">
        <v>20000</v>
      </c>
      <c r="E1024">
        <v>2</v>
      </c>
      <c r="F1024" t="s">
        <v>19</v>
      </c>
      <c r="G1024" t="s">
        <v>25</v>
      </c>
      <c r="H1024" t="s">
        <v>15</v>
      </c>
      <c r="I1024">
        <v>0</v>
      </c>
      <c r="J1024" t="s">
        <v>16</v>
      </c>
      <c r="K1024" t="s">
        <v>17</v>
      </c>
      <c r="L1024">
        <v>63</v>
      </c>
      <c r="M1024" t="s">
        <v>18</v>
      </c>
    </row>
    <row r="1025" spans="1:13" x14ac:dyDescent="0.25">
      <c r="A1025">
        <v>22400</v>
      </c>
      <c r="B1025" t="s">
        <v>34</v>
      </c>
      <c r="C1025" t="s">
        <v>34</v>
      </c>
      <c r="D1025" s="32">
        <v>10000</v>
      </c>
      <c r="E1025">
        <v>0</v>
      </c>
      <c r="F1025" t="s">
        <v>19</v>
      </c>
      <c r="G1025" t="s">
        <v>25</v>
      </c>
      <c r="H1025" t="s">
        <v>18</v>
      </c>
      <c r="I1025">
        <v>1</v>
      </c>
      <c r="J1025" t="s">
        <v>16</v>
      </c>
      <c r="K1025" t="s">
        <v>24</v>
      </c>
      <c r="L1025">
        <v>26</v>
      </c>
      <c r="M1025" t="s">
        <v>15</v>
      </c>
    </row>
    <row r="1026" spans="1:13" x14ac:dyDescent="0.25">
      <c r="A1026">
        <v>20942</v>
      </c>
      <c r="B1026" t="s">
        <v>35</v>
      </c>
      <c r="C1026" t="s">
        <v>33</v>
      </c>
      <c r="D1026" s="32">
        <v>20000</v>
      </c>
      <c r="E1026">
        <v>0</v>
      </c>
      <c r="F1026" t="s">
        <v>27</v>
      </c>
      <c r="G1026" t="s">
        <v>25</v>
      </c>
      <c r="H1026" t="s">
        <v>18</v>
      </c>
      <c r="I1026">
        <v>1</v>
      </c>
      <c r="J1026" t="s">
        <v>23</v>
      </c>
      <c r="K1026" t="s">
        <v>17</v>
      </c>
      <c r="L1026">
        <v>31</v>
      </c>
      <c r="M1026" t="s">
        <v>18</v>
      </c>
    </row>
    <row r="1027" spans="1:13" x14ac:dyDescent="0.25">
      <c r="A1027">
        <v>18484</v>
      </c>
      <c r="B1027" t="s">
        <v>35</v>
      </c>
      <c r="C1027" t="s">
        <v>34</v>
      </c>
      <c r="D1027" s="32">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CCD2C-7BE5-4216-BF29-B0C5F2451AA6}">
  <sheetPr>
    <tabColor theme="9"/>
  </sheetPr>
  <dimension ref="Y2:AA15"/>
  <sheetViews>
    <sheetView tabSelected="1" zoomScale="70" zoomScaleNormal="70" workbookViewId="0">
      <selection activeCell="Z3" sqref="Z3"/>
    </sheetView>
  </sheetViews>
  <sheetFormatPr defaultRowHeight="15" x14ac:dyDescent="0.25"/>
  <cols>
    <col min="1" max="20" width="9.140625" style="8"/>
    <col min="21" max="21" width="11.5703125" style="8" bestFit="1" customWidth="1"/>
    <col min="22" max="22" width="18" style="8" bestFit="1" customWidth="1"/>
    <col min="23" max="24" width="9.140625" style="8"/>
    <col min="25" max="25" width="11.5703125" style="8" bestFit="1" customWidth="1"/>
    <col min="26" max="26" width="18.28515625" style="8" bestFit="1" customWidth="1"/>
    <col min="27" max="16384" width="9.140625" style="8"/>
  </cols>
  <sheetData>
    <row r="2" spans="25:27" x14ac:dyDescent="0.25">
      <c r="Y2" s="8" t="s">
        <v>1993</v>
      </c>
      <c r="Z2" s="13">
        <f>SLOPE('2.2 Working Sheet'!N4:N313,'2.2 Working Sheet'!J4:J313)</f>
        <v>1434032854.96843</v>
      </c>
      <c r="AA2" s="8" t="s">
        <v>1992</v>
      </c>
    </row>
    <row r="3" spans="25:27" x14ac:dyDescent="0.25">
      <c r="Y3" s="8" t="s">
        <v>1991</v>
      </c>
      <c r="Z3" s="8">
        <f>CORREL('2.2 Working Sheet'!N4:N313,'2.2 Working Sheet'!J4:J313)^2</f>
        <v>0.55220704714447455</v>
      </c>
      <c r="AA3" s="14" t="s">
        <v>2321</v>
      </c>
    </row>
    <row r="4" spans="25:27" x14ac:dyDescent="0.25">
      <c r="Y4" s="8" t="s">
        <v>1990</v>
      </c>
      <c r="Z4" s="13">
        <f>INTERCEPT('2.2 Working Sheet'!N4:N313,'2.2 Working Sheet'!J4:J313)</f>
        <v>16085684582.729958</v>
      </c>
      <c r="AA4" s="8" t="s">
        <v>1989</v>
      </c>
    </row>
    <row r="13" spans="25:27" x14ac:dyDescent="0.25">
      <c r="Z13" s="13"/>
    </row>
    <row r="14" spans="25:27" x14ac:dyDescent="0.25">
      <c r="Z14" s="15"/>
      <c r="AA14" s="14"/>
    </row>
    <row r="15" spans="25:27" x14ac:dyDescent="0.25">
      <c r="Z15" s="1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35C52-DF20-443E-B7C9-C954B9F8C008}">
  <dimension ref="A1:N1353"/>
  <sheetViews>
    <sheetView topLeftCell="D1" zoomScale="85" zoomScaleNormal="85" workbookViewId="0">
      <selection activeCell="O4" sqref="O4"/>
    </sheetView>
  </sheetViews>
  <sheetFormatPr defaultRowHeight="15" x14ac:dyDescent="0.25"/>
  <cols>
    <col min="1" max="1" width="16.85546875" style="16" customWidth="1"/>
    <col min="2" max="2" width="20.5703125" style="17" customWidth="1"/>
    <col min="3" max="3" width="18" style="16" customWidth="1"/>
    <col min="4" max="4" width="12.85546875" customWidth="1"/>
    <col min="5" max="5" width="22.28515625" customWidth="1"/>
    <col min="6" max="6" width="18" style="17" customWidth="1"/>
    <col min="7" max="7" width="43.7109375" style="16" customWidth="1"/>
    <col min="8" max="8" width="11.85546875" customWidth="1"/>
    <col min="9" max="9" width="43.85546875" bestFit="1" customWidth="1"/>
    <col min="10" max="10" width="44.42578125" style="17" bestFit="1" customWidth="1"/>
    <col min="11" max="11" width="18" style="16" customWidth="1"/>
    <col min="12" max="12" width="25" style="17" customWidth="1"/>
    <col min="13" max="13" width="32.42578125" style="16" bestFit="1" customWidth="1"/>
    <col min="14" max="14" width="20.28515625" style="17" bestFit="1" customWidth="1"/>
    <col min="19" max="19" width="12" bestFit="1" customWidth="1"/>
  </cols>
  <sheetData>
    <row r="1" spans="1:14" x14ac:dyDescent="0.25">
      <c r="A1" s="43" t="s">
        <v>2316</v>
      </c>
      <c r="B1" s="44"/>
      <c r="C1" s="47" t="s">
        <v>2314</v>
      </c>
      <c r="D1" s="48"/>
      <c r="E1" s="48"/>
      <c r="F1" s="49"/>
      <c r="G1" s="53" t="s">
        <v>2315</v>
      </c>
      <c r="H1" s="54"/>
      <c r="I1" s="54"/>
      <c r="J1" s="55"/>
      <c r="K1" s="35" t="s">
        <v>2317</v>
      </c>
      <c r="L1" s="36"/>
      <c r="M1" s="39" t="s">
        <v>2313</v>
      </c>
      <c r="N1" s="40"/>
    </row>
    <row r="2" spans="1:14" x14ac:dyDescent="0.25">
      <c r="A2" s="45"/>
      <c r="B2" s="46"/>
      <c r="C2" s="50"/>
      <c r="D2" s="51"/>
      <c r="E2" s="51"/>
      <c r="F2" s="52"/>
      <c r="G2" s="56"/>
      <c r="H2" s="57"/>
      <c r="I2" s="57"/>
      <c r="J2" s="58"/>
      <c r="K2" s="37"/>
      <c r="L2" s="38"/>
      <c r="M2" s="41"/>
      <c r="N2" s="42"/>
    </row>
    <row r="3" spans="1:14" ht="30" customHeight="1" x14ac:dyDescent="0.25">
      <c r="A3" s="29" t="s">
        <v>1996</v>
      </c>
      <c r="B3" s="30" t="s">
        <v>1997</v>
      </c>
      <c r="C3" s="29" t="s">
        <v>2311</v>
      </c>
      <c r="D3" s="23" t="s">
        <v>2312</v>
      </c>
      <c r="E3" s="23" t="s">
        <v>1999</v>
      </c>
      <c r="F3" s="30" t="s">
        <v>1994</v>
      </c>
      <c r="G3" s="29" t="s">
        <v>2318</v>
      </c>
      <c r="H3" s="24" t="s">
        <v>1988</v>
      </c>
      <c r="I3" s="23" t="s">
        <v>2318</v>
      </c>
      <c r="J3" s="31" t="s">
        <v>2319</v>
      </c>
      <c r="K3" s="29" t="s">
        <v>1994</v>
      </c>
      <c r="L3" s="30" t="s">
        <v>1995</v>
      </c>
      <c r="M3" s="29" t="s">
        <v>1998</v>
      </c>
      <c r="N3" s="31" t="s">
        <v>2320</v>
      </c>
    </row>
    <row r="4" spans="1:14" x14ac:dyDescent="0.25">
      <c r="A4" s="18" t="s">
        <v>1985</v>
      </c>
      <c r="B4" s="28">
        <v>30.98</v>
      </c>
      <c r="C4" s="16" t="str">
        <f>LEFT(A4,4)</f>
        <v>2000</v>
      </c>
      <c r="D4" t="str">
        <f>RIGHT(A4,2)</f>
        <v>01</v>
      </c>
      <c r="E4" s="21">
        <f>DATE(C4,1,1)+(D4-1)*7</f>
        <v>36526</v>
      </c>
      <c r="F4" s="17" t="str">
        <f>TEXT(E4,"éééé-hh")</f>
        <v>2000-01</v>
      </c>
      <c r="G4" s="25">
        <f>AVERAGEIF($F$4:$F$1353,F4,$B$4:$B$1353)</f>
        <v>31.076000000000001</v>
      </c>
      <c r="H4" s="4" t="s">
        <v>2000</v>
      </c>
      <c r="I4" s="27">
        <v>31.076000000000001</v>
      </c>
      <c r="J4" s="26">
        <v>31.076000000000001</v>
      </c>
      <c r="K4" s="18" t="s">
        <v>627</v>
      </c>
      <c r="L4" s="19">
        <v>8123</v>
      </c>
      <c r="M4" s="18" t="s">
        <v>387</v>
      </c>
      <c r="N4" s="20">
        <f t="shared" ref="N4:N67" si="0">L244*1000000</f>
        <v>38985000000</v>
      </c>
    </row>
    <row r="5" spans="1:14" x14ac:dyDescent="0.25">
      <c r="A5" s="18" t="s">
        <v>1984</v>
      </c>
      <c r="B5" s="28">
        <v>31.12</v>
      </c>
      <c r="C5" s="16" t="str">
        <f t="shared" ref="C5:C19" si="1">LEFT(A5,4)</f>
        <v>2000</v>
      </c>
      <c r="D5" t="str">
        <f t="shared" ref="D5:D19" si="2">RIGHT(A5,2)</f>
        <v>02</v>
      </c>
      <c r="E5" s="21">
        <f t="shared" ref="E5:E68" si="3">DATE(C5,1,1)+(D5-1)*7</f>
        <v>36533</v>
      </c>
      <c r="F5" s="17" t="str">
        <f t="shared" ref="F5:F68" si="4">TEXT(E5,"éééé-hh")</f>
        <v>2000-01</v>
      </c>
      <c r="G5" s="25">
        <f t="shared" ref="G5:G68" si="5">AVERAGEIF($F$4:$F$1353,F5,$B$4:$B$1353)</f>
        <v>31.076000000000001</v>
      </c>
      <c r="H5" s="4" t="s">
        <v>2001</v>
      </c>
      <c r="I5" s="27">
        <v>32.305</v>
      </c>
      <c r="J5" s="26">
        <v>32.305</v>
      </c>
      <c r="K5" s="18" t="s">
        <v>626</v>
      </c>
      <c r="L5" s="19">
        <v>7672</v>
      </c>
      <c r="M5" s="18" t="s">
        <v>386</v>
      </c>
      <c r="N5" s="20">
        <f t="shared" si="0"/>
        <v>38900000000</v>
      </c>
    </row>
    <row r="6" spans="1:14" x14ac:dyDescent="0.25">
      <c r="A6" s="18" t="s">
        <v>1983</v>
      </c>
      <c r="B6" s="28">
        <v>31.03</v>
      </c>
      <c r="C6" s="16" t="str">
        <f t="shared" si="1"/>
        <v>2000</v>
      </c>
      <c r="D6" t="str">
        <f t="shared" si="2"/>
        <v>03</v>
      </c>
      <c r="E6" s="21">
        <f t="shared" si="3"/>
        <v>36540</v>
      </c>
      <c r="F6" s="17" t="str">
        <f t="shared" si="4"/>
        <v>2000-01</v>
      </c>
      <c r="G6" s="25">
        <f t="shared" si="5"/>
        <v>31.076000000000001</v>
      </c>
      <c r="H6" s="4" t="s">
        <v>2002</v>
      </c>
      <c r="I6" s="27">
        <v>33.292500000000004</v>
      </c>
      <c r="J6" s="26">
        <v>33.292500000000004</v>
      </c>
      <c r="K6" s="18" t="s">
        <v>625</v>
      </c>
      <c r="L6" s="19">
        <v>8003</v>
      </c>
      <c r="M6" s="18" t="s">
        <v>385</v>
      </c>
      <c r="N6" s="20">
        <f t="shared" si="0"/>
        <v>42813000000</v>
      </c>
    </row>
    <row r="7" spans="1:14" x14ac:dyDescent="0.25">
      <c r="A7" s="18" t="s">
        <v>1982</v>
      </c>
      <c r="B7" s="28">
        <v>30.95</v>
      </c>
      <c r="C7" s="16" t="str">
        <f t="shared" si="1"/>
        <v>2000</v>
      </c>
      <c r="D7" t="str">
        <f t="shared" si="2"/>
        <v>04</v>
      </c>
      <c r="E7" s="21">
        <f t="shared" si="3"/>
        <v>36547</v>
      </c>
      <c r="F7" s="17" t="str">
        <f t="shared" si="4"/>
        <v>2000-01</v>
      </c>
      <c r="G7" s="25">
        <f t="shared" si="5"/>
        <v>31.076000000000001</v>
      </c>
      <c r="H7" s="4" t="s">
        <v>2003</v>
      </c>
      <c r="I7" s="27">
        <v>35.286000000000001</v>
      </c>
      <c r="J7" s="26">
        <v>35.286000000000001</v>
      </c>
      <c r="K7" s="18" t="s">
        <v>624</v>
      </c>
      <c r="L7" s="19">
        <v>7578</v>
      </c>
      <c r="M7" s="18" t="s">
        <v>384</v>
      </c>
      <c r="N7" s="20">
        <f t="shared" si="0"/>
        <v>37147000000</v>
      </c>
    </row>
    <row r="8" spans="1:14" x14ac:dyDescent="0.25">
      <c r="A8" s="18" t="s">
        <v>1981</v>
      </c>
      <c r="B8" s="28">
        <v>31.3</v>
      </c>
      <c r="C8" s="16" t="str">
        <f t="shared" si="1"/>
        <v>2000</v>
      </c>
      <c r="D8" t="str">
        <f t="shared" si="2"/>
        <v>05</v>
      </c>
      <c r="E8" s="21">
        <f t="shared" si="3"/>
        <v>36554</v>
      </c>
      <c r="F8" s="17" t="str">
        <f t="shared" si="4"/>
        <v>2000-01</v>
      </c>
      <c r="G8" s="25">
        <f t="shared" si="5"/>
        <v>31.076000000000001</v>
      </c>
      <c r="H8" s="4" t="s">
        <v>2004</v>
      </c>
      <c r="I8" s="27">
        <v>36.322499999999998</v>
      </c>
      <c r="J8" s="26">
        <v>36.322499999999998</v>
      </c>
      <c r="K8" s="18" t="s">
        <v>623</v>
      </c>
      <c r="L8" s="19">
        <v>7423</v>
      </c>
      <c r="M8" s="18" t="s">
        <v>383</v>
      </c>
      <c r="N8" s="20">
        <f t="shared" si="0"/>
        <v>43463000000</v>
      </c>
    </row>
    <row r="9" spans="1:14" x14ac:dyDescent="0.25">
      <c r="A9" s="18" t="s">
        <v>1980</v>
      </c>
      <c r="B9" s="28">
        <v>32.53</v>
      </c>
      <c r="C9" s="16" t="str">
        <f t="shared" si="1"/>
        <v>2000</v>
      </c>
      <c r="D9" t="str">
        <f t="shared" si="2"/>
        <v>06</v>
      </c>
      <c r="E9" s="21">
        <f t="shared" si="3"/>
        <v>36561</v>
      </c>
      <c r="F9" s="17" t="str">
        <f t="shared" si="4"/>
        <v>2000-02</v>
      </c>
      <c r="G9" s="25">
        <f t="shared" si="5"/>
        <v>32.305</v>
      </c>
      <c r="H9" s="4" t="s">
        <v>2005</v>
      </c>
      <c r="I9" s="27">
        <v>34.93</v>
      </c>
      <c r="J9" s="26">
        <v>34.93</v>
      </c>
      <c r="K9" s="18" t="s">
        <v>622</v>
      </c>
      <c r="L9" s="19">
        <v>7798</v>
      </c>
      <c r="M9" s="18" t="s">
        <v>382</v>
      </c>
      <c r="N9" s="20">
        <f t="shared" si="0"/>
        <v>41200000000</v>
      </c>
    </row>
    <row r="10" spans="1:14" x14ac:dyDescent="0.25">
      <c r="A10" s="18" t="s">
        <v>1979</v>
      </c>
      <c r="B10" s="28">
        <v>32.46</v>
      </c>
      <c r="C10" s="16" t="str">
        <f t="shared" si="1"/>
        <v>2000</v>
      </c>
      <c r="D10" t="str">
        <f t="shared" si="2"/>
        <v>07</v>
      </c>
      <c r="E10" s="21">
        <f t="shared" si="3"/>
        <v>36568</v>
      </c>
      <c r="F10" s="17" t="str">
        <f t="shared" si="4"/>
        <v>2000-02</v>
      </c>
      <c r="G10" s="25">
        <f t="shared" si="5"/>
        <v>32.305</v>
      </c>
      <c r="H10" s="4" t="s">
        <v>2006</v>
      </c>
      <c r="I10" s="27">
        <v>35.564000000000007</v>
      </c>
      <c r="J10" s="26">
        <v>35.564000000000007</v>
      </c>
      <c r="K10" s="18" t="s">
        <v>621</v>
      </c>
      <c r="L10" s="19">
        <v>5840</v>
      </c>
      <c r="M10" s="18" t="s">
        <v>381</v>
      </c>
      <c r="N10" s="20">
        <f t="shared" si="0"/>
        <v>40961000000</v>
      </c>
    </row>
    <row r="11" spans="1:14" x14ac:dyDescent="0.25">
      <c r="A11" s="18" t="s">
        <v>1978</v>
      </c>
      <c r="B11" s="28">
        <v>32.19</v>
      </c>
      <c r="C11" s="16" t="str">
        <f t="shared" si="1"/>
        <v>2000</v>
      </c>
      <c r="D11" t="str">
        <f t="shared" si="2"/>
        <v>08</v>
      </c>
      <c r="E11" s="21">
        <f t="shared" si="3"/>
        <v>36575</v>
      </c>
      <c r="F11" s="17" t="str">
        <f t="shared" si="4"/>
        <v>2000-02</v>
      </c>
      <c r="G11" s="25">
        <f t="shared" si="5"/>
        <v>32.305</v>
      </c>
      <c r="H11" s="4" t="s">
        <v>2007</v>
      </c>
      <c r="I11" s="27">
        <v>33.75</v>
      </c>
      <c r="J11" s="26">
        <v>33.75</v>
      </c>
      <c r="K11" s="18" t="s">
        <v>620</v>
      </c>
      <c r="L11" s="19">
        <v>6815</v>
      </c>
      <c r="M11" s="18" t="s">
        <v>380</v>
      </c>
      <c r="N11" s="20">
        <f t="shared" si="0"/>
        <v>48092000000</v>
      </c>
    </row>
    <row r="12" spans="1:14" x14ac:dyDescent="0.25">
      <c r="A12" s="18" t="s">
        <v>1977</v>
      </c>
      <c r="B12" s="28">
        <v>32.04</v>
      </c>
      <c r="C12" s="16" t="str">
        <f t="shared" si="1"/>
        <v>2000</v>
      </c>
      <c r="D12" t="str">
        <f t="shared" si="2"/>
        <v>09</v>
      </c>
      <c r="E12" s="21">
        <f t="shared" si="3"/>
        <v>36582</v>
      </c>
      <c r="F12" s="17" t="str">
        <f t="shared" si="4"/>
        <v>2000-02</v>
      </c>
      <c r="G12" s="25">
        <f t="shared" si="5"/>
        <v>32.305</v>
      </c>
      <c r="H12" s="4" t="s">
        <v>2008</v>
      </c>
      <c r="I12" s="27">
        <v>29.421999999999997</v>
      </c>
      <c r="J12" s="26">
        <v>29.421999999999997</v>
      </c>
      <c r="K12" s="18" t="s">
        <v>619</v>
      </c>
      <c r="L12" s="19">
        <v>7353</v>
      </c>
      <c r="M12" s="18" t="s">
        <v>379</v>
      </c>
      <c r="N12" s="20">
        <f t="shared" si="0"/>
        <v>46327000000</v>
      </c>
    </row>
    <row r="13" spans="1:14" x14ac:dyDescent="0.25">
      <c r="A13" s="18" t="s">
        <v>1976</v>
      </c>
      <c r="B13" s="28">
        <v>32</v>
      </c>
      <c r="C13" s="16" t="str">
        <f t="shared" si="1"/>
        <v>2000</v>
      </c>
      <c r="D13" t="str">
        <f t="shared" si="2"/>
        <v>10</v>
      </c>
      <c r="E13" s="21">
        <f t="shared" si="3"/>
        <v>36589</v>
      </c>
      <c r="F13" s="17" t="str">
        <f t="shared" si="4"/>
        <v>2000-03</v>
      </c>
      <c r="G13" s="25">
        <f t="shared" si="5"/>
        <v>33.292500000000004</v>
      </c>
      <c r="H13" s="4" t="s">
        <v>2009</v>
      </c>
      <c r="I13" s="27">
        <v>27.28</v>
      </c>
      <c r="J13" s="26">
        <v>27.28</v>
      </c>
      <c r="K13" s="18" t="s">
        <v>618</v>
      </c>
      <c r="L13" s="19">
        <v>8337</v>
      </c>
      <c r="M13" s="18" t="s">
        <v>378</v>
      </c>
      <c r="N13" s="20">
        <f t="shared" si="0"/>
        <v>52590000000</v>
      </c>
    </row>
    <row r="14" spans="1:14" x14ac:dyDescent="0.25">
      <c r="A14" s="18" t="s">
        <v>1975</v>
      </c>
      <c r="B14" s="28">
        <v>33.29</v>
      </c>
      <c r="C14" s="16" t="str">
        <f t="shared" si="1"/>
        <v>2000</v>
      </c>
      <c r="D14" t="str">
        <f t="shared" si="2"/>
        <v>11</v>
      </c>
      <c r="E14" s="21">
        <f t="shared" si="3"/>
        <v>36596</v>
      </c>
      <c r="F14" s="17" t="str">
        <f t="shared" si="4"/>
        <v>2000-03</v>
      </c>
      <c r="G14" s="25">
        <f t="shared" si="5"/>
        <v>33.292500000000004</v>
      </c>
      <c r="H14" s="4" t="s">
        <v>2010</v>
      </c>
      <c r="I14" s="27">
        <v>26.79</v>
      </c>
      <c r="J14" s="26">
        <v>26.79</v>
      </c>
      <c r="K14" s="18" t="s">
        <v>617</v>
      </c>
      <c r="L14" s="19">
        <v>7561</v>
      </c>
      <c r="M14" s="18" t="s">
        <v>377</v>
      </c>
      <c r="N14" s="20">
        <f t="shared" si="0"/>
        <v>53518000000</v>
      </c>
    </row>
    <row r="15" spans="1:14" x14ac:dyDescent="0.25">
      <c r="A15" s="18" t="s">
        <v>1974</v>
      </c>
      <c r="B15" s="28">
        <v>33.770000000000003</v>
      </c>
      <c r="C15" s="16" t="str">
        <f t="shared" si="1"/>
        <v>2000</v>
      </c>
      <c r="D15" t="str">
        <f t="shared" si="2"/>
        <v>12</v>
      </c>
      <c r="E15" s="21">
        <f t="shared" si="3"/>
        <v>36603</v>
      </c>
      <c r="F15" s="17" t="str">
        <f t="shared" si="4"/>
        <v>2000-03</v>
      </c>
      <c r="G15" s="25">
        <f t="shared" si="5"/>
        <v>33.292500000000004</v>
      </c>
      <c r="H15" s="4" t="s">
        <v>2011</v>
      </c>
      <c r="I15" s="27">
        <v>27.647500000000001</v>
      </c>
      <c r="J15" s="26">
        <v>27.647500000000001</v>
      </c>
      <c r="K15" s="18" t="s">
        <v>616</v>
      </c>
      <c r="L15" s="19">
        <v>9169</v>
      </c>
      <c r="M15" s="18" t="s">
        <v>376</v>
      </c>
      <c r="N15" s="20">
        <f t="shared" si="0"/>
        <v>45816000000</v>
      </c>
    </row>
    <row r="16" spans="1:14" x14ac:dyDescent="0.25">
      <c r="A16" s="18" t="s">
        <v>1973</v>
      </c>
      <c r="B16" s="28">
        <v>34.11</v>
      </c>
      <c r="C16" s="16" t="str">
        <f t="shared" si="1"/>
        <v>2000</v>
      </c>
      <c r="D16" t="str">
        <f t="shared" si="2"/>
        <v>13</v>
      </c>
      <c r="E16" s="21">
        <f t="shared" si="3"/>
        <v>36610</v>
      </c>
      <c r="F16" s="17" t="str">
        <f t="shared" si="4"/>
        <v>2000-03</v>
      </c>
      <c r="G16" s="25">
        <f t="shared" si="5"/>
        <v>33.292500000000004</v>
      </c>
      <c r="H16" s="4" t="s">
        <v>2012</v>
      </c>
      <c r="I16" s="27">
        <v>26.874000000000002</v>
      </c>
      <c r="J16" s="26">
        <v>26.874000000000002</v>
      </c>
      <c r="K16" s="18" t="s">
        <v>615</v>
      </c>
      <c r="L16" s="19">
        <v>8296</v>
      </c>
      <c r="M16" s="18" t="s">
        <v>375</v>
      </c>
      <c r="N16" s="20">
        <f t="shared" si="0"/>
        <v>50394000000</v>
      </c>
    </row>
    <row r="17" spans="1:14" x14ac:dyDescent="0.25">
      <c r="A17" s="18" t="s">
        <v>1972</v>
      </c>
      <c r="B17" s="28">
        <v>34.61</v>
      </c>
      <c r="C17" s="16" t="str">
        <f t="shared" si="1"/>
        <v>2000</v>
      </c>
      <c r="D17" t="str">
        <f t="shared" si="2"/>
        <v>14</v>
      </c>
      <c r="E17" s="21">
        <f t="shared" si="3"/>
        <v>36617</v>
      </c>
      <c r="F17" s="17" t="str">
        <f t="shared" si="4"/>
        <v>2000-04</v>
      </c>
      <c r="G17" s="25">
        <f t="shared" si="5"/>
        <v>35.286000000000001</v>
      </c>
      <c r="H17" s="4" t="s">
        <v>2013</v>
      </c>
      <c r="I17" s="27">
        <v>27.042499999999997</v>
      </c>
      <c r="J17" s="26">
        <v>27.042499999999997</v>
      </c>
      <c r="K17" s="18" t="s">
        <v>614</v>
      </c>
      <c r="L17" s="19">
        <v>7586</v>
      </c>
      <c r="M17" s="18" t="s">
        <v>374</v>
      </c>
      <c r="N17" s="20">
        <f t="shared" si="0"/>
        <v>42706000000</v>
      </c>
    </row>
    <row r="18" spans="1:14" x14ac:dyDescent="0.25">
      <c r="A18" s="18" t="s">
        <v>1971</v>
      </c>
      <c r="B18" s="28">
        <v>34.119999999999997</v>
      </c>
      <c r="C18" s="16" t="str">
        <f t="shared" si="1"/>
        <v>2000</v>
      </c>
      <c r="D18" t="str">
        <f t="shared" si="2"/>
        <v>15</v>
      </c>
      <c r="E18" s="21">
        <f t="shared" si="3"/>
        <v>36624</v>
      </c>
      <c r="F18" s="17" t="str">
        <f t="shared" si="4"/>
        <v>2000-04</v>
      </c>
      <c r="G18" s="25">
        <f t="shared" si="5"/>
        <v>35.286000000000001</v>
      </c>
      <c r="H18" s="4" t="s">
        <v>2014</v>
      </c>
      <c r="I18" s="27">
        <v>27.844999999999999</v>
      </c>
      <c r="J18" s="26">
        <v>27.844999999999999</v>
      </c>
      <c r="K18" s="18" t="s">
        <v>613</v>
      </c>
      <c r="L18" s="19">
        <v>9080</v>
      </c>
      <c r="M18" s="18" t="s">
        <v>373</v>
      </c>
      <c r="N18" s="20">
        <f t="shared" si="0"/>
        <v>45535000000</v>
      </c>
    </row>
    <row r="19" spans="1:14" x14ac:dyDescent="0.25">
      <c r="A19" s="18" t="s">
        <v>1970</v>
      </c>
      <c r="B19" s="28">
        <v>34.450000000000003</v>
      </c>
      <c r="C19" s="16" t="str">
        <f t="shared" si="1"/>
        <v>2000</v>
      </c>
      <c r="D19" t="str">
        <f t="shared" si="2"/>
        <v>16</v>
      </c>
      <c r="E19" s="21">
        <f t="shared" si="3"/>
        <v>36631</v>
      </c>
      <c r="F19" s="17" t="str">
        <f t="shared" si="4"/>
        <v>2000-04</v>
      </c>
      <c r="G19" s="25">
        <f t="shared" si="5"/>
        <v>35.286000000000001</v>
      </c>
      <c r="H19" s="4" t="s">
        <v>2015</v>
      </c>
      <c r="I19" s="27">
        <v>27.553999999999995</v>
      </c>
      <c r="J19" s="26">
        <v>27.553999999999995</v>
      </c>
      <c r="K19" s="18" t="s">
        <v>612</v>
      </c>
      <c r="L19" s="19">
        <v>8838</v>
      </c>
      <c r="M19" s="18" t="s">
        <v>372</v>
      </c>
      <c r="N19" s="20">
        <f t="shared" si="0"/>
        <v>44396000000</v>
      </c>
    </row>
    <row r="20" spans="1:14" x14ac:dyDescent="0.25">
      <c r="A20" s="18" t="s">
        <v>1969</v>
      </c>
      <c r="B20" s="28">
        <v>35.56</v>
      </c>
      <c r="C20" s="16" t="str">
        <f t="shared" ref="C20:C83" si="6">LEFT(A20,4)</f>
        <v>2000</v>
      </c>
      <c r="D20" t="str">
        <f t="shared" ref="D20:D83" si="7">RIGHT(A20,2)</f>
        <v>17</v>
      </c>
      <c r="E20" s="21">
        <f t="shared" si="3"/>
        <v>36638</v>
      </c>
      <c r="F20" s="17" t="str">
        <f t="shared" si="4"/>
        <v>2000-04</v>
      </c>
      <c r="G20" s="25">
        <f t="shared" si="5"/>
        <v>35.286000000000001</v>
      </c>
      <c r="H20" s="4" t="s">
        <v>2016</v>
      </c>
      <c r="I20" s="27">
        <v>27.2225</v>
      </c>
      <c r="J20" s="26">
        <v>27.2225</v>
      </c>
      <c r="K20" s="18" t="s">
        <v>611</v>
      </c>
      <c r="L20" s="19">
        <v>8453</v>
      </c>
      <c r="M20" s="18" t="s">
        <v>371</v>
      </c>
      <c r="N20" s="20">
        <f t="shared" si="0"/>
        <v>46982000000</v>
      </c>
    </row>
    <row r="21" spans="1:14" x14ac:dyDescent="0.25">
      <c r="A21" s="18" t="s">
        <v>1968</v>
      </c>
      <c r="B21" s="28">
        <v>37.69</v>
      </c>
      <c r="C21" s="16" t="str">
        <f t="shared" si="6"/>
        <v>2000</v>
      </c>
      <c r="D21" t="str">
        <f t="shared" si="7"/>
        <v>18</v>
      </c>
      <c r="E21" s="21">
        <f t="shared" si="3"/>
        <v>36645</v>
      </c>
      <c r="F21" s="17" t="str">
        <f t="shared" si="4"/>
        <v>2000-04</v>
      </c>
      <c r="G21" s="25">
        <f t="shared" si="5"/>
        <v>35.286000000000001</v>
      </c>
      <c r="H21" s="4" t="s">
        <v>2017</v>
      </c>
      <c r="I21" s="27">
        <v>26.954999999999998</v>
      </c>
      <c r="J21" s="26">
        <v>26.954999999999998</v>
      </c>
      <c r="K21" s="18" t="s">
        <v>610</v>
      </c>
      <c r="L21" s="19">
        <v>9874</v>
      </c>
      <c r="M21" s="18" t="s">
        <v>370</v>
      </c>
      <c r="N21" s="20">
        <f t="shared" si="0"/>
        <v>42862000000</v>
      </c>
    </row>
    <row r="22" spans="1:14" x14ac:dyDescent="0.25">
      <c r="A22" s="18" t="s">
        <v>1967</v>
      </c>
      <c r="B22" s="28">
        <v>37.94</v>
      </c>
      <c r="C22" s="16" t="str">
        <f t="shared" si="6"/>
        <v>2000</v>
      </c>
      <c r="D22" t="str">
        <f t="shared" si="7"/>
        <v>19</v>
      </c>
      <c r="E22" s="21">
        <f t="shared" si="3"/>
        <v>36652</v>
      </c>
      <c r="F22" s="17" t="str">
        <f t="shared" si="4"/>
        <v>2000-05</v>
      </c>
      <c r="G22" s="25">
        <f t="shared" si="5"/>
        <v>36.322499999999998</v>
      </c>
      <c r="H22" s="4" t="s">
        <v>2018</v>
      </c>
      <c r="I22" s="27">
        <v>26.342000000000002</v>
      </c>
      <c r="J22" s="26">
        <v>26.342000000000002</v>
      </c>
      <c r="K22" s="18" t="s">
        <v>609</v>
      </c>
      <c r="L22" s="19">
        <v>8383</v>
      </c>
      <c r="M22" s="18" t="s">
        <v>369</v>
      </c>
      <c r="N22" s="20">
        <f t="shared" si="0"/>
        <v>46018000000</v>
      </c>
    </row>
    <row r="23" spans="1:14" x14ac:dyDescent="0.25">
      <c r="A23" s="18" t="s">
        <v>1966</v>
      </c>
      <c r="B23" s="28">
        <v>37.32</v>
      </c>
      <c r="C23" s="16" t="str">
        <f t="shared" si="6"/>
        <v>2000</v>
      </c>
      <c r="D23" t="str">
        <f t="shared" si="7"/>
        <v>20</v>
      </c>
      <c r="E23" s="21">
        <f t="shared" si="3"/>
        <v>36659</v>
      </c>
      <c r="F23" s="17" t="str">
        <f t="shared" si="4"/>
        <v>2000-05</v>
      </c>
      <c r="G23" s="25">
        <f t="shared" si="5"/>
        <v>36.322499999999998</v>
      </c>
      <c r="H23" s="4" t="s">
        <v>2019</v>
      </c>
      <c r="I23" s="27">
        <v>26.172499999999999</v>
      </c>
      <c r="J23" s="26">
        <v>26.172499999999999</v>
      </c>
      <c r="K23" s="18" t="s">
        <v>608</v>
      </c>
      <c r="L23" s="19">
        <v>6368</v>
      </c>
      <c r="M23" s="18" t="s">
        <v>368</v>
      </c>
      <c r="N23" s="20">
        <f t="shared" si="0"/>
        <v>41530000000</v>
      </c>
    </row>
    <row r="24" spans="1:14" x14ac:dyDescent="0.25">
      <c r="A24" s="18" t="s">
        <v>1965</v>
      </c>
      <c r="B24" s="28">
        <v>35.4</v>
      </c>
      <c r="C24" s="16" t="str">
        <f t="shared" si="6"/>
        <v>2000</v>
      </c>
      <c r="D24" t="str">
        <f t="shared" si="7"/>
        <v>21</v>
      </c>
      <c r="E24" s="21">
        <f t="shared" si="3"/>
        <v>36666</v>
      </c>
      <c r="F24" s="17" t="str">
        <f t="shared" si="4"/>
        <v>2000-05</v>
      </c>
      <c r="G24" s="25">
        <f t="shared" si="5"/>
        <v>36.322499999999998</v>
      </c>
      <c r="H24" s="4" t="s">
        <v>2020</v>
      </c>
      <c r="I24" s="27">
        <v>25.452499999999997</v>
      </c>
      <c r="J24" s="26">
        <v>25.452499999999997</v>
      </c>
      <c r="K24" s="18" t="s">
        <v>607</v>
      </c>
      <c r="L24" s="19">
        <v>9070</v>
      </c>
      <c r="M24" s="18" t="s">
        <v>367</v>
      </c>
      <c r="N24" s="20">
        <f t="shared" si="0"/>
        <v>42441000000</v>
      </c>
    </row>
    <row r="25" spans="1:14" x14ac:dyDescent="0.25">
      <c r="A25" s="18" t="s">
        <v>1964</v>
      </c>
      <c r="B25" s="28">
        <v>34.630000000000003</v>
      </c>
      <c r="C25" s="16" t="str">
        <f t="shared" si="6"/>
        <v>2000</v>
      </c>
      <c r="D25" t="str">
        <f t="shared" si="7"/>
        <v>22</v>
      </c>
      <c r="E25" s="21">
        <f t="shared" si="3"/>
        <v>36673</v>
      </c>
      <c r="F25" s="17" t="str">
        <f t="shared" si="4"/>
        <v>2000-05</v>
      </c>
      <c r="G25" s="25">
        <f t="shared" si="5"/>
        <v>36.322499999999998</v>
      </c>
      <c r="H25" s="4" t="s">
        <v>2021</v>
      </c>
      <c r="I25" s="27">
        <v>24.18</v>
      </c>
      <c r="J25" s="26">
        <v>24.18</v>
      </c>
      <c r="K25" s="18" t="s">
        <v>606</v>
      </c>
      <c r="L25" s="19">
        <v>9280</v>
      </c>
      <c r="M25" s="18" t="s">
        <v>366</v>
      </c>
      <c r="N25" s="20">
        <f t="shared" si="0"/>
        <v>44725000000</v>
      </c>
    </row>
    <row r="26" spans="1:14" x14ac:dyDescent="0.25">
      <c r="A26" s="18" t="s">
        <v>1963</v>
      </c>
      <c r="B26" s="28">
        <v>34</v>
      </c>
      <c r="C26" s="16" t="str">
        <f t="shared" si="6"/>
        <v>2000</v>
      </c>
      <c r="D26" t="str">
        <f t="shared" si="7"/>
        <v>23</v>
      </c>
      <c r="E26" s="21">
        <f t="shared" si="3"/>
        <v>36680</v>
      </c>
      <c r="F26" s="17" t="str">
        <f t="shared" si="4"/>
        <v>2000-06</v>
      </c>
      <c r="G26" s="25">
        <f t="shared" si="5"/>
        <v>34.93</v>
      </c>
      <c r="H26" s="4" t="s">
        <v>2022</v>
      </c>
      <c r="I26" s="27">
        <v>23.19</v>
      </c>
      <c r="J26" s="26">
        <v>23.19</v>
      </c>
      <c r="K26" s="18" t="s">
        <v>605</v>
      </c>
      <c r="L26" s="19">
        <v>9486</v>
      </c>
      <c r="M26" s="18" t="s">
        <v>365</v>
      </c>
      <c r="N26" s="20">
        <f t="shared" si="0"/>
        <v>39677000000</v>
      </c>
    </row>
    <row r="27" spans="1:14" x14ac:dyDescent="0.25">
      <c r="A27" s="18" t="s">
        <v>1962</v>
      </c>
      <c r="B27" s="28">
        <v>34.39</v>
      </c>
      <c r="C27" s="16" t="str">
        <f t="shared" si="6"/>
        <v>2000</v>
      </c>
      <c r="D27" t="str">
        <f t="shared" si="7"/>
        <v>24</v>
      </c>
      <c r="E27" s="21">
        <f t="shared" si="3"/>
        <v>36687</v>
      </c>
      <c r="F27" s="17" t="str">
        <f t="shared" si="4"/>
        <v>2000-06</v>
      </c>
      <c r="G27" s="25">
        <f t="shared" si="5"/>
        <v>34.93</v>
      </c>
      <c r="H27" s="4" t="s">
        <v>2023</v>
      </c>
      <c r="I27" s="27">
        <v>22.78</v>
      </c>
      <c r="J27" s="26">
        <v>22.78</v>
      </c>
      <c r="K27" s="18" t="s">
        <v>604</v>
      </c>
      <c r="L27" s="19">
        <v>9552</v>
      </c>
      <c r="M27" s="18" t="s">
        <v>364</v>
      </c>
      <c r="N27" s="20">
        <f t="shared" si="0"/>
        <v>44996000000</v>
      </c>
    </row>
    <row r="28" spans="1:14" x14ac:dyDescent="0.25">
      <c r="A28" s="18" t="s">
        <v>1961</v>
      </c>
      <c r="B28" s="28">
        <v>35.33</v>
      </c>
      <c r="C28" s="16" t="str">
        <f t="shared" si="6"/>
        <v>2000</v>
      </c>
      <c r="D28" t="str">
        <f t="shared" si="7"/>
        <v>25</v>
      </c>
      <c r="E28" s="21">
        <f t="shared" si="3"/>
        <v>36694</v>
      </c>
      <c r="F28" s="17" t="str">
        <f t="shared" si="4"/>
        <v>2000-06</v>
      </c>
      <c r="G28" s="25">
        <f t="shared" si="5"/>
        <v>34.93</v>
      </c>
      <c r="H28" s="4" t="s">
        <v>2024</v>
      </c>
      <c r="I28" s="27">
        <v>22.722000000000001</v>
      </c>
      <c r="J28" s="26">
        <v>22.722000000000001</v>
      </c>
      <c r="K28" s="18" t="s">
        <v>603</v>
      </c>
      <c r="L28" s="19">
        <v>8858</v>
      </c>
      <c r="M28" s="18" t="s">
        <v>363</v>
      </c>
      <c r="N28" s="20">
        <f t="shared" si="0"/>
        <v>36655000000</v>
      </c>
    </row>
    <row r="29" spans="1:14" x14ac:dyDescent="0.25">
      <c r="A29" s="18" t="s">
        <v>1960</v>
      </c>
      <c r="B29" s="28">
        <v>36</v>
      </c>
      <c r="C29" s="16" t="str">
        <f t="shared" si="6"/>
        <v>2000</v>
      </c>
      <c r="D29" t="str">
        <f t="shared" si="7"/>
        <v>26</v>
      </c>
      <c r="E29" s="21">
        <f t="shared" si="3"/>
        <v>36701</v>
      </c>
      <c r="F29" s="17" t="str">
        <f t="shared" si="4"/>
        <v>2000-06</v>
      </c>
      <c r="G29" s="25">
        <f t="shared" si="5"/>
        <v>34.93</v>
      </c>
      <c r="H29" s="4" t="s">
        <v>2025</v>
      </c>
      <c r="I29" s="27">
        <v>22.512499999999999</v>
      </c>
      <c r="J29" s="26">
        <v>22.512499999999999</v>
      </c>
      <c r="K29" s="18" t="s">
        <v>602</v>
      </c>
      <c r="L29" s="19">
        <v>8679</v>
      </c>
      <c r="M29" s="18" t="s">
        <v>362</v>
      </c>
      <c r="N29" s="20">
        <f t="shared" si="0"/>
        <v>37124000000</v>
      </c>
    </row>
    <row r="30" spans="1:14" x14ac:dyDescent="0.25">
      <c r="A30" s="18" t="s">
        <v>1959</v>
      </c>
      <c r="B30" s="28">
        <v>35.229999999999997</v>
      </c>
      <c r="C30" s="16" t="str">
        <f t="shared" si="6"/>
        <v>2000</v>
      </c>
      <c r="D30" t="str">
        <f t="shared" si="7"/>
        <v>27</v>
      </c>
      <c r="E30" s="21">
        <f t="shared" si="3"/>
        <v>36708</v>
      </c>
      <c r="F30" s="17" t="str">
        <f t="shared" si="4"/>
        <v>2000-07</v>
      </c>
      <c r="G30" s="25">
        <f t="shared" si="5"/>
        <v>35.564000000000007</v>
      </c>
      <c r="H30" s="4" t="s">
        <v>2026</v>
      </c>
      <c r="I30" s="27">
        <v>23.587499999999999</v>
      </c>
      <c r="J30" s="26">
        <v>23.587499999999999</v>
      </c>
      <c r="K30" s="18" t="s">
        <v>601</v>
      </c>
      <c r="L30" s="19">
        <v>10448</v>
      </c>
      <c r="M30" s="18" t="s">
        <v>361</v>
      </c>
      <c r="N30" s="20">
        <f t="shared" si="0"/>
        <v>41555000000</v>
      </c>
    </row>
    <row r="31" spans="1:14" x14ac:dyDescent="0.25">
      <c r="A31" s="18" t="s">
        <v>1958</v>
      </c>
      <c r="B31" s="28">
        <v>35.33</v>
      </c>
      <c r="C31" s="16" t="str">
        <f t="shared" si="6"/>
        <v>2000</v>
      </c>
      <c r="D31" t="str">
        <f t="shared" si="7"/>
        <v>28</v>
      </c>
      <c r="E31" s="21">
        <f t="shared" si="3"/>
        <v>36715</v>
      </c>
      <c r="F31" s="17" t="str">
        <f t="shared" si="4"/>
        <v>2000-07</v>
      </c>
      <c r="G31" s="25">
        <f t="shared" si="5"/>
        <v>35.564000000000007</v>
      </c>
      <c r="H31" s="4" t="s">
        <v>2027</v>
      </c>
      <c r="I31" s="27">
        <v>23.974</v>
      </c>
      <c r="J31" s="26">
        <v>23.974</v>
      </c>
      <c r="K31" s="18" t="s">
        <v>600</v>
      </c>
      <c r="L31" s="19">
        <v>10052</v>
      </c>
      <c r="M31" s="18" t="s">
        <v>360</v>
      </c>
      <c r="N31" s="20">
        <f t="shared" si="0"/>
        <v>43274000000</v>
      </c>
    </row>
    <row r="32" spans="1:14" x14ac:dyDescent="0.25">
      <c r="A32" s="18" t="s">
        <v>1957</v>
      </c>
      <c r="B32" s="28">
        <v>35.31</v>
      </c>
      <c r="C32" s="16" t="str">
        <f t="shared" si="6"/>
        <v>2000</v>
      </c>
      <c r="D32" t="str">
        <f t="shared" si="7"/>
        <v>29</v>
      </c>
      <c r="E32" s="21">
        <f t="shared" si="3"/>
        <v>36722</v>
      </c>
      <c r="F32" s="17" t="str">
        <f t="shared" si="4"/>
        <v>2000-07</v>
      </c>
      <c r="G32" s="25">
        <f t="shared" si="5"/>
        <v>35.564000000000007</v>
      </c>
      <c r="H32" s="4" t="s">
        <v>2028</v>
      </c>
      <c r="I32" s="27">
        <v>24.664999999999999</v>
      </c>
      <c r="J32" s="26">
        <v>24.664999999999999</v>
      </c>
      <c r="K32" s="18" t="s">
        <v>599</v>
      </c>
      <c r="L32" s="19">
        <v>8237</v>
      </c>
      <c r="M32" s="18" t="s">
        <v>359</v>
      </c>
      <c r="N32" s="20">
        <f t="shared" si="0"/>
        <v>38761000000</v>
      </c>
    </row>
    <row r="33" spans="1:14" x14ac:dyDescent="0.25">
      <c r="A33" s="18" t="s">
        <v>1956</v>
      </c>
      <c r="B33" s="28">
        <v>35.86</v>
      </c>
      <c r="C33" s="16" t="str">
        <f t="shared" si="6"/>
        <v>2000</v>
      </c>
      <c r="D33" t="str">
        <f t="shared" si="7"/>
        <v>30</v>
      </c>
      <c r="E33" s="21">
        <f t="shared" si="3"/>
        <v>36729</v>
      </c>
      <c r="F33" s="17" t="str">
        <f t="shared" si="4"/>
        <v>2000-07</v>
      </c>
      <c r="G33" s="25">
        <f t="shared" si="5"/>
        <v>35.564000000000007</v>
      </c>
      <c r="H33" s="4" t="s">
        <v>2029</v>
      </c>
      <c r="I33" s="27">
        <v>23.622500000000002</v>
      </c>
      <c r="J33" s="26">
        <v>23.622500000000002</v>
      </c>
      <c r="K33" s="18" t="s">
        <v>598</v>
      </c>
      <c r="L33" s="19">
        <v>9059</v>
      </c>
      <c r="M33" s="18" t="s">
        <v>358</v>
      </c>
      <c r="N33" s="20">
        <f t="shared" si="0"/>
        <v>38505000000</v>
      </c>
    </row>
    <row r="34" spans="1:14" x14ac:dyDescent="0.25">
      <c r="A34" s="18" t="s">
        <v>1955</v>
      </c>
      <c r="B34" s="28">
        <v>36.090000000000003</v>
      </c>
      <c r="C34" s="16" t="str">
        <f t="shared" si="6"/>
        <v>2000</v>
      </c>
      <c r="D34" t="str">
        <f t="shared" si="7"/>
        <v>31</v>
      </c>
      <c r="E34" s="21">
        <f t="shared" si="3"/>
        <v>36736</v>
      </c>
      <c r="F34" s="17" t="str">
        <f t="shared" si="4"/>
        <v>2000-07</v>
      </c>
      <c r="G34" s="25">
        <f t="shared" si="5"/>
        <v>35.564000000000007</v>
      </c>
      <c r="H34" s="4" t="s">
        <v>2030</v>
      </c>
      <c r="I34" s="27">
        <v>22.9</v>
      </c>
      <c r="J34" s="26">
        <v>22.9</v>
      </c>
      <c r="K34" s="18" t="s">
        <v>597</v>
      </c>
      <c r="L34" s="19">
        <v>9321</v>
      </c>
      <c r="M34" s="18" t="s">
        <v>357</v>
      </c>
      <c r="N34" s="20">
        <f t="shared" si="0"/>
        <v>36245000000</v>
      </c>
    </row>
    <row r="35" spans="1:14" x14ac:dyDescent="0.25">
      <c r="A35" s="18" t="s">
        <v>1954</v>
      </c>
      <c r="B35" s="28">
        <v>35.44</v>
      </c>
      <c r="C35" s="16" t="str">
        <f t="shared" si="6"/>
        <v>2000</v>
      </c>
      <c r="D35" t="str">
        <f t="shared" si="7"/>
        <v>32</v>
      </c>
      <c r="E35" s="21">
        <f t="shared" si="3"/>
        <v>36743</v>
      </c>
      <c r="F35" s="17" t="str">
        <f t="shared" si="4"/>
        <v>2000-08</v>
      </c>
      <c r="G35" s="25">
        <f t="shared" si="5"/>
        <v>33.75</v>
      </c>
      <c r="H35" s="4" t="s">
        <v>2031</v>
      </c>
      <c r="I35" s="27">
        <v>23.962500000000002</v>
      </c>
      <c r="J35" s="26">
        <v>23.962500000000002</v>
      </c>
      <c r="K35" s="18" t="s">
        <v>596</v>
      </c>
      <c r="L35" s="19">
        <v>7940</v>
      </c>
      <c r="M35" s="18" t="s">
        <v>356</v>
      </c>
      <c r="N35" s="20">
        <f t="shared" si="0"/>
        <v>37567000000</v>
      </c>
    </row>
    <row r="36" spans="1:14" x14ac:dyDescent="0.25">
      <c r="A36" s="18" t="s">
        <v>1953</v>
      </c>
      <c r="B36" s="28">
        <v>34.07</v>
      </c>
      <c r="C36" s="16" t="str">
        <f t="shared" si="6"/>
        <v>2000</v>
      </c>
      <c r="D36" t="str">
        <f t="shared" si="7"/>
        <v>33</v>
      </c>
      <c r="E36" s="21">
        <f t="shared" si="3"/>
        <v>36750</v>
      </c>
      <c r="F36" s="17" t="str">
        <f t="shared" si="4"/>
        <v>2000-08</v>
      </c>
      <c r="G36" s="25">
        <f t="shared" si="5"/>
        <v>33.75</v>
      </c>
      <c r="H36" s="4" t="s">
        <v>2032</v>
      </c>
      <c r="I36" s="27">
        <v>23.619999999999997</v>
      </c>
      <c r="J36" s="26">
        <v>23.619999999999997</v>
      </c>
      <c r="K36" s="18" t="s">
        <v>595</v>
      </c>
      <c r="L36" s="19">
        <v>9615</v>
      </c>
      <c r="M36" s="18" t="s">
        <v>355</v>
      </c>
      <c r="N36" s="20">
        <f t="shared" si="0"/>
        <v>38949000000</v>
      </c>
    </row>
    <row r="37" spans="1:14" x14ac:dyDescent="0.25">
      <c r="A37" s="18" t="s">
        <v>1952</v>
      </c>
      <c r="B37" s="28">
        <v>33.46</v>
      </c>
      <c r="C37" s="16" t="str">
        <f t="shared" si="6"/>
        <v>2000</v>
      </c>
      <c r="D37" t="str">
        <f t="shared" si="7"/>
        <v>34</v>
      </c>
      <c r="E37" s="21">
        <f t="shared" si="3"/>
        <v>36757</v>
      </c>
      <c r="F37" s="17" t="str">
        <f t="shared" si="4"/>
        <v>2000-08</v>
      </c>
      <c r="G37" s="25">
        <f t="shared" si="5"/>
        <v>33.75</v>
      </c>
      <c r="H37" s="4" t="s">
        <v>2033</v>
      </c>
      <c r="I37" s="27">
        <v>23.332000000000001</v>
      </c>
      <c r="J37" s="26">
        <v>23.332000000000001</v>
      </c>
      <c r="K37" s="18" t="s">
        <v>594</v>
      </c>
      <c r="L37" s="19">
        <v>9214</v>
      </c>
      <c r="M37" s="18" t="s">
        <v>354</v>
      </c>
      <c r="N37" s="20">
        <f t="shared" si="0"/>
        <v>40868000000</v>
      </c>
    </row>
    <row r="38" spans="1:14" x14ac:dyDescent="0.25">
      <c r="A38" s="18" t="s">
        <v>1951</v>
      </c>
      <c r="B38" s="28">
        <v>32.03</v>
      </c>
      <c r="C38" s="16" t="str">
        <f t="shared" si="6"/>
        <v>2000</v>
      </c>
      <c r="D38" t="str">
        <f t="shared" si="7"/>
        <v>35</v>
      </c>
      <c r="E38" s="21">
        <f t="shared" si="3"/>
        <v>36764</v>
      </c>
      <c r="F38" s="17" t="str">
        <f t="shared" si="4"/>
        <v>2000-08</v>
      </c>
      <c r="G38" s="25">
        <f t="shared" si="5"/>
        <v>33.75</v>
      </c>
      <c r="H38" s="4" t="s">
        <v>2034</v>
      </c>
      <c r="I38" s="27">
        <v>22.452500000000001</v>
      </c>
      <c r="J38" s="26">
        <v>22.452500000000001</v>
      </c>
      <c r="K38" s="18" t="s">
        <v>593</v>
      </c>
      <c r="L38" s="19">
        <v>10682</v>
      </c>
      <c r="M38" s="18" t="s">
        <v>353</v>
      </c>
      <c r="N38" s="20">
        <f t="shared" si="0"/>
        <v>41117000000</v>
      </c>
    </row>
    <row r="39" spans="1:14" x14ac:dyDescent="0.25">
      <c r="A39" s="18" t="s">
        <v>1950</v>
      </c>
      <c r="B39" s="28">
        <v>30.65</v>
      </c>
      <c r="C39" s="16" t="str">
        <f t="shared" si="6"/>
        <v>2000</v>
      </c>
      <c r="D39" t="str">
        <f t="shared" si="7"/>
        <v>36</v>
      </c>
      <c r="E39" s="21">
        <f t="shared" si="3"/>
        <v>36771</v>
      </c>
      <c r="F39" s="17" t="str">
        <f t="shared" si="4"/>
        <v>2000-09</v>
      </c>
      <c r="G39" s="25">
        <f t="shared" si="5"/>
        <v>29.421999999999997</v>
      </c>
      <c r="H39" s="4" t="s">
        <v>2035</v>
      </c>
      <c r="I39" s="27">
        <v>23.085000000000001</v>
      </c>
      <c r="J39" s="26">
        <v>23.085000000000001</v>
      </c>
      <c r="K39" s="18" t="s">
        <v>592</v>
      </c>
      <c r="L39" s="19">
        <v>11131</v>
      </c>
      <c r="M39" s="18" t="s">
        <v>352</v>
      </c>
      <c r="N39" s="20">
        <f t="shared" si="0"/>
        <v>42334000000</v>
      </c>
    </row>
    <row r="40" spans="1:14" x14ac:dyDescent="0.25">
      <c r="A40" s="18" t="s">
        <v>1949</v>
      </c>
      <c r="B40" s="28">
        <v>29.51</v>
      </c>
      <c r="C40" s="16" t="str">
        <f t="shared" si="6"/>
        <v>2000</v>
      </c>
      <c r="D40" t="str">
        <f t="shared" si="7"/>
        <v>37</v>
      </c>
      <c r="E40" s="21">
        <f t="shared" si="3"/>
        <v>36778</v>
      </c>
      <c r="F40" s="17" t="str">
        <f t="shared" si="4"/>
        <v>2000-09</v>
      </c>
      <c r="G40" s="25">
        <f t="shared" si="5"/>
        <v>29.421999999999997</v>
      </c>
      <c r="H40" s="4" t="s">
        <v>2036</v>
      </c>
      <c r="I40" s="27">
        <v>22.818000000000001</v>
      </c>
      <c r="J40" s="26">
        <v>22.818000000000001</v>
      </c>
      <c r="K40" s="18" t="s">
        <v>591</v>
      </c>
      <c r="L40" s="19">
        <v>9780</v>
      </c>
      <c r="M40" s="18" t="s">
        <v>351</v>
      </c>
      <c r="N40" s="20">
        <f t="shared" si="0"/>
        <v>41116000000</v>
      </c>
    </row>
    <row r="41" spans="1:14" x14ac:dyDescent="0.25">
      <c r="A41" s="18" t="s">
        <v>1948</v>
      </c>
      <c r="B41" s="28">
        <v>29.33</v>
      </c>
      <c r="C41" s="16" t="str">
        <f t="shared" si="6"/>
        <v>2000</v>
      </c>
      <c r="D41" t="str">
        <f t="shared" si="7"/>
        <v>38</v>
      </c>
      <c r="E41" s="21">
        <f t="shared" si="3"/>
        <v>36785</v>
      </c>
      <c r="F41" s="17" t="str">
        <f t="shared" si="4"/>
        <v>2000-09</v>
      </c>
      <c r="G41" s="25">
        <f t="shared" si="5"/>
        <v>29.421999999999997</v>
      </c>
      <c r="H41" s="4" t="s">
        <v>2037</v>
      </c>
      <c r="I41" s="27">
        <v>22.774999999999999</v>
      </c>
      <c r="J41" s="26">
        <v>22.774999999999999</v>
      </c>
      <c r="K41" s="18" t="s">
        <v>590</v>
      </c>
      <c r="L41" s="19">
        <v>9713</v>
      </c>
      <c r="M41" s="18" t="s">
        <v>350</v>
      </c>
      <c r="N41" s="20">
        <f t="shared" si="0"/>
        <v>41070000000</v>
      </c>
    </row>
    <row r="42" spans="1:14" x14ac:dyDescent="0.25">
      <c r="A42" s="18" t="s">
        <v>1947</v>
      </c>
      <c r="B42" s="28">
        <v>29.18</v>
      </c>
      <c r="C42" s="16" t="str">
        <f t="shared" si="6"/>
        <v>2000</v>
      </c>
      <c r="D42" t="str">
        <f t="shared" si="7"/>
        <v>39</v>
      </c>
      <c r="E42" s="21">
        <f t="shared" si="3"/>
        <v>36792</v>
      </c>
      <c r="F42" s="17" t="str">
        <f t="shared" si="4"/>
        <v>2000-09</v>
      </c>
      <c r="G42" s="25">
        <f t="shared" si="5"/>
        <v>29.421999999999997</v>
      </c>
      <c r="H42" s="4" t="s">
        <v>2038</v>
      </c>
      <c r="I42" s="27">
        <v>23.134999999999998</v>
      </c>
      <c r="J42" s="26">
        <v>23.134999999999998</v>
      </c>
      <c r="K42" s="18" t="s">
        <v>589</v>
      </c>
      <c r="L42" s="19">
        <v>11465</v>
      </c>
      <c r="M42" s="18" t="s">
        <v>349</v>
      </c>
      <c r="N42" s="20">
        <f t="shared" si="0"/>
        <v>40742000000</v>
      </c>
    </row>
    <row r="43" spans="1:14" x14ac:dyDescent="0.25">
      <c r="A43" s="18" t="s">
        <v>1946</v>
      </c>
      <c r="B43" s="28">
        <v>28.44</v>
      </c>
      <c r="C43" s="16" t="str">
        <f t="shared" si="6"/>
        <v>2000</v>
      </c>
      <c r="D43" t="str">
        <f t="shared" si="7"/>
        <v>40</v>
      </c>
      <c r="E43" s="21">
        <f t="shared" si="3"/>
        <v>36799</v>
      </c>
      <c r="F43" s="17" t="str">
        <f t="shared" si="4"/>
        <v>2000-09</v>
      </c>
      <c r="G43" s="25">
        <f t="shared" si="5"/>
        <v>29.421999999999997</v>
      </c>
      <c r="H43" s="4" t="s">
        <v>2039</v>
      </c>
      <c r="I43" s="27">
        <v>22.93</v>
      </c>
      <c r="J43" s="26">
        <v>22.93</v>
      </c>
      <c r="K43" s="18" t="s">
        <v>588</v>
      </c>
      <c r="L43" s="19">
        <v>11264</v>
      </c>
      <c r="M43" s="18" t="s">
        <v>348</v>
      </c>
      <c r="N43" s="20">
        <f t="shared" si="0"/>
        <v>41028000000</v>
      </c>
    </row>
    <row r="44" spans="1:14" x14ac:dyDescent="0.25">
      <c r="A44" s="18" t="s">
        <v>1945</v>
      </c>
      <c r="B44" s="28">
        <v>27.76</v>
      </c>
      <c r="C44" s="16" t="str">
        <f t="shared" si="6"/>
        <v>2000</v>
      </c>
      <c r="D44" t="str">
        <f t="shared" si="7"/>
        <v>41</v>
      </c>
      <c r="E44" s="21">
        <f t="shared" si="3"/>
        <v>36806</v>
      </c>
      <c r="F44" s="17" t="str">
        <f t="shared" si="4"/>
        <v>2000-10</v>
      </c>
      <c r="G44" s="25">
        <f t="shared" si="5"/>
        <v>27.28</v>
      </c>
      <c r="H44" s="4" t="s">
        <v>2040</v>
      </c>
      <c r="I44" s="27">
        <v>22.094999999999999</v>
      </c>
      <c r="J44" s="26">
        <v>22.094999999999999</v>
      </c>
      <c r="K44" s="18" t="s">
        <v>587</v>
      </c>
      <c r="L44" s="19">
        <v>10712</v>
      </c>
      <c r="M44" s="18" t="s">
        <v>347</v>
      </c>
      <c r="N44" s="20">
        <f t="shared" si="0"/>
        <v>39235000000</v>
      </c>
    </row>
    <row r="45" spans="1:14" x14ac:dyDescent="0.25">
      <c r="A45" s="18" t="s">
        <v>1944</v>
      </c>
      <c r="B45" s="28">
        <v>27.01</v>
      </c>
      <c r="C45" s="16" t="str">
        <f t="shared" si="6"/>
        <v>2000</v>
      </c>
      <c r="D45" t="str">
        <f t="shared" si="7"/>
        <v>42</v>
      </c>
      <c r="E45" s="21">
        <f t="shared" si="3"/>
        <v>36813</v>
      </c>
      <c r="F45" s="17" t="str">
        <f t="shared" si="4"/>
        <v>2000-10</v>
      </c>
      <c r="G45" s="25">
        <f t="shared" si="5"/>
        <v>27.28</v>
      </c>
      <c r="H45" s="4" t="s">
        <v>2041</v>
      </c>
      <c r="I45" s="27">
        <v>19.015000000000001</v>
      </c>
      <c r="J45" s="26">
        <v>19.015000000000001</v>
      </c>
      <c r="K45" s="18" t="s">
        <v>586</v>
      </c>
      <c r="L45" s="19">
        <v>10185</v>
      </c>
      <c r="M45" s="18" t="s">
        <v>346</v>
      </c>
      <c r="N45" s="20">
        <f t="shared" si="0"/>
        <v>34581000000</v>
      </c>
    </row>
    <row r="46" spans="1:14" x14ac:dyDescent="0.25">
      <c r="A46" s="18" t="s">
        <v>1943</v>
      </c>
      <c r="B46" s="28">
        <v>27.13</v>
      </c>
      <c r="C46" s="16" t="str">
        <f t="shared" si="6"/>
        <v>2000</v>
      </c>
      <c r="D46" t="str">
        <f t="shared" si="7"/>
        <v>43</v>
      </c>
      <c r="E46" s="21">
        <f t="shared" si="3"/>
        <v>36820</v>
      </c>
      <c r="F46" s="17" t="str">
        <f t="shared" si="4"/>
        <v>2000-10</v>
      </c>
      <c r="G46" s="25">
        <f t="shared" si="5"/>
        <v>27.28</v>
      </c>
      <c r="H46" s="4" t="s">
        <v>2042</v>
      </c>
      <c r="I46" s="27">
        <v>17.910000000000004</v>
      </c>
      <c r="J46" s="26">
        <v>17.910000000000004</v>
      </c>
      <c r="K46" s="18" t="s">
        <v>585</v>
      </c>
      <c r="L46" s="19">
        <v>10684</v>
      </c>
      <c r="M46" s="18" t="s">
        <v>345</v>
      </c>
      <c r="N46" s="20">
        <f t="shared" si="0"/>
        <v>37725000000</v>
      </c>
    </row>
    <row r="47" spans="1:14" x14ac:dyDescent="0.25">
      <c r="A47" s="18" t="s">
        <v>1942</v>
      </c>
      <c r="B47" s="28">
        <v>27.22</v>
      </c>
      <c r="C47" s="16" t="str">
        <f t="shared" si="6"/>
        <v>2000</v>
      </c>
      <c r="D47" t="str">
        <f t="shared" si="7"/>
        <v>44</v>
      </c>
      <c r="E47" s="21">
        <f t="shared" si="3"/>
        <v>36827</v>
      </c>
      <c r="F47" s="17" t="str">
        <f t="shared" si="4"/>
        <v>2000-10</v>
      </c>
      <c r="G47" s="25">
        <f t="shared" si="5"/>
        <v>27.28</v>
      </c>
      <c r="H47" s="4" t="s">
        <v>2043</v>
      </c>
      <c r="I47" s="27">
        <v>18.747500000000002</v>
      </c>
      <c r="J47" s="26">
        <v>18.747500000000002</v>
      </c>
      <c r="K47" s="18" t="s">
        <v>584</v>
      </c>
      <c r="L47" s="19">
        <v>9832</v>
      </c>
      <c r="M47" s="18" t="s">
        <v>344</v>
      </c>
      <c r="N47" s="20">
        <f t="shared" si="0"/>
        <v>37396000000</v>
      </c>
    </row>
    <row r="48" spans="1:14" x14ac:dyDescent="0.25">
      <c r="A48" s="18" t="s">
        <v>1941</v>
      </c>
      <c r="B48" s="28">
        <v>27.2</v>
      </c>
      <c r="C48" s="16" t="str">
        <f t="shared" si="6"/>
        <v>2000</v>
      </c>
      <c r="D48" t="str">
        <f t="shared" si="7"/>
        <v>45</v>
      </c>
      <c r="E48" s="21">
        <f t="shared" si="3"/>
        <v>36834</v>
      </c>
      <c r="F48" s="17" t="str">
        <f t="shared" si="4"/>
        <v>2000-11</v>
      </c>
      <c r="G48" s="25">
        <f t="shared" si="5"/>
        <v>26.79</v>
      </c>
      <c r="H48" s="4" t="s">
        <v>2044</v>
      </c>
      <c r="I48" s="27">
        <v>21.055</v>
      </c>
      <c r="J48" s="26">
        <v>21.055</v>
      </c>
      <c r="K48" s="18" t="s">
        <v>583</v>
      </c>
      <c r="L48" s="19">
        <v>10319</v>
      </c>
      <c r="M48" s="18" t="s">
        <v>343</v>
      </c>
      <c r="N48" s="20">
        <f t="shared" si="0"/>
        <v>38497000000</v>
      </c>
    </row>
    <row r="49" spans="1:14" x14ac:dyDescent="0.25">
      <c r="A49" s="18" t="s">
        <v>1940</v>
      </c>
      <c r="B49" s="28">
        <v>26.88</v>
      </c>
      <c r="C49" s="16" t="str">
        <f t="shared" si="6"/>
        <v>2000</v>
      </c>
      <c r="D49" t="str">
        <f t="shared" si="7"/>
        <v>46</v>
      </c>
      <c r="E49" s="21">
        <f t="shared" si="3"/>
        <v>36841</v>
      </c>
      <c r="F49" s="17" t="str">
        <f t="shared" si="4"/>
        <v>2000-11</v>
      </c>
      <c r="G49" s="25">
        <f t="shared" si="5"/>
        <v>26.79</v>
      </c>
      <c r="H49" s="4" t="s">
        <v>2045</v>
      </c>
      <c r="I49" s="27">
        <v>22.356000000000002</v>
      </c>
      <c r="J49" s="26">
        <v>22.356000000000002</v>
      </c>
      <c r="K49" s="18" t="s">
        <v>582</v>
      </c>
      <c r="L49" s="19">
        <v>12444</v>
      </c>
      <c r="M49" s="18" t="s">
        <v>342</v>
      </c>
      <c r="N49" s="20">
        <f t="shared" si="0"/>
        <v>46518000000</v>
      </c>
    </row>
    <row r="50" spans="1:14" x14ac:dyDescent="0.25">
      <c r="A50" s="18" t="s">
        <v>1939</v>
      </c>
      <c r="B50" s="28">
        <v>26.65</v>
      </c>
      <c r="C50" s="16" t="str">
        <f t="shared" si="6"/>
        <v>2000</v>
      </c>
      <c r="D50" t="str">
        <f t="shared" si="7"/>
        <v>47</v>
      </c>
      <c r="E50" s="21">
        <f t="shared" si="3"/>
        <v>36848</v>
      </c>
      <c r="F50" s="17" t="str">
        <f t="shared" si="4"/>
        <v>2000-11</v>
      </c>
      <c r="G50" s="25">
        <f t="shared" si="5"/>
        <v>26.79</v>
      </c>
      <c r="H50" s="4" t="s">
        <v>2046</v>
      </c>
      <c r="I50" s="27">
        <v>20.844999999999999</v>
      </c>
      <c r="J50" s="26">
        <v>20.844999999999999</v>
      </c>
      <c r="K50" s="18" t="s">
        <v>581</v>
      </c>
      <c r="L50" s="19">
        <v>11995</v>
      </c>
      <c r="M50" s="18" t="s">
        <v>341</v>
      </c>
      <c r="N50" s="20">
        <f t="shared" si="0"/>
        <v>41665000000</v>
      </c>
    </row>
    <row r="51" spans="1:14" x14ac:dyDescent="0.25">
      <c r="A51" s="18" t="s">
        <v>1938</v>
      </c>
      <c r="B51" s="28">
        <v>26.43</v>
      </c>
      <c r="C51" s="16" t="str">
        <f t="shared" si="6"/>
        <v>2000</v>
      </c>
      <c r="D51" t="str">
        <f t="shared" si="7"/>
        <v>48</v>
      </c>
      <c r="E51" s="21">
        <f t="shared" si="3"/>
        <v>36855</v>
      </c>
      <c r="F51" s="17" t="str">
        <f t="shared" si="4"/>
        <v>2000-11</v>
      </c>
      <c r="G51" s="25">
        <f t="shared" si="5"/>
        <v>26.79</v>
      </c>
      <c r="H51" s="4" t="s">
        <v>2047</v>
      </c>
      <c r="I51" s="27">
        <v>20.997499999999999</v>
      </c>
      <c r="J51" s="26">
        <v>20.997499999999999</v>
      </c>
      <c r="K51" s="18" t="s">
        <v>580</v>
      </c>
      <c r="L51" s="19">
        <v>13003</v>
      </c>
      <c r="M51" s="18" t="s">
        <v>340</v>
      </c>
      <c r="N51" s="20">
        <f t="shared" si="0"/>
        <v>43359000000</v>
      </c>
    </row>
    <row r="52" spans="1:14" x14ac:dyDescent="0.25">
      <c r="A52" s="18" t="s">
        <v>1937</v>
      </c>
      <c r="B52" s="28">
        <v>26.71</v>
      </c>
      <c r="C52" s="16" t="str">
        <f t="shared" si="6"/>
        <v>2000</v>
      </c>
      <c r="D52" t="str">
        <f t="shared" si="7"/>
        <v>49</v>
      </c>
      <c r="E52" s="21">
        <f t="shared" si="3"/>
        <v>36862</v>
      </c>
      <c r="F52" s="17" t="str">
        <f t="shared" si="4"/>
        <v>2000-12</v>
      </c>
      <c r="G52" s="25">
        <f t="shared" si="5"/>
        <v>27.647500000000001</v>
      </c>
      <c r="H52" s="4" t="s">
        <v>2048</v>
      </c>
      <c r="I52" s="27">
        <v>22.038000000000004</v>
      </c>
      <c r="J52" s="26">
        <v>22.038000000000004</v>
      </c>
      <c r="K52" s="18" t="s">
        <v>579</v>
      </c>
      <c r="L52" s="19">
        <v>13149</v>
      </c>
      <c r="M52" s="18" t="s">
        <v>339</v>
      </c>
      <c r="N52" s="20">
        <f t="shared" si="0"/>
        <v>42455000000</v>
      </c>
    </row>
    <row r="53" spans="1:14" x14ac:dyDescent="0.25">
      <c r="A53" s="18" t="s">
        <v>1936</v>
      </c>
      <c r="B53" s="28">
        <v>27.6</v>
      </c>
      <c r="C53" s="16" t="str">
        <f t="shared" si="6"/>
        <v>2000</v>
      </c>
      <c r="D53" t="str">
        <f t="shared" si="7"/>
        <v>50</v>
      </c>
      <c r="E53" s="21">
        <f t="shared" si="3"/>
        <v>36869</v>
      </c>
      <c r="F53" s="17" t="str">
        <f t="shared" si="4"/>
        <v>2000-12</v>
      </c>
      <c r="G53" s="25">
        <f t="shared" si="5"/>
        <v>27.647500000000001</v>
      </c>
      <c r="H53" s="4" t="s">
        <v>2049</v>
      </c>
      <c r="I53" s="27">
        <v>23.080000000000002</v>
      </c>
      <c r="J53" s="26">
        <v>23.080000000000002</v>
      </c>
      <c r="K53" s="18" t="s">
        <v>578</v>
      </c>
      <c r="L53" s="19">
        <v>12183</v>
      </c>
      <c r="M53" s="18" t="s">
        <v>338</v>
      </c>
      <c r="N53" s="20">
        <f t="shared" si="0"/>
        <v>44869000000</v>
      </c>
    </row>
    <row r="54" spans="1:14" x14ac:dyDescent="0.25">
      <c r="A54" s="18" t="s">
        <v>1935</v>
      </c>
      <c r="B54" s="28">
        <v>27.93</v>
      </c>
      <c r="C54" s="16" t="str">
        <f t="shared" si="6"/>
        <v>2000</v>
      </c>
      <c r="D54" t="str">
        <f t="shared" si="7"/>
        <v>51</v>
      </c>
      <c r="E54" s="21">
        <f t="shared" si="3"/>
        <v>36876</v>
      </c>
      <c r="F54" s="17" t="str">
        <f t="shared" si="4"/>
        <v>2000-12</v>
      </c>
      <c r="G54" s="25">
        <f t="shared" si="5"/>
        <v>27.647500000000001</v>
      </c>
      <c r="H54" s="4" t="s">
        <v>2050</v>
      </c>
      <c r="I54" s="27">
        <v>24.012499999999999</v>
      </c>
      <c r="J54" s="26">
        <v>24.012499999999999</v>
      </c>
      <c r="K54" s="18" t="s">
        <v>577</v>
      </c>
      <c r="L54" s="19">
        <v>13006</v>
      </c>
      <c r="M54" s="18" t="s">
        <v>337</v>
      </c>
      <c r="N54" s="20">
        <f t="shared" si="0"/>
        <v>47696000000</v>
      </c>
    </row>
    <row r="55" spans="1:14" x14ac:dyDescent="0.25">
      <c r="A55" s="18" t="s">
        <v>1934</v>
      </c>
      <c r="B55" s="28">
        <v>28.35</v>
      </c>
      <c r="C55" s="16" t="str">
        <f t="shared" si="6"/>
        <v>2000</v>
      </c>
      <c r="D55" t="str">
        <f t="shared" si="7"/>
        <v>52</v>
      </c>
      <c r="E55" s="21">
        <f t="shared" si="3"/>
        <v>36883</v>
      </c>
      <c r="F55" s="17" t="str">
        <f t="shared" si="4"/>
        <v>2000-12</v>
      </c>
      <c r="G55" s="25">
        <f t="shared" si="5"/>
        <v>27.647500000000001</v>
      </c>
      <c r="H55" s="4" t="s">
        <v>2051</v>
      </c>
      <c r="I55" s="27">
        <v>24.974</v>
      </c>
      <c r="J55" s="26">
        <v>24.974</v>
      </c>
      <c r="K55" s="18" t="s">
        <v>576</v>
      </c>
      <c r="L55" s="19">
        <v>11409</v>
      </c>
      <c r="M55" s="18" t="s">
        <v>336</v>
      </c>
      <c r="N55" s="20">
        <f t="shared" si="0"/>
        <v>45252000000</v>
      </c>
    </row>
    <row r="56" spans="1:14" x14ac:dyDescent="0.25">
      <c r="A56" s="18" t="s">
        <v>1933</v>
      </c>
      <c r="B56" s="28">
        <v>28.04</v>
      </c>
      <c r="C56" s="16" t="str">
        <f t="shared" si="6"/>
        <v>2001</v>
      </c>
      <c r="D56" t="str">
        <f t="shared" si="7"/>
        <v>01</v>
      </c>
      <c r="E56" s="21">
        <f t="shared" si="3"/>
        <v>36892</v>
      </c>
      <c r="F56" s="17" t="str">
        <f t="shared" si="4"/>
        <v>2001-01</v>
      </c>
      <c r="G56" s="25">
        <f t="shared" si="5"/>
        <v>26.874000000000002</v>
      </c>
      <c r="H56" s="4" t="s">
        <v>2052</v>
      </c>
      <c r="I56" s="27">
        <v>23.7775</v>
      </c>
      <c r="J56" s="26">
        <v>23.7775</v>
      </c>
      <c r="K56" s="18" t="s">
        <v>575</v>
      </c>
      <c r="L56" s="19">
        <v>12268</v>
      </c>
      <c r="M56" s="18" t="s">
        <v>335</v>
      </c>
      <c r="N56" s="20">
        <f t="shared" si="0"/>
        <v>43755000000</v>
      </c>
    </row>
    <row r="57" spans="1:14" x14ac:dyDescent="0.25">
      <c r="A57" s="18" t="s">
        <v>1932</v>
      </c>
      <c r="B57" s="28">
        <v>27.32</v>
      </c>
      <c r="C57" s="16" t="str">
        <f t="shared" si="6"/>
        <v>2001</v>
      </c>
      <c r="D57" t="str">
        <f t="shared" si="7"/>
        <v>02</v>
      </c>
      <c r="E57" s="21">
        <f t="shared" si="3"/>
        <v>36899</v>
      </c>
      <c r="F57" s="17" t="str">
        <f t="shared" si="4"/>
        <v>2001-01</v>
      </c>
      <c r="G57" s="25">
        <f t="shared" si="5"/>
        <v>26.874000000000002</v>
      </c>
      <c r="H57" s="4" t="s">
        <v>2053</v>
      </c>
      <c r="I57" s="27">
        <v>22.047499999999999</v>
      </c>
      <c r="J57" s="26">
        <v>22.047499999999999</v>
      </c>
      <c r="K57" s="18" t="s">
        <v>574</v>
      </c>
      <c r="L57" s="19">
        <v>12505</v>
      </c>
      <c r="M57" s="18" t="s">
        <v>334</v>
      </c>
      <c r="N57" s="20">
        <f t="shared" si="0"/>
        <v>44202000000</v>
      </c>
    </row>
    <row r="58" spans="1:14" x14ac:dyDescent="0.25">
      <c r="A58" s="18" t="s">
        <v>1931</v>
      </c>
      <c r="B58" s="28">
        <v>26.58</v>
      </c>
      <c r="C58" s="16" t="str">
        <f t="shared" si="6"/>
        <v>2001</v>
      </c>
      <c r="D58" t="str">
        <f t="shared" si="7"/>
        <v>03</v>
      </c>
      <c r="E58" s="21">
        <f t="shared" si="3"/>
        <v>36906</v>
      </c>
      <c r="F58" s="17" t="str">
        <f t="shared" si="4"/>
        <v>2001-01</v>
      </c>
      <c r="G58" s="25">
        <f t="shared" si="5"/>
        <v>26.874000000000002</v>
      </c>
      <c r="H58" s="4" t="s">
        <v>2054</v>
      </c>
      <c r="I58" s="27">
        <v>21.55</v>
      </c>
      <c r="J58" s="26">
        <v>21.55</v>
      </c>
      <c r="K58" s="18" t="s">
        <v>573</v>
      </c>
      <c r="L58" s="19">
        <v>12423</v>
      </c>
      <c r="M58" s="18" t="s">
        <v>333</v>
      </c>
      <c r="N58" s="20">
        <f t="shared" si="0"/>
        <v>47216000000</v>
      </c>
    </row>
    <row r="59" spans="1:14" x14ac:dyDescent="0.25">
      <c r="A59" s="18" t="s">
        <v>1930</v>
      </c>
      <c r="B59" s="28">
        <v>26.16</v>
      </c>
      <c r="C59" s="16" t="str">
        <f t="shared" si="6"/>
        <v>2001</v>
      </c>
      <c r="D59" t="str">
        <f t="shared" si="7"/>
        <v>04</v>
      </c>
      <c r="E59" s="21">
        <f t="shared" si="3"/>
        <v>36913</v>
      </c>
      <c r="F59" s="17" t="str">
        <f t="shared" si="4"/>
        <v>2001-01</v>
      </c>
      <c r="G59" s="25">
        <f t="shared" si="5"/>
        <v>26.874000000000002</v>
      </c>
      <c r="H59" s="4" t="s">
        <v>2055</v>
      </c>
      <c r="I59" s="27">
        <v>23.024999999999999</v>
      </c>
      <c r="J59" s="26">
        <v>23.024999999999999</v>
      </c>
      <c r="K59" s="18" t="s">
        <v>572</v>
      </c>
      <c r="L59" s="19">
        <v>11576</v>
      </c>
      <c r="M59" s="18" t="s">
        <v>332</v>
      </c>
      <c r="N59" s="20">
        <f t="shared" si="0"/>
        <v>42696000000</v>
      </c>
    </row>
    <row r="60" spans="1:14" x14ac:dyDescent="0.25">
      <c r="A60" s="18" t="s">
        <v>1929</v>
      </c>
      <c r="B60" s="28">
        <v>26.27</v>
      </c>
      <c r="C60" s="16" t="str">
        <f t="shared" si="6"/>
        <v>2001</v>
      </c>
      <c r="D60" t="str">
        <f t="shared" si="7"/>
        <v>05</v>
      </c>
      <c r="E60" s="21">
        <f t="shared" si="3"/>
        <v>36920</v>
      </c>
      <c r="F60" s="17" t="str">
        <f t="shared" si="4"/>
        <v>2001-01</v>
      </c>
      <c r="G60" s="25">
        <f t="shared" si="5"/>
        <v>26.874000000000002</v>
      </c>
      <c r="H60" s="4" t="s">
        <v>2056</v>
      </c>
      <c r="I60" s="27">
        <v>22.277999999999999</v>
      </c>
      <c r="J60" s="26">
        <v>22.277999999999999</v>
      </c>
      <c r="K60" s="18" t="s">
        <v>571</v>
      </c>
      <c r="L60" s="19">
        <v>12311</v>
      </c>
      <c r="M60" s="18" t="s">
        <v>331</v>
      </c>
      <c r="N60" s="20">
        <f t="shared" si="0"/>
        <v>48072000000</v>
      </c>
    </row>
    <row r="61" spans="1:14" x14ac:dyDescent="0.25">
      <c r="A61" s="18" t="s">
        <v>1928</v>
      </c>
      <c r="B61" s="28">
        <v>26.73</v>
      </c>
      <c r="C61" s="16" t="str">
        <f t="shared" si="6"/>
        <v>2001</v>
      </c>
      <c r="D61" t="str">
        <f t="shared" si="7"/>
        <v>06</v>
      </c>
      <c r="E61" s="21">
        <f t="shared" si="3"/>
        <v>36927</v>
      </c>
      <c r="F61" s="17" t="str">
        <f t="shared" si="4"/>
        <v>2001-02</v>
      </c>
      <c r="G61" s="25">
        <f t="shared" si="5"/>
        <v>27.042499999999997</v>
      </c>
      <c r="H61" s="4" t="s">
        <v>2057</v>
      </c>
      <c r="I61" s="27">
        <v>21.037500000000001</v>
      </c>
      <c r="J61" s="26">
        <v>21.037500000000001</v>
      </c>
      <c r="K61" s="18" t="s">
        <v>570</v>
      </c>
      <c r="L61" s="19">
        <v>14056</v>
      </c>
      <c r="M61" s="18" t="s">
        <v>330</v>
      </c>
      <c r="N61" s="20">
        <f t="shared" si="0"/>
        <v>51998000000</v>
      </c>
    </row>
    <row r="62" spans="1:14" x14ac:dyDescent="0.25">
      <c r="A62" s="18" t="s">
        <v>1927</v>
      </c>
      <c r="B62" s="28">
        <v>26.85</v>
      </c>
      <c r="C62" s="16" t="str">
        <f t="shared" si="6"/>
        <v>2001</v>
      </c>
      <c r="D62" t="str">
        <f t="shared" si="7"/>
        <v>07</v>
      </c>
      <c r="E62" s="21">
        <f t="shared" si="3"/>
        <v>36934</v>
      </c>
      <c r="F62" s="17" t="str">
        <f t="shared" si="4"/>
        <v>2001-02</v>
      </c>
      <c r="G62" s="25">
        <f t="shared" si="5"/>
        <v>27.042499999999997</v>
      </c>
      <c r="H62" s="4" t="s">
        <v>2058</v>
      </c>
      <c r="I62" s="27">
        <v>20.239999999999998</v>
      </c>
      <c r="J62" s="26">
        <v>20.239999999999998</v>
      </c>
      <c r="K62" s="18" t="s">
        <v>569</v>
      </c>
      <c r="L62" s="19">
        <v>15081</v>
      </c>
      <c r="M62" s="18" t="s">
        <v>329</v>
      </c>
      <c r="N62" s="20">
        <f t="shared" si="0"/>
        <v>51369000000</v>
      </c>
    </row>
    <row r="63" spans="1:14" x14ac:dyDescent="0.25">
      <c r="A63" s="18" t="s">
        <v>1926</v>
      </c>
      <c r="B63" s="28">
        <v>27.15</v>
      </c>
      <c r="C63" s="16" t="str">
        <f t="shared" si="6"/>
        <v>2001</v>
      </c>
      <c r="D63" t="str">
        <f t="shared" si="7"/>
        <v>08</v>
      </c>
      <c r="E63" s="21">
        <f t="shared" si="3"/>
        <v>36941</v>
      </c>
      <c r="F63" s="17" t="str">
        <f t="shared" si="4"/>
        <v>2001-02</v>
      </c>
      <c r="G63" s="25">
        <f t="shared" si="5"/>
        <v>27.042499999999997</v>
      </c>
      <c r="H63" s="4" t="s">
        <v>2059</v>
      </c>
      <c r="I63" s="27">
        <v>22.594000000000001</v>
      </c>
      <c r="J63" s="26">
        <v>22.594000000000001</v>
      </c>
      <c r="K63" s="18" t="s">
        <v>568</v>
      </c>
      <c r="L63" s="19">
        <v>14067</v>
      </c>
      <c r="M63" s="18" t="s">
        <v>328</v>
      </c>
      <c r="N63" s="20">
        <f t="shared" si="0"/>
        <v>45316000000</v>
      </c>
    </row>
    <row r="64" spans="1:14" x14ac:dyDescent="0.25">
      <c r="A64" s="18" t="s">
        <v>1925</v>
      </c>
      <c r="B64" s="28">
        <v>27.44</v>
      </c>
      <c r="C64" s="16" t="str">
        <f t="shared" si="6"/>
        <v>2001</v>
      </c>
      <c r="D64" t="str">
        <f t="shared" si="7"/>
        <v>09</v>
      </c>
      <c r="E64" s="21">
        <f t="shared" si="3"/>
        <v>36948</v>
      </c>
      <c r="F64" s="17" t="str">
        <f t="shared" si="4"/>
        <v>2001-02</v>
      </c>
      <c r="G64" s="25">
        <f t="shared" si="5"/>
        <v>27.042499999999997</v>
      </c>
      <c r="H64" s="4" t="s">
        <v>2060</v>
      </c>
      <c r="I64" s="27">
        <v>23.416</v>
      </c>
      <c r="J64" s="26">
        <v>23.416</v>
      </c>
      <c r="K64" s="18" t="s">
        <v>567</v>
      </c>
      <c r="L64" s="19">
        <v>14211</v>
      </c>
      <c r="M64" s="18" t="s">
        <v>327</v>
      </c>
      <c r="N64" s="20">
        <f t="shared" si="0"/>
        <v>48652000000</v>
      </c>
    </row>
    <row r="65" spans="1:14" x14ac:dyDescent="0.25">
      <c r="A65" s="18" t="s">
        <v>1924</v>
      </c>
      <c r="B65" s="28">
        <v>28</v>
      </c>
      <c r="C65" s="16" t="str">
        <f t="shared" si="6"/>
        <v>2001</v>
      </c>
      <c r="D65" t="str">
        <f t="shared" si="7"/>
        <v>10</v>
      </c>
      <c r="E65" s="21">
        <f t="shared" si="3"/>
        <v>36955</v>
      </c>
      <c r="F65" s="17" t="str">
        <f t="shared" si="4"/>
        <v>2001-03</v>
      </c>
      <c r="G65" s="25">
        <f t="shared" si="5"/>
        <v>27.844999999999999</v>
      </c>
      <c r="H65" s="4" t="s">
        <v>2061</v>
      </c>
      <c r="I65" s="27">
        <v>24.97</v>
      </c>
      <c r="J65" s="26">
        <v>24.97</v>
      </c>
      <c r="K65" s="18" t="s">
        <v>566</v>
      </c>
      <c r="L65" s="19">
        <v>13280</v>
      </c>
      <c r="M65" s="18" t="s">
        <v>326</v>
      </c>
      <c r="N65" s="20">
        <f t="shared" si="0"/>
        <v>49840000000</v>
      </c>
    </row>
    <row r="66" spans="1:14" x14ac:dyDescent="0.25">
      <c r="A66" s="18" t="s">
        <v>1923</v>
      </c>
      <c r="B66" s="28">
        <v>28.09</v>
      </c>
      <c r="C66" s="16" t="str">
        <f t="shared" si="6"/>
        <v>2001</v>
      </c>
      <c r="D66" t="str">
        <f t="shared" si="7"/>
        <v>11</v>
      </c>
      <c r="E66" s="21">
        <f t="shared" si="3"/>
        <v>36962</v>
      </c>
      <c r="F66" s="17" t="str">
        <f t="shared" si="4"/>
        <v>2001-03</v>
      </c>
      <c r="G66" s="25">
        <f t="shared" si="5"/>
        <v>27.844999999999999</v>
      </c>
      <c r="H66" s="4" t="s">
        <v>2062</v>
      </c>
      <c r="I66" s="27">
        <v>24.779999999999998</v>
      </c>
      <c r="J66" s="26">
        <v>24.779999999999998</v>
      </c>
      <c r="K66" s="18" t="s">
        <v>565</v>
      </c>
      <c r="L66" s="19">
        <v>15503</v>
      </c>
      <c r="M66" s="18" t="s">
        <v>325</v>
      </c>
      <c r="N66" s="20">
        <f t="shared" si="0"/>
        <v>53943000000</v>
      </c>
    </row>
    <row r="67" spans="1:14" x14ac:dyDescent="0.25">
      <c r="A67" s="18" t="s">
        <v>1922</v>
      </c>
      <c r="B67" s="28">
        <v>28.08</v>
      </c>
      <c r="C67" s="16" t="str">
        <f t="shared" si="6"/>
        <v>2001</v>
      </c>
      <c r="D67" t="str">
        <f t="shared" si="7"/>
        <v>12</v>
      </c>
      <c r="E67" s="21">
        <f t="shared" si="3"/>
        <v>36969</v>
      </c>
      <c r="F67" s="17" t="str">
        <f t="shared" si="4"/>
        <v>2001-03</v>
      </c>
      <c r="G67" s="25">
        <f t="shared" si="5"/>
        <v>27.844999999999999</v>
      </c>
      <c r="H67" s="4" t="s">
        <v>2063</v>
      </c>
      <c r="I67" s="27">
        <v>25.044</v>
      </c>
      <c r="J67" s="26">
        <v>25.044</v>
      </c>
      <c r="K67" s="18" t="s">
        <v>564</v>
      </c>
      <c r="L67" s="19">
        <v>14635</v>
      </c>
      <c r="M67" s="18" t="s">
        <v>324</v>
      </c>
      <c r="N67" s="20">
        <f t="shared" si="0"/>
        <v>59761000000</v>
      </c>
    </row>
    <row r="68" spans="1:14" x14ac:dyDescent="0.25">
      <c r="A68" s="18" t="s">
        <v>1921</v>
      </c>
      <c r="B68" s="28">
        <v>27.21</v>
      </c>
      <c r="C68" s="16" t="str">
        <f t="shared" si="6"/>
        <v>2001</v>
      </c>
      <c r="D68" t="str">
        <f t="shared" si="7"/>
        <v>13</v>
      </c>
      <c r="E68" s="21">
        <f t="shared" si="3"/>
        <v>36976</v>
      </c>
      <c r="F68" s="17" t="str">
        <f t="shared" si="4"/>
        <v>2001-03</v>
      </c>
      <c r="G68" s="25">
        <f t="shared" si="5"/>
        <v>27.844999999999999</v>
      </c>
      <c r="H68" s="4" t="s">
        <v>2064</v>
      </c>
      <c r="I68" s="27">
        <v>25.752500000000001</v>
      </c>
      <c r="J68" s="26">
        <v>25.752500000000001</v>
      </c>
      <c r="K68" s="18" t="s">
        <v>563</v>
      </c>
      <c r="L68" s="19">
        <v>14252</v>
      </c>
      <c r="M68" s="18" t="s">
        <v>323</v>
      </c>
      <c r="N68" s="20">
        <f t="shared" ref="N68:N131" si="8">L308*1000000</f>
        <v>52185000000</v>
      </c>
    </row>
    <row r="69" spans="1:14" x14ac:dyDescent="0.25">
      <c r="A69" s="18" t="s">
        <v>1920</v>
      </c>
      <c r="B69" s="28">
        <v>26.98</v>
      </c>
      <c r="C69" s="16" t="str">
        <f t="shared" si="6"/>
        <v>2001</v>
      </c>
      <c r="D69" t="str">
        <f t="shared" si="7"/>
        <v>14</v>
      </c>
      <c r="E69" s="21">
        <f t="shared" ref="E69:E132" si="9">DATE(C69,1,1)+(D69-1)*7</f>
        <v>36983</v>
      </c>
      <c r="F69" s="17" t="str">
        <f t="shared" ref="F69:F132" si="10">TEXT(E69,"éééé-hh")</f>
        <v>2001-04</v>
      </c>
      <c r="G69" s="25">
        <f t="shared" ref="G69:G132" si="11">AVERAGEIF($F$4:$F$1353,F69,$B$4:$B$1353)</f>
        <v>27.553999999999995</v>
      </c>
      <c r="H69" s="4" t="s">
        <v>2065</v>
      </c>
      <c r="I69" s="27">
        <v>27.557499999999997</v>
      </c>
      <c r="J69" s="26">
        <v>27.557499999999997</v>
      </c>
      <c r="K69" s="18" t="s">
        <v>562</v>
      </c>
      <c r="L69" s="19">
        <v>12854</v>
      </c>
      <c r="M69" s="18" t="s">
        <v>322</v>
      </c>
      <c r="N69" s="20">
        <f t="shared" si="8"/>
        <v>49667000000</v>
      </c>
    </row>
    <row r="70" spans="1:14" x14ac:dyDescent="0.25">
      <c r="A70" s="18" t="s">
        <v>1919</v>
      </c>
      <c r="B70" s="28">
        <v>27.77</v>
      </c>
      <c r="C70" s="16" t="str">
        <f t="shared" si="6"/>
        <v>2001</v>
      </c>
      <c r="D70" t="str">
        <f t="shared" si="7"/>
        <v>15</v>
      </c>
      <c r="E70" s="21">
        <f t="shared" si="9"/>
        <v>36990</v>
      </c>
      <c r="F70" s="17" t="str">
        <f t="shared" si="10"/>
        <v>2001-04</v>
      </c>
      <c r="G70" s="25">
        <f t="shared" si="11"/>
        <v>27.553999999999995</v>
      </c>
      <c r="H70" s="4" t="s">
        <v>2066</v>
      </c>
      <c r="I70" s="27">
        <v>28.919999999999998</v>
      </c>
      <c r="J70" s="26">
        <v>28.919999999999998</v>
      </c>
      <c r="K70" s="18" t="s">
        <v>561</v>
      </c>
      <c r="L70" s="19">
        <v>13498</v>
      </c>
      <c r="M70" s="18" t="s">
        <v>321</v>
      </c>
      <c r="N70" s="20">
        <f t="shared" si="8"/>
        <v>54083000000</v>
      </c>
    </row>
    <row r="71" spans="1:14" x14ac:dyDescent="0.25">
      <c r="A71" s="18" t="s">
        <v>1918</v>
      </c>
      <c r="B71" s="28">
        <v>27.79</v>
      </c>
      <c r="C71" s="16" t="str">
        <f t="shared" si="6"/>
        <v>2001</v>
      </c>
      <c r="D71" t="str">
        <f t="shared" si="7"/>
        <v>16</v>
      </c>
      <c r="E71" s="21">
        <f t="shared" si="9"/>
        <v>36997</v>
      </c>
      <c r="F71" s="17" t="str">
        <f t="shared" si="10"/>
        <v>2001-04</v>
      </c>
      <c r="G71" s="25">
        <f t="shared" si="11"/>
        <v>27.553999999999995</v>
      </c>
      <c r="H71" s="4" t="s">
        <v>2067</v>
      </c>
      <c r="I71" s="27">
        <v>28.032499999999999</v>
      </c>
      <c r="J71" s="26">
        <v>28.032499999999999</v>
      </c>
      <c r="K71" s="18" t="s">
        <v>560</v>
      </c>
      <c r="L71" s="19">
        <v>12898</v>
      </c>
      <c r="M71" s="18" t="s">
        <v>320</v>
      </c>
      <c r="N71" s="20">
        <f t="shared" si="8"/>
        <v>57128000000</v>
      </c>
    </row>
    <row r="72" spans="1:14" x14ac:dyDescent="0.25">
      <c r="A72" s="18" t="s">
        <v>1917</v>
      </c>
      <c r="B72" s="28">
        <v>27.77</v>
      </c>
      <c r="C72" s="16" t="str">
        <f t="shared" si="6"/>
        <v>2001</v>
      </c>
      <c r="D72" t="str">
        <f t="shared" si="7"/>
        <v>17</v>
      </c>
      <c r="E72" s="21">
        <f t="shared" si="9"/>
        <v>37004</v>
      </c>
      <c r="F72" s="17" t="str">
        <f t="shared" si="10"/>
        <v>2001-04</v>
      </c>
      <c r="G72" s="25">
        <f t="shared" si="11"/>
        <v>27.553999999999995</v>
      </c>
      <c r="H72" s="4" t="s">
        <v>2068</v>
      </c>
      <c r="I72" s="27">
        <v>26.3675</v>
      </c>
      <c r="J72" s="26">
        <v>26.3675</v>
      </c>
      <c r="K72" s="18" t="s">
        <v>559</v>
      </c>
      <c r="L72" s="19">
        <v>13479</v>
      </c>
      <c r="M72" s="18" t="s">
        <v>319</v>
      </c>
      <c r="N72" s="20">
        <f t="shared" si="8"/>
        <v>57541000000</v>
      </c>
    </row>
    <row r="73" spans="1:14" x14ac:dyDescent="0.25">
      <c r="A73" s="18" t="s">
        <v>1916</v>
      </c>
      <c r="B73" s="28">
        <v>27.46</v>
      </c>
      <c r="C73" s="16" t="str">
        <f t="shared" si="6"/>
        <v>2001</v>
      </c>
      <c r="D73" t="str">
        <f t="shared" si="7"/>
        <v>18</v>
      </c>
      <c r="E73" s="21">
        <f t="shared" si="9"/>
        <v>37011</v>
      </c>
      <c r="F73" s="17" t="str">
        <f t="shared" si="10"/>
        <v>2001-04</v>
      </c>
      <c r="G73" s="25">
        <f t="shared" si="11"/>
        <v>27.553999999999995</v>
      </c>
      <c r="H73" s="4" t="s">
        <v>2069</v>
      </c>
      <c r="I73" s="27">
        <v>26.283999999999999</v>
      </c>
      <c r="J73" s="26">
        <v>26.283999999999999</v>
      </c>
      <c r="K73" s="18" t="s">
        <v>558</v>
      </c>
      <c r="L73" s="19">
        <v>16495</v>
      </c>
      <c r="M73" s="18" t="s">
        <v>318</v>
      </c>
      <c r="N73" s="20">
        <f t="shared" si="8"/>
        <v>64133000000</v>
      </c>
    </row>
    <row r="74" spans="1:14" x14ac:dyDescent="0.25">
      <c r="A74" s="18" t="s">
        <v>1915</v>
      </c>
      <c r="B74" s="28">
        <v>27.36</v>
      </c>
      <c r="C74" s="16" t="str">
        <f t="shared" si="6"/>
        <v>2001</v>
      </c>
      <c r="D74" t="str">
        <f t="shared" si="7"/>
        <v>19</v>
      </c>
      <c r="E74" s="21">
        <f t="shared" si="9"/>
        <v>37018</v>
      </c>
      <c r="F74" s="17" t="str">
        <f t="shared" si="10"/>
        <v>2001-05</v>
      </c>
      <c r="G74" s="25">
        <f t="shared" si="11"/>
        <v>27.2225</v>
      </c>
      <c r="H74" s="4" t="s">
        <v>2070</v>
      </c>
      <c r="I74" s="27">
        <v>26.142499999999998</v>
      </c>
      <c r="J74" s="26">
        <v>26.142499999999998</v>
      </c>
      <c r="K74" s="18" t="s">
        <v>557</v>
      </c>
      <c r="L74" s="19">
        <v>14066</v>
      </c>
      <c r="M74" s="18" t="s">
        <v>317</v>
      </c>
      <c r="N74" s="20">
        <f t="shared" si="8"/>
        <v>58043000000</v>
      </c>
    </row>
    <row r="75" spans="1:14" x14ac:dyDescent="0.25">
      <c r="A75" s="18" t="s">
        <v>1914</v>
      </c>
      <c r="B75" s="28">
        <v>27.28</v>
      </c>
      <c r="C75" s="16" t="str">
        <f t="shared" si="6"/>
        <v>2001</v>
      </c>
      <c r="D75" t="str">
        <f t="shared" si="7"/>
        <v>20</v>
      </c>
      <c r="E75" s="21">
        <f t="shared" si="9"/>
        <v>37025</v>
      </c>
      <c r="F75" s="17" t="str">
        <f t="shared" si="10"/>
        <v>2001-05</v>
      </c>
      <c r="G75" s="25">
        <f t="shared" si="11"/>
        <v>27.2225</v>
      </c>
      <c r="H75" s="4" t="s">
        <v>2071</v>
      </c>
      <c r="I75" s="27">
        <v>27.717500000000001</v>
      </c>
      <c r="J75" s="26">
        <v>27.717500000000001</v>
      </c>
      <c r="K75" s="18" t="s">
        <v>556</v>
      </c>
      <c r="L75" s="19">
        <v>15563</v>
      </c>
      <c r="M75" s="18" t="s">
        <v>316</v>
      </c>
      <c r="N75" s="20">
        <f t="shared" si="8"/>
        <v>63783000000</v>
      </c>
    </row>
    <row r="76" spans="1:14" x14ac:dyDescent="0.25">
      <c r="A76" s="18" t="s">
        <v>1913</v>
      </c>
      <c r="B76" s="28">
        <v>27.13</v>
      </c>
      <c r="C76" s="16" t="str">
        <f t="shared" si="6"/>
        <v>2001</v>
      </c>
      <c r="D76" t="str">
        <f t="shared" si="7"/>
        <v>21</v>
      </c>
      <c r="E76" s="21">
        <f t="shared" si="9"/>
        <v>37032</v>
      </c>
      <c r="F76" s="17" t="str">
        <f t="shared" si="10"/>
        <v>2001-05</v>
      </c>
      <c r="G76" s="25">
        <f t="shared" si="11"/>
        <v>27.2225</v>
      </c>
      <c r="H76" s="4" t="s">
        <v>2072</v>
      </c>
      <c r="I76" s="27">
        <v>26.79</v>
      </c>
      <c r="J76" s="26">
        <v>26.79</v>
      </c>
      <c r="K76" s="18" t="s">
        <v>555</v>
      </c>
      <c r="L76" s="19">
        <v>13900</v>
      </c>
      <c r="M76" s="18" t="s">
        <v>315</v>
      </c>
      <c r="N76" s="20">
        <f t="shared" si="8"/>
        <v>70255000000</v>
      </c>
    </row>
    <row r="77" spans="1:14" x14ac:dyDescent="0.25">
      <c r="A77" s="18" t="s">
        <v>1912</v>
      </c>
      <c r="B77" s="28">
        <v>27.12</v>
      </c>
      <c r="C77" s="16" t="str">
        <f t="shared" si="6"/>
        <v>2001</v>
      </c>
      <c r="D77" t="str">
        <f t="shared" si="7"/>
        <v>22</v>
      </c>
      <c r="E77" s="21">
        <f t="shared" si="9"/>
        <v>37039</v>
      </c>
      <c r="F77" s="17" t="str">
        <f t="shared" si="10"/>
        <v>2001-05</v>
      </c>
      <c r="G77" s="25">
        <f t="shared" si="11"/>
        <v>27.2225</v>
      </c>
      <c r="H77" s="4" t="s">
        <v>2073</v>
      </c>
      <c r="I77" s="27">
        <v>27.355</v>
      </c>
      <c r="J77" s="26">
        <v>27.355</v>
      </c>
      <c r="K77" s="18" t="s">
        <v>554</v>
      </c>
      <c r="L77" s="19">
        <v>12043</v>
      </c>
      <c r="M77" s="18" t="s">
        <v>314</v>
      </c>
      <c r="N77" s="20">
        <f t="shared" si="8"/>
        <v>61274000000</v>
      </c>
    </row>
    <row r="78" spans="1:14" x14ac:dyDescent="0.25">
      <c r="A78" s="18" t="s">
        <v>1911</v>
      </c>
      <c r="B78" s="28">
        <v>27.07</v>
      </c>
      <c r="C78" s="16" t="str">
        <f t="shared" si="6"/>
        <v>2001</v>
      </c>
      <c r="D78" t="str">
        <f t="shared" si="7"/>
        <v>23</v>
      </c>
      <c r="E78" s="21">
        <f t="shared" si="9"/>
        <v>37046</v>
      </c>
      <c r="F78" s="17" t="str">
        <f t="shared" si="10"/>
        <v>2001-06</v>
      </c>
      <c r="G78" s="25">
        <f t="shared" si="11"/>
        <v>26.954999999999998</v>
      </c>
      <c r="H78" s="4" t="s">
        <v>2074</v>
      </c>
      <c r="I78" s="27">
        <v>31.0625</v>
      </c>
      <c r="J78" s="26">
        <v>31.0625</v>
      </c>
      <c r="K78" s="18" t="s">
        <v>553</v>
      </c>
      <c r="L78" s="19">
        <v>11693</v>
      </c>
      <c r="M78" s="18" t="s">
        <v>313</v>
      </c>
      <c r="N78" s="20">
        <f t="shared" si="8"/>
        <v>72719000000</v>
      </c>
    </row>
    <row r="79" spans="1:14" x14ac:dyDescent="0.25">
      <c r="A79" s="18" t="s">
        <v>1910</v>
      </c>
      <c r="B79" s="28">
        <v>26.75</v>
      </c>
      <c r="C79" s="16" t="str">
        <f t="shared" si="6"/>
        <v>2001</v>
      </c>
      <c r="D79" t="str">
        <f t="shared" si="7"/>
        <v>24</v>
      </c>
      <c r="E79" s="21">
        <f t="shared" si="9"/>
        <v>37053</v>
      </c>
      <c r="F79" s="17" t="str">
        <f t="shared" si="10"/>
        <v>2001-06</v>
      </c>
      <c r="G79" s="25">
        <f t="shared" si="11"/>
        <v>26.954999999999998</v>
      </c>
      <c r="H79" s="4" t="s">
        <v>2075</v>
      </c>
      <c r="I79" s="27">
        <v>35.106000000000002</v>
      </c>
      <c r="J79" s="26">
        <v>35.106000000000002</v>
      </c>
      <c r="K79" s="18" t="s">
        <v>552</v>
      </c>
      <c r="L79" s="19">
        <v>8663</v>
      </c>
      <c r="M79" s="18" t="s">
        <v>312</v>
      </c>
      <c r="N79" s="20">
        <f t="shared" si="8"/>
        <v>62410000000</v>
      </c>
    </row>
    <row r="80" spans="1:14" x14ac:dyDescent="0.25">
      <c r="A80" s="18" t="s">
        <v>1909</v>
      </c>
      <c r="B80" s="28">
        <v>27.03</v>
      </c>
      <c r="C80" s="16" t="str">
        <f t="shared" si="6"/>
        <v>2001</v>
      </c>
      <c r="D80" t="str">
        <f t="shared" si="7"/>
        <v>25</v>
      </c>
      <c r="E80" s="21">
        <f t="shared" si="9"/>
        <v>37060</v>
      </c>
      <c r="F80" s="17" t="str">
        <f t="shared" si="10"/>
        <v>2001-06</v>
      </c>
      <c r="G80" s="25">
        <f t="shared" si="11"/>
        <v>26.954999999999998</v>
      </c>
      <c r="H80" s="4" t="s">
        <v>2076</v>
      </c>
      <c r="I80" s="27">
        <v>38.517499999999998</v>
      </c>
      <c r="J80" s="26">
        <v>38.517499999999998</v>
      </c>
      <c r="K80" s="18" t="s">
        <v>551</v>
      </c>
      <c r="L80" s="19">
        <v>10106</v>
      </c>
      <c r="M80" s="18" t="s">
        <v>311</v>
      </c>
      <c r="N80" s="20">
        <f t="shared" si="8"/>
        <v>62350000000</v>
      </c>
    </row>
    <row r="81" spans="1:14" x14ac:dyDescent="0.25">
      <c r="A81" s="18" t="s">
        <v>1908</v>
      </c>
      <c r="B81" s="28">
        <v>26.97</v>
      </c>
      <c r="C81" s="16" t="str">
        <f t="shared" si="6"/>
        <v>2001</v>
      </c>
      <c r="D81" t="str">
        <f t="shared" si="7"/>
        <v>26</v>
      </c>
      <c r="E81" s="21">
        <f t="shared" si="9"/>
        <v>37067</v>
      </c>
      <c r="F81" s="17" t="str">
        <f t="shared" si="10"/>
        <v>2001-06</v>
      </c>
      <c r="G81" s="25">
        <f t="shared" si="11"/>
        <v>26.954999999999998</v>
      </c>
      <c r="H81" s="4" t="s">
        <v>2077</v>
      </c>
      <c r="I81" s="27">
        <v>41.782499999999999</v>
      </c>
      <c r="J81" s="26">
        <v>41.782499999999999</v>
      </c>
      <c r="K81" s="18" t="s">
        <v>550</v>
      </c>
      <c r="L81" s="19">
        <v>10873</v>
      </c>
      <c r="M81" s="18" t="s">
        <v>310</v>
      </c>
      <c r="N81" s="20">
        <f t="shared" si="8"/>
        <v>65520000000</v>
      </c>
    </row>
    <row r="82" spans="1:14" x14ac:dyDescent="0.25">
      <c r="A82" s="18" t="s">
        <v>1907</v>
      </c>
      <c r="B82" s="28">
        <v>26.69</v>
      </c>
      <c r="C82" s="16" t="str">
        <f t="shared" si="6"/>
        <v>2001</v>
      </c>
      <c r="D82" t="str">
        <f t="shared" si="7"/>
        <v>27</v>
      </c>
      <c r="E82" s="21">
        <f t="shared" si="9"/>
        <v>37074</v>
      </c>
      <c r="F82" s="17" t="str">
        <f t="shared" si="10"/>
        <v>2001-07</v>
      </c>
      <c r="G82" s="25">
        <f t="shared" si="11"/>
        <v>26.342000000000002</v>
      </c>
      <c r="H82" s="4" t="s">
        <v>2078</v>
      </c>
      <c r="I82" s="27">
        <v>38.291999999999994</v>
      </c>
      <c r="J82" s="26">
        <v>38.291999999999994</v>
      </c>
      <c r="K82" s="18" t="s">
        <v>549</v>
      </c>
      <c r="L82" s="19">
        <v>9741</v>
      </c>
      <c r="M82" s="18" t="s">
        <v>309</v>
      </c>
      <c r="N82" s="20">
        <f t="shared" si="8"/>
        <v>62813000000</v>
      </c>
    </row>
    <row r="83" spans="1:14" x14ac:dyDescent="0.25">
      <c r="A83" s="18" t="s">
        <v>1906</v>
      </c>
      <c r="B83" s="28">
        <v>26.19</v>
      </c>
      <c r="C83" s="16" t="str">
        <f t="shared" si="6"/>
        <v>2001</v>
      </c>
      <c r="D83" t="str">
        <f t="shared" si="7"/>
        <v>28</v>
      </c>
      <c r="E83" s="21">
        <f t="shared" si="9"/>
        <v>37081</v>
      </c>
      <c r="F83" s="17" t="str">
        <f t="shared" si="10"/>
        <v>2001-07</v>
      </c>
      <c r="G83" s="25">
        <f t="shared" si="11"/>
        <v>26.342000000000002</v>
      </c>
      <c r="H83" s="4" t="s">
        <v>2079</v>
      </c>
      <c r="I83" s="27">
        <v>35.862499999999997</v>
      </c>
      <c r="J83" s="26">
        <v>35.862499999999997</v>
      </c>
      <c r="K83" s="18" t="s">
        <v>548</v>
      </c>
      <c r="L83" s="19">
        <v>9520</v>
      </c>
      <c r="M83" s="18" t="s">
        <v>308</v>
      </c>
      <c r="N83" s="20">
        <f t="shared" si="8"/>
        <v>65240000000</v>
      </c>
    </row>
    <row r="84" spans="1:14" x14ac:dyDescent="0.25">
      <c r="A84" s="18" t="s">
        <v>1905</v>
      </c>
      <c r="B84" s="28">
        <v>26.31</v>
      </c>
      <c r="C84" s="16" t="str">
        <f t="shared" ref="C84:C147" si="12">LEFT(A84,4)</f>
        <v>2001</v>
      </c>
      <c r="D84" t="str">
        <f t="shared" ref="D84:D147" si="13">RIGHT(A84,2)</f>
        <v>29</v>
      </c>
      <c r="E84" s="21">
        <f t="shared" si="9"/>
        <v>37088</v>
      </c>
      <c r="F84" s="17" t="str">
        <f t="shared" si="10"/>
        <v>2001-07</v>
      </c>
      <c r="G84" s="25">
        <f t="shared" si="11"/>
        <v>26.342000000000002</v>
      </c>
      <c r="H84" s="4" t="s">
        <v>2080</v>
      </c>
      <c r="I84" s="27">
        <v>30.557500000000001</v>
      </c>
      <c r="J84" s="26">
        <v>30.557500000000001</v>
      </c>
      <c r="K84" s="18" t="s">
        <v>547</v>
      </c>
      <c r="L84" s="19">
        <v>10540</v>
      </c>
      <c r="M84" s="18" t="s">
        <v>307</v>
      </c>
      <c r="N84" s="20">
        <f t="shared" si="8"/>
        <v>60268000000</v>
      </c>
    </row>
    <row r="85" spans="1:14" x14ac:dyDescent="0.25">
      <c r="A85" s="18" t="s">
        <v>1904</v>
      </c>
      <c r="B85" s="28">
        <v>26.2</v>
      </c>
      <c r="C85" s="16" t="str">
        <f t="shared" si="12"/>
        <v>2001</v>
      </c>
      <c r="D85" t="str">
        <f t="shared" si="13"/>
        <v>30</v>
      </c>
      <c r="E85" s="21">
        <f t="shared" si="9"/>
        <v>37095</v>
      </c>
      <c r="F85" s="17" t="str">
        <f t="shared" si="10"/>
        <v>2001-07</v>
      </c>
      <c r="G85" s="25">
        <f t="shared" si="11"/>
        <v>26.342000000000002</v>
      </c>
      <c r="H85" s="4" t="s">
        <v>2081</v>
      </c>
      <c r="I85" s="27">
        <v>28.421999999999997</v>
      </c>
      <c r="J85" s="26">
        <v>28.421999999999997</v>
      </c>
      <c r="K85" s="18" t="s">
        <v>546</v>
      </c>
      <c r="L85" s="19">
        <v>12559</v>
      </c>
      <c r="M85" s="18" t="s">
        <v>306</v>
      </c>
      <c r="N85" s="20">
        <f t="shared" si="8"/>
        <v>68745000000</v>
      </c>
    </row>
    <row r="86" spans="1:14" x14ac:dyDescent="0.25">
      <c r="A86" s="18" t="s">
        <v>1903</v>
      </c>
      <c r="B86" s="28">
        <v>26.32</v>
      </c>
      <c r="C86" s="16" t="str">
        <f t="shared" si="12"/>
        <v>2001</v>
      </c>
      <c r="D86" t="str">
        <f t="shared" si="13"/>
        <v>31</v>
      </c>
      <c r="E86" s="21">
        <f t="shared" si="9"/>
        <v>37102</v>
      </c>
      <c r="F86" s="17" t="str">
        <f t="shared" si="10"/>
        <v>2001-07</v>
      </c>
      <c r="G86" s="25">
        <f t="shared" si="11"/>
        <v>26.342000000000002</v>
      </c>
      <c r="H86" s="4" t="s">
        <v>2082</v>
      </c>
      <c r="I86" s="27">
        <v>27.697500000000002</v>
      </c>
      <c r="J86" s="26">
        <v>27.697500000000002</v>
      </c>
      <c r="K86" s="18" t="s">
        <v>545</v>
      </c>
      <c r="L86" s="19">
        <v>11675</v>
      </c>
      <c r="M86" s="18" t="s">
        <v>305</v>
      </c>
      <c r="N86" s="20">
        <f t="shared" si="8"/>
        <v>67685000000</v>
      </c>
    </row>
    <row r="87" spans="1:14" x14ac:dyDescent="0.25">
      <c r="A87" s="18" t="s">
        <v>1902</v>
      </c>
      <c r="B87" s="28">
        <v>26.71</v>
      </c>
      <c r="C87" s="16" t="str">
        <f t="shared" si="12"/>
        <v>2001</v>
      </c>
      <c r="D87" t="str">
        <f t="shared" si="13"/>
        <v>32</v>
      </c>
      <c r="E87" s="21">
        <f t="shared" si="9"/>
        <v>37109</v>
      </c>
      <c r="F87" s="17" t="str">
        <f t="shared" si="10"/>
        <v>2001-08</v>
      </c>
      <c r="G87" s="25">
        <f t="shared" si="11"/>
        <v>26.172499999999999</v>
      </c>
      <c r="H87" s="4" t="s">
        <v>2083</v>
      </c>
      <c r="I87" s="27">
        <v>27.740000000000002</v>
      </c>
      <c r="J87" s="26">
        <v>27.740000000000002</v>
      </c>
      <c r="K87" s="18" t="s">
        <v>544</v>
      </c>
      <c r="L87" s="19">
        <v>12535</v>
      </c>
      <c r="M87" s="18" t="s">
        <v>304</v>
      </c>
      <c r="N87" s="20">
        <f t="shared" si="8"/>
        <v>63664000000</v>
      </c>
    </row>
    <row r="88" spans="1:14" x14ac:dyDescent="0.25">
      <c r="A88" s="18" t="s">
        <v>1901</v>
      </c>
      <c r="B88" s="28">
        <v>26.05</v>
      </c>
      <c r="C88" s="16" t="str">
        <f t="shared" si="12"/>
        <v>2001</v>
      </c>
      <c r="D88" t="str">
        <f t="shared" si="13"/>
        <v>33</v>
      </c>
      <c r="E88" s="21">
        <f t="shared" si="9"/>
        <v>37116</v>
      </c>
      <c r="F88" s="17" t="str">
        <f t="shared" si="10"/>
        <v>2001-08</v>
      </c>
      <c r="G88" s="25">
        <f t="shared" si="11"/>
        <v>26.172499999999999</v>
      </c>
      <c r="H88" s="4" t="s">
        <v>2084</v>
      </c>
      <c r="I88" s="27">
        <v>28.341999999999995</v>
      </c>
      <c r="J88" s="26">
        <v>28.341999999999995</v>
      </c>
      <c r="K88" s="18" t="s">
        <v>543</v>
      </c>
      <c r="L88" s="19">
        <v>11894</v>
      </c>
      <c r="M88" s="18" t="s">
        <v>303</v>
      </c>
      <c r="N88" s="20">
        <f t="shared" si="8"/>
        <v>67604000000</v>
      </c>
    </row>
    <row r="89" spans="1:14" x14ac:dyDescent="0.25">
      <c r="A89" s="18" t="s">
        <v>1900</v>
      </c>
      <c r="B89" s="28">
        <v>26.02</v>
      </c>
      <c r="C89" s="16" t="str">
        <f t="shared" si="12"/>
        <v>2001</v>
      </c>
      <c r="D89" t="str">
        <f t="shared" si="13"/>
        <v>34</v>
      </c>
      <c r="E89" s="21">
        <f t="shared" si="9"/>
        <v>37123</v>
      </c>
      <c r="F89" s="17" t="str">
        <f t="shared" si="10"/>
        <v>2001-08</v>
      </c>
      <c r="G89" s="25">
        <f t="shared" si="11"/>
        <v>26.172499999999999</v>
      </c>
      <c r="H89" s="4" t="s">
        <v>2085</v>
      </c>
      <c r="I89" s="27">
        <v>28.754999999999999</v>
      </c>
      <c r="J89" s="26">
        <v>28.754999999999999</v>
      </c>
      <c r="K89" s="18" t="s">
        <v>542</v>
      </c>
      <c r="L89" s="19">
        <v>13328</v>
      </c>
      <c r="M89" s="18" t="s">
        <v>302</v>
      </c>
      <c r="N89" s="20">
        <f t="shared" si="8"/>
        <v>59469000000</v>
      </c>
    </row>
    <row r="90" spans="1:14" x14ac:dyDescent="0.25">
      <c r="A90" s="18" t="s">
        <v>1899</v>
      </c>
      <c r="B90" s="28">
        <v>25.91</v>
      </c>
      <c r="C90" s="16" t="str">
        <f t="shared" si="12"/>
        <v>2001</v>
      </c>
      <c r="D90" t="str">
        <f t="shared" si="13"/>
        <v>35</v>
      </c>
      <c r="E90" s="21">
        <f t="shared" si="9"/>
        <v>37130</v>
      </c>
      <c r="F90" s="17" t="str">
        <f t="shared" si="10"/>
        <v>2001-08</v>
      </c>
      <c r="G90" s="25">
        <f t="shared" si="11"/>
        <v>26.172499999999999</v>
      </c>
      <c r="H90" s="4" t="s">
        <v>2086</v>
      </c>
      <c r="I90" s="27">
        <v>28.932500000000001</v>
      </c>
      <c r="J90" s="26">
        <v>28.932500000000001</v>
      </c>
      <c r="K90" s="18" t="s">
        <v>541</v>
      </c>
      <c r="L90" s="19">
        <v>12828</v>
      </c>
      <c r="M90" s="18" t="s">
        <v>301</v>
      </c>
      <c r="N90" s="20">
        <f t="shared" si="8"/>
        <v>69119000000</v>
      </c>
    </row>
    <row r="91" spans="1:14" x14ac:dyDescent="0.25">
      <c r="A91" s="18" t="s">
        <v>1898</v>
      </c>
      <c r="B91" s="28">
        <v>25.92</v>
      </c>
      <c r="C91" s="16" t="str">
        <f t="shared" si="12"/>
        <v>2001</v>
      </c>
      <c r="D91" t="str">
        <f t="shared" si="13"/>
        <v>36</v>
      </c>
      <c r="E91" s="21">
        <f t="shared" si="9"/>
        <v>37137</v>
      </c>
      <c r="F91" s="17" t="str">
        <f t="shared" si="10"/>
        <v>2001-09</v>
      </c>
      <c r="G91" s="25">
        <f t="shared" si="11"/>
        <v>25.452499999999997</v>
      </c>
      <c r="H91" s="4" t="s">
        <v>2087</v>
      </c>
      <c r="I91" s="27">
        <v>28.49</v>
      </c>
      <c r="J91" s="26">
        <v>28.49</v>
      </c>
      <c r="K91" s="18" t="s">
        <v>540</v>
      </c>
      <c r="L91" s="19">
        <v>12660</v>
      </c>
      <c r="M91" s="18" t="s">
        <v>300</v>
      </c>
      <c r="N91" s="20">
        <f t="shared" si="8"/>
        <v>63304000000</v>
      </c>
    </row>
    <row r="92" spans="1:14" x14ac:dyDescent="0.25">
      <c r="A92" s="18" t="s">
        <v>1897</v>
      </c>
      <c r="B92" s="28">
        <v>25.66</v>
      </c>
      <c r="C92" s="16" t="str">
        <f t="shared" si="12"/>
        <v>2001</v>
      </c>
      <c r="D92" t="str">
        <f t="shared" si="13"/>
        <v>37</v>
      </c>
      <c r="E92" s="21">
        <f t="shared" si="9"/>
        <v>37144</v>
      </c>
      <c r="F92" s="17" t="str">
        <f t="shared" si="10"/>
        <v>2001-09</v>
      </c>
      <c r="G92" s="25">
        <f t="shared" si="11"/>
        <v>25.452499999999997</v>
      </c>
      <c r="H92" s="4" t="s">
        <v>2088</v>
      </c>
      <c r="I92" s="27">
        <v>26.467500000000001</v>
      </c>
      <c r="J92" s="26">
        <v>26.467500000000001</v>
      </c>
      <c r="K92" s="18" t="s">
        <v>539</v>
      </c>
      <c r="L92" s="19">
        <v>12051</v>
      </c>
      <c r="M92" s="18" t="s">
        <v>299</v>
      </c>
      <c r="N92" s="20">
        <f t="shared" si="8"/>
        <v>63610000000</v>
      </c>
    </row>
    <row r="93" spans="1:14" x14ac:dyDescent="0.25">
      <c r="A93" s="18" t="s">
        <v>1896</v>
      </c>
      <c r="B93" s="28">
        <v>25.15</v>
      </c>
      <c r="C93" s="16" t="str">
        <f t="shared" si="12"/>
        <v>2001</v>
      </c>
      <c r="D93" t="str">
        <f t="shared" si="13"/>
        <v>38</v>
      </c>
      <c r="E93" s="21">
        <f t="shared" si="9"/>
        <v>37151</v>
      </c>
      <c r="F93" s="17" t="str">
        <f t="shared" si="10"/>
        <v>2001-09</v>
      </c>
      <c r="G93" s="25">
        <f t="shared" si="11"/>
        <v>25.452499999999997</v>
      </c>
      <c r="H93" s="4" t="s">
        <v>2089</v>
      </c>
      <c r="I93" s="27">
        <v>25.285</v>
      </c>
      <c r="J93" s="26">
        <v>25.285</v>
      </c>
      <c r="K93" s="18" t="s">
        <v>538</v>
      </c>
      <c r="L93" s="19">
        <v>11389</v>
      </c>
      <c r="M93" s="18" t="s">
        <v>298</v>
      </c>
      <c r="N93" s="20">
        <f t="shared" si="8"/>
        <v>63367000000</v>
      </c>
    </row>
    <row r="94" spans="1:14" x14ac:dyDescent="0.25">
      <c r="A94" s="18" t="s">
        <v>1895</v>
      </c>
      <c r="B94" s="28">
        <v>25.08</v>
      </c>
      <c r="C94" s="16" t="str">
        <f t="shared" si="12"/>
        <v>2001</v>
      </c>
      <c r="D94" t="str">
        <f t="shared" si="13"/>
        <v>39</v>
      </c>
      <c r="E94" s="21">
        <f t="shared" si="9"/>
        <v>37158</v>
      </c>
      <c r="F94" s="17" t="str">
        <f t="shared" si="10"/>
        <v>2001-09</v>
      </c>
      <c r="G94" s="25">
        <f t="shared" si="11"/>
        <v>25.452499999999997</v>
      </c>
      <c r="H94" s="4" t="s">
        <v>2090</v>
      </c>
      <c r="I94" s="27">
        <v>25.404000000000003</v>
      </c>
      <c r="J94" s="26">
        <v>25.404000000000003</v>
      </c>
      <c r="K94" s="18" t="s">
        <v>537</v>
      </c>
      <c r="L94" s="19">
        <v>11401</v>
      </c>
      <c r="M94" s="18" t="s">
        <v>297</v>
      </c>
      <c r="N94" s="20">
        <f t="shared" si="8"/>
        <v>59884000000</v>
      </c>
    </row>
    <row r="95" spans="1:14" x14ac:dyDescent="0.25">
      <c r="A95" s="18" t="s">
        <v>1894</v>
      </c>
      <c r="B95" s="28">
        <v>24.55</v>
      </c>
      <c r="C95" s="16" t="str">
        <f t="shared" si="12"/>
        <v>2001</v>
      </c>
      <c r="D95" t="str">
        <f t="shared" si="13"/>
        <v>40</v>
      </c>
      <c r="E95" s="21">
        <f t="shared" si="9"/>
        <v>37165</v>
      </c>
      <c r="F95" s="17" t="str">
        <f t="shared" si="10"/>
        <v>2001-10</v>
      </c>
      <c r="G95" s="25">
        <f t="shared" si="11"/>
        <v>24.18</v>
      </c>
      <c r="H95" s="4" t="s">
        <v>2091</v>
      </c>
      <c r="I95" s="27">
        <v>27.884999999999998</v>
      </c>
      <c r="J95" s="26">
        <v>27.884999999999998</v>
      </c>
      <c r="K95" s="18" t="s">
        <v>536</v>
      </c>
      <c r="L95" s="19">
        <v>8616</v>
      </c>
      <c r="M95" s="18" t="s">
        <v>296</v>
      </c>
      <c r="N95" s="20">
        <f t="shared" si="8"/>
        <v>63448000000</v>
      </c>
    </row>
    <row r="96" spans="1:14" x14ac:dyDescent="0.25">
      <c r="A96" s="18" t="s">
        <v>1893</v>
      </c>
      <c r="B96" s="28">
        <v>24.66</v>
      </c>
      <c r="C96" s="16" t="str">
        <f t="shared" si="12"/>
        <v>2001</v>
      </c>
      <c r="D96" t="str">
        <f t="shared" si="13"/>
        <v>41</v>
      </c>
      <c r="E96" s="21">
        <f t="shared" si="9"/>
        <v>37172</v>
      </c>
      <c r="F96" s="17" t="str">
        <f t="shared" si="10"/>
        <v>2001-10</v>
      </c>
      <c r="G96" s="25">
        <f t="shared" si="11"/>
        <v>24.18</v>
      </c>
      <c r="H96" s="4" t="s">
        <v>2092</v>
      </c>
      <c r="I96" s="27">
        <v>25.807499999999997</v>
      </c>
      <c r="J96" s="26">
        <v>25.807499999999997</v>
      </c>
      <c r="K96" s="18" t="s">
        <v>535</v>
      </c>
      <c r="L96" s="19">
        <v>11368</v>
      </c>
      <c r="M96" s="18" t="s">
        <v>295</v>
      </c>
      <c r="N96" s="20">
        <f t="shared" si="8"/>
        <v>64319000000</v>
      </c>
    </row>
    <row r="97" spans="1:14" x14ac:dyDescent="0.25">
      <c r="A97" s="18" t="s">
        <v>1892</v>
      </c>
      <c r="B97" s="28">
        <v>24.43</v>
      </c>
      <c r="C97" s="16" t="str">
        <f t="shared" si="12"/>
        <v>2001</v>
      </c>
      <c r="D97" t="str">
        <f t="shared" si="13"/>
        <v>42</v>
      </c>
      <c r="E97" s="21">
        <f t="shared" si="9"/>
        <v>37179</v>
      </c>
      <c r="F97" s="17" t="str">
        <f t="shared" si="10"/>
        <v>2001-10</v>
      </c>
      <c r="G97" s="25">
        <f t="shared" si="11"/>
        <v>24.18</v>
      </c>
      <c r="H97" s="4" t="s">
        <v>2093</v>
      </c>
      <c r="I97" s="27">
        <v>24.147999999999996</v>
      </c>
      <c r="J97" s="26">
        <v>24.147999999999996</v>
      </c>
      <c r="K97" s="18" t="s">
        <v>534</v>
      </c>
      <c r="L97" s="19">
        <v>12614</v>
      </c>
      <c r="M97" s="18" t="s">
        <v>294</v>
      </c>
      <c r="N97" s="20">
        <f t="shared" si="8"/>
        <v>72463000000</v>
      </c>
    </row>
    <row r="98" spans="1:14" x14ac:dyDescent="0.25">
      <c r="A98" s="18" t="s">
        <v>1891</v>
      </c>
      <c r="B98" s="28">
        <v>23.98</v>
      </c>
      <c r="C98" s="16" t="str">
        <f t="shared" si="12"/>
        <v>2001</v>
      </c>
      <c r="D98" t="str">
        <f t="shared" si="13"/>
        <v>43</v>
      </c>
      <c r="E98" s="21">
        <f t="shared" si="9"/>
        <v>37186</v>
      </c>
      <c r="F98" s="17" t="str">
        <f t="shared" si="10"/>
        <v>2001-10</v>
      </c>
      <c r="G98" s="25">
        <f t="shared" si="11"/>
        <v>24.18</v>
      </c>
      <c r="H98" s="4" t="s">
        <v>2094</v>
      </c>
      <c r="I98" s="27">
        <v>24.487500000000001</v>
      </c>
      <c r="J98" s="26">
        <v>24.487500000000001</v>
      </c>
      <c r="K98" s="18" t="s">
        <v>533</v>
      </c>
      <c r="L98" s="19">
        <v>11788</v>
      </c>
      <c r="M98" s="18" t="s">
        <v>293</v>
      </c>
      <c r="N98" s="20">
        <f t="shared" si="8"/>
        <v>72748000000</v>
      </c>
    </row>
    <row r="99" spans="1:14" x14ac:dyDescent="0.25">
      <c r="A99" s="18" t="s">
        <v>1890</v>
      </c>
      <c r="B99" s="28">
        <v>23.28</v>
      </c>
      <c r="C99" s="16" t="str">
        <f t="shared" si="12"/>
        <v>2001</v>
      </c>
      <c r="D99" t="str">
        <f t="shared" si="13"/>
        <v>44</v>
      </c>
      <c r="E99" s="21">
        <f t="shared" si="9"/>
        <v>37193</v>
      </c>
      <c r="F99" s="17" t="str">
        <f t="shared" si="10"/>
        <v>2001-10</v>
      </c>
      <c r="G99" s="25">
        <f t="shared" si="11"/>
        <v>24.18</v>
      </c>
      <c r="H99" s="4" t="s">
        <v>2095</v>
      </c>
      <c r="I99" s="27">
        <v>26.287500000000001</v>
      </c>
      <c r="J99" s="26">
        <v>26.287500000000001</v>
      </c>
      <c r="K99" s="18" t="s">
        <v>532</v>
      </c>
      <c r="L99" s="19">
        <v>14608</v>
      </c>
      <c r="M99" s="18" t="s">
        <v>292</v>
      </c>
      <c r="N99" s="20">
        <f t="shared" si="8"/>
        <v>76030000000</v>
      </c>
    </row>
    <row r="100" spans="1:14" x14ac:dyDescent="0.25">
      <c r="A100" s="18" t="s">
        <v>1889</v>
      </c>
      <c r="B100" s="28">
        <v>23.5</v>
      </c>
      <c r="C100" s="16" t="str">
        <f t="shared" si="12"/>
        <v>2001</v>
      </c>
      <c r="D100" t="str">
        <f t="shared" si="13"/>
        <v>45</v>
      </c>
      <c r="E100" s="21">
        <f t="shared" si="9"/>
        <v>37200</v>
      </c>
      <c r="F100" s="17" t="str">
        <f t="shared" si="10"/>
        <v>2001-11</v>
      </c>
      <c r="G100" s="25">
        <f t="shared" si="11"/>
        <v>23.19</v>
      </c>
      <c r="H100" s="4" t="s">
        <v>2096</v>
      </c>
      <c r="I100" s="27">
        <v>26.142000000000003</v>
      </c>
      <c r="J100" s="26">
        <v>26.142000000000003</v>
      </c>
      <c r="K100" s="18" t="s">
        <v>531</v>
      </c>
      <c r="L100" s="19">
        <v>10198</v>
      </c>
      <c r="M100" s="18" t="s">
        <v>291</v>
      </c>
      <c r="N100" s="20">
        <f t="shared" si="8"/>
        <v>78569000000</v>
      </c>
    </row>
    <row r="101" spans="1:14" x14ac:dyDescent="0.25">
      <c r="A101" s="18" t="s">
        <v>1888</v>
      </c>
      <c r="B101" s="28">
        <v>23.09</v>
      </c>
      <c r="C101" s="16" t="str">
        <f t="shared" si="12"/>
        <v>2001</v>
      </c>
      <c r="D101" t="str">
        <f t="shared" si="13"/>
        <v>46</v>
      </c>
      <c r="E101" s="21">
        <f t="shared" si="9"/>
        <v>37207</v>
      </c>
      <c r="F101" s="17" t="str">
        <f t="shared" si="10"/>
        <v>2001-11</v>
      </c>
      <c r="G101" s="25">
        <f t="shared" si="11"/>
        <v>23.19</v>
      </c>
      <c r="H101" s="4" t="s">
        <v>2097</v>
      </c>
      <c r="I101" s="27">
        <v>25.587499999999999</v>
      </c>
      <c r="J101" s="26">
        <v>25.587499999999999</v>
      </c>
      <c r="K101" s="18" t="s">
        <v>530</v>
      </c>
      <c r="L101" s="19">
        <v>11817</v>
      </c>
      <c r="M101" s="18" t="s">
        <v>290</v>
      </c>
      <c r="N101" s="20">
        <f t="shared" si="8"/>
        <v>79394000000</v>
      </c>
    </row>
    <row r="102" spans="1:14" x14ac:dyDescent="0.25">
      <c r="A102" s="18" t="s">
        <v>1887</v>
      </c>
      <c r="B102" s="28">
        <v>23.22</v>
      </c>
      <c r="C102" s="16" t="str">
        <f t="shared" si="12"/>
        <v>2001</v>
      </c>
      <c r="D102" t="str">
        <f t="shared" si="13"/>
        <v>47</v>
      </c>
      <c r="E102" s="21">
        <f t="shared" si="9"/>
        <v>37214</v>
      </c>
      <c r="F102" s="17" t="str">
        <f t="shared" si="10"/>
        <v>2001-11</v>
      </c>
      <c r="G102" s="25">
        <f t="shared" si="11"/>
        <v>23.19</v>
      </c>
      <c r="H102" s="4" t="s">
        <v>2098</v>
      </c>
      <c r="I102" s="27">
        <v>26.977499999999999</v>
      </c>
      <c r="J102" s="26">
        <v>26.977499999999999</v>
      </c>
      <c r="K102" s="18" t="s">
        <v>529</v>
      </c>
      <c r="L102" s="19">
        <v>12379</v>
      </c>
      <c r="M102" s="18" t="s">
        <v>289</v>
      </c>
      <c r="N102" s="20">
        <f t="shared" si="8"/>
        <v>78533000000</v>
      </c>
    </row>
    <row r="103" spans="1:14" x14ac:dyDescent="0.25">
      <c r="A103" s="18" t="s">
        <v>1886</v>
      </c>
      <c r="B103" s="28">
        <v>22.95</v>
      </c>
      <c r="C103" s="16" t="str">
        <f t="shared" si="12"/>
        <v>2001</v>
      </c>
      <c r="D103" t="str">
        <f t="shared" si="13"/>
        <v>48</v>
      </c>
      <c r="E103" s="21">
        <f t="shared" si="9"/>
        <v>37221</v>
      </c>
      <c r="F103" s="17" t="str">
        <f t="shared" si="10"/>
        <v>2001-11</v>
      </c>
      <c r="G103" s="25">
        <f t="shared" si="11"/>
        <v>23.19</v>
      </c>
      <c r="H103" s="4" t="s">
        <v>2099</v>
      </c>
      <c r="I103" s="27">
        <v>26.095999999999997</v>
      </c>
      <c r="J103" s="26">
        <v>26.095999999999997</v>
      </c>
      <c r="K103" s="18" t="s">
        <v>528</v>
      </c>
      <c r="L103" s="19">
        <v>12019</v>
      </c>
      <c r="M103" s="18" t="s">
        <v>288</v>
      </c>
      <c r="N103" s="20">
        <f t="shared" si="8"/>
        <v>85041000000</v>
      </c>
    </row>
    <row r="104" spans="1:14" x14ac:dyDescent="0.25">
      <c r="A104" s="18" t="s">
        <v>1885</v>
      </c>
      <c r="B104" s="28">
        <v>22.71</v>
      </c>
      <c r="C104" s="16" t="str">
        <f t="shared" si="12"/>
        <v>2001</v>
      </c>
      <c r="D104" t="str">
        <f t="shared" si="13"/>
        <v>49</v>
      </c>
      <c r="E104" s="21">
        <f t="shared" si="9"/>
        <v>37228</v>
      </c>
      <c r="F104" s="17" t="str">
        <f t="shared" si="10"/>
        <v>2001-12</v>
      </c>
      <c r="G104" s="25">
        <f t="shared" si="11"/>
        <v>22.78</v>
      </c>
      <c r="H104" s="4" t="s">
        <v>2100</v>
      </c>
      <c r="I104" s="27">
        <v>26.787500000000001</v>
      </c>
      <c r="J104" s="26">
        <v>26.787500000000001</v>
      </c>
      <c r="K104" s="18" t="s">
        <v>527</v>
      </c>
      <c r="L104" s="19">
        <v>11703</v>
      </c>
      <c r="M104" s="18" t="s">
        <v>287</v>
      </c>
      <c r="N104" s="20">
        <f t="shared" si="8"/>
        <v>82807000000</v>
      </c>
    </row>
    <row r="105" spans="1:14" x14ac:dyDescent="0.25">
      <c r="A105" s="18" t="s">
        <v>1884</v>
      </c>
      <c r="B105" s="28">
        <v>22.8</v>
      </c>
      <c r="C105" s="16" t="str">
        <f t="shared" si="12"/>
        <v>2001</v>
      </c>
      <c r="D105" t="str">
        <f t="shared" si="13"/>
        <v>50</v>
      </c>
      <c r="E105" s="21">
        <f t="shared" si="9"/>
        <v>37235</v>
      </c>
      <c r="F105" s="17" t="str">
        <f t="shared" si="10"/>
        <v>2001-12</v>
      </c>
      <c r="G105" s="25">
        <f t="shared" si="11"/>
        <v>22.78</v>
      </c>
      <c r="H105" s="4" t="s">
        <v>2101</v>
      </c>
      <c r="I105" s="27">
        <v>26.442499999999999</v>
      </c>
      <c r="J105" s="26">
        <v>26.442499999999999</v>
      </c>
      <c r="K105" s="18" t="s">
        <v>526</v>
      </c>
      <c r="L105" s="19">
        <v>11952</v>
      </c>
      <c r="M105" s="18" t="s">
        <v>286</v>
      </c>
      <c r="N105" s="20">
        <f t="shared" si="8"/>
        <v>81263000000</v>
      </c>
    </row>
    <row r="106" spans="1:14" x14ac:dyDescent="0.25">
      <c r="A106" s="18" t="s">
        <v>1883</v>
      </c>
      <c r="B106" s="28">
        <v>22.86</v>
      </c>
      <c r="C106" s="16" t="str">
        <f t="shared" si="12"/>
        <v>2001</v>
      </c>
      <c r="D106" t="str">
        <f t="shared" si="13"/>
        <v>51</v>
      </c>
      <c r="E106" s="21">
        <f t="shared" si="9"/>
        <v>37242</v>
      </c>
      <c r="F106" s="17" t="str">
        <f t="shared" si="10"/>
        <v>2001-12</v>
      </c>
      <c r="G106" s="25">
        <f t="shared" si="11"/>
        <v>22.78</v>
      </c>
      <c r="H106" s="4" t="s">
        <v>2102</v>
      </c>
      <c r="I106" s="27">
        <v>28.669999999999998</v>
      </c>
      <c r="J106" s="26">
        <v>28.669999999999998</v>
      </c>
      <c r="K106" s="18" t="s">
        <v>525</v>
      </c>
      <c r="L106" s="19">
        <v>10943</v>
      </c>
      <c r="M106" s="18" t="s">
        <v>285</v>
      </c>
      <c r="N106" s="20">
        <f t="shared" si="8"/>
        <v>81115000000</v>
      </c>
    </row>
    <row r="107" spans="1:14" x14ac:dyDescent="0.25">
      <c r="A107" s="18" t="s">
        <v>1882</v>
      </c>
      <c r="B107" s="28">
        <v>22.75</v>
      </c>
      <c r="C107" s="16" t="str">
        <f t="shared" si="12"/>
        <v>2001</v>
      </c>
      <c r="D107" t="str">
        <f t="shared" si="13"/>
        <v>52</v>
      </c>
      <c r="E107" s="21">
        <f t="shared" si="9"/>
        <v>37249</v>
      </c>
      <c r="F107" s="17" t="str">
        <f t="shared" si="10"/>
        <v>2001-12</v>
      </c>
      <c r="G107" s="25">
        <f t="shared" si="11"/>
        <v>22.78</v>
      </c>
      <c r="H107" s="4" t="s">
        <v>2103</v>
      </c>
      <c r="I107" s="27">
        <v>28.6525</v>
      </c>
      <c r="J107" s="26">
        <v>28.6525</v>
      </c>
      <c r="K107" s="18" t="s">
        <v>524</v>
      </c>
      <c r="L107" s="19">
        <v>11822</v>
      </c>
      <c r="M107" s="18" t="s">
        <v>284</v>
      </c>
      <c r="N107" s="20">
        <f t="shared" si="8"/>
        <v>78140000000</v>
      </c>
    </row>
    <row r="108" spans="1:14" x14ac:dyDescent="0.25">
      <c r="A108" s="18" t="s">
        <v>1881</v>
      </c>
      <c r="B108" s="28">
        <v>23.21</v>
      </c>
      <c r="C108" s="16" t="str">
        <f t="shared" si="12"/>
        <v>2002</v>
      </c>
      <c r="D108" t="str">
        <f t="shared" si="13"/>
        <v>01</v>
      </c>
      <c r="E108" s="21">
        <f t="shared" si="9"/>
        <v>37257</v>
      </c>
      <c r="F108" s="17" t="str">
        <f t="shared" si="10"/>
        <v>2002-01</v>
      </c>
      <c r="G108" s="25">
        <f t="shared" si="11"/>
        <v>22.722000000000001</v>
      </c>
      <c r="H108" s="4" t="s">
        <v>2104</v>
      </c>
      <c r="I108" s="27">
        <v>27.866000000000003</v>
      </c>
      <c r="J108" s="26">
        <v>27.866000000000003</v>
      </c>
      <c r="K108" s="18" t="s">
        <v>523</v>
      </c>
      <c r="L108" s="19">
        <v>12851</v>
      </c>
      <c r="M108" s="18" t="s">
        <v>283</v>
      </c>
      <c r="N108" s="20">
        <f t="shared" si="8"/>
        <v>74339000000</v>
      </c>
    </row>
    <row r="109" spans="1:14" x14ac:dyDescent="0.25">
      <c r="A109" s="18" t="s">
        <v>1880</v>
      </c>
      <c r="B109" s="28">
        <v>22.51</v>
      </c>
      <c r="C109" s="16" t="str">
        <f t="shared" si="12"/>
        <v>2002</v>
      </c>
      <c r="D109" t="str">
        <f t="shared" si="13"/>
        <v>02</v>
      </c>
      <c r="E109" s="21">
        <f t="shared" si="9"/>
        <v>37264</v>
      </c>
      <c r="F109" s="17" t="str">
        <f t="shared" si="10"/>
        <v>2002-01</v>
      </c>
      <c r="G109" s="25">
        <f t="shared" si="11"/>
        <v>22.722000000000001</v>
      </c>
      <c r="H109" s="4" t="s">
        <v>2105</v>
      </c>
      <c r="I109" s="27">
        <v>27.002499999999998</v>
      </c>
      <c r="J109" s="26">
        <v>27.002499999999998</v>
      </c>
      <c r="K109" s="18" t="s">
        <v>522</v>
      </c>
      <c r="L109" s="19">
        <v>13982</v>
      </c>
      <c r="M109" s="18" t="s">
        <v>282</v>
      </c>
      <c r="N109" s="20">
        <f t="shared" si="8"/>
        <v>83774000000</v>
      </c>
    </row>
    <row r="110" spans="1:14" x14ac:dyDescent="0.25">
      <c r="A110" s="18" t="s">
        <v>1879</v>
      </c>
      <c r="B110" s="28">
        <v>22.28</v>
      </c>
      <c r="C110" s="16" t="str">
        <f t="shared" si="12"/>
        <v>2002</v>
      </c>
      <c r="D110" t="str">
        <f t="shared" si="13"/>
        <v>03</v>
      </c>
      <c r="E110" s="21">
        <f t="shared" si="9"/>
        <v>37271</v>
      </c>
      <c r="F110" s="17" t="str">
        <f t="shared" si="10"/>
        <v>2002-01</v>
      </c>
      <c r="G110" s="25">
        <f t="shared" si="11"/>
        <v>22.722000000000001</v>
      </c>
      <c r="H110" s="4" t="s">
        <v>2106</v>
      </c>
      <c r="I110" s="27">
        <v>26.34</v>
      </c>
      <c r="J110" s="26">
        <v>26.34</v>
      </c>
      <c r="K110" s="18" t="s">
        <v>521</v>
      </c>
      <c r="L110" s="19">
        <v>13194</v>
      </c>
      <c r="M110" s="18" t="s">
        <v>281</v>
      </c>
      <c r="N110" s="20">
        <f t="shared" si="8"/>
        <v>77775000000</v>
      </c>
    </row>
    <row r="111" spans="1:14" x14ac:dyDescent="0.25">
      <c r="A111" s="18" t="s">
        <v>1878</v>
      </c>
      <c r="B111" s="28">
        <v>22.96</v>
      </c>
      <c r="C111" s="16" t="str">
        <f t="shared" si="12"/>
        <v>2002</v>
      </c>
      <c r="D111" t="str">
        <f t="shared" si="13"/>
        <v>04</v>
      </c>
      <c r="E111" s="21">
        <f t="shared" si="9"/>
        <v>37278</v>
      </c>
      <c r="F111" s="17" t="str">
        <f t="shared" si="10"/>
        <v>2002-01</v>
      </c>
      <c r="G111" s="25">
        <f t="shared" si="11"/>
        <v>22.722000000000001</v>
      </c>
      <c r="H111" s="4" t="s">
        <v>2107</v>
      </c>
      <c r="I111" s="27">
        <v>27.557500000000001</v>
      </c>
      <c r="J111" s="26">
        <v>27.557500000000001</v>
      </c>
      <c r="K111" s="18" t="s">
        <v>520</v>
      </c>
      <c r="L111" s="19">
        <v>13305</v>
      </c>
      <c r="M111" s="18" t="s">
        <v>280</v>
      </c>
      <c r="N111" s="20">
        <f t="shared" si="8"/>
        <v>72403000000</v>
      </c>
    </row>
    <row r="112" spans="1:14" x14ac:dyDescent="0.25">
      <c r="A112" s="18" t="s">
        <v>1877</v>
      </c>
      <c r="B112" s="28">
        <v>22.65</v>
      </c>
      <c r="C112" s="16" t="str">
        <f t="shared" si="12"/>
        <v>2002</v>
      </c>
      <c r="D112" t="str">
        <f t="shared" si="13"/>
        <v>05</v>
      </c>
      <c r="E112" s="21">
        <f t="shared" si="9"/>
        <v>37285</v>
      </c>
      <c r="F112" s="17" t="str">
        <f t="shared" si="10"/>
        <v>2002-01</v>
      </c>
      <c r="G112" s="25">
        <f t="shared" si="11"/>
        <v>22.722000000000001</v>
      </c>
      <c r="H112" s="4" t="s">
        <v>2108</v>
      </c>
      <c r="I112" s="27">
        <v>29.004000000000001</v>
      </c>
      <c r="J112" s="26">
        <v>29.004000000000001</v>
      </c>
      <c r="K112" s="18" t="s">
        <v>519</v>
      </c>
      <c r="L112" s="19">
        <v>14808</v>
      </c>
      <c r="M112" s="18" t="s">
        <v>279</v>
      </c>
      <c r="N112" s="20">
        <f t="shared" si="8"/>
        <v>68333000000</v>
      </c>
    </row>
    <row r="113" spans="1:14" x14ac:dyDescent="0.25">
      <c r="A113" s="18" t="s">
        <v>1876</v>
      </c>
      <c r="B113" s="28">
        <v>22.28</v>
      </c>
      <c r="C113" s="16" t="str">
        <f t="shared" si="12"/>
        <v>2002</v>
      </c>
      <c r="D113" t="str">
        <f t="shared" si="13"/>
        <v>06</v>
      </c>
      <c r="E113" s="21">
        <f t="shared" si="9"/>
        <v>37292</v>
      </c>
      <c r="F113" s="17" t="str">
        <f t="shared" si="10"/>
        <v>2002-02</v>
      </c>
      <c r="G113" s="25">
        <f t="shared" si="11"/>
        <v>22.512499999999999</v>
      </c>
      <c r="H113" s="4" t="s">
        <v>2109</v>
      </c>
      <c r="I113" s="27">
        <v>28.272500000000001</v>
      </c>
      <c r="J113" s="26">
        <v>28.272500000000001</v>
      </c>
      <c r="K113" s="18" t="s">
        <v>518</v>
      </c>
      <c r="L113" s="19">
        <v>13492</v>
      </c>
      <c r="M113" s="18" t="s">
        <v>278</v>
      </c>
      <c r="N113" s="20">
        <f t="shared" si="8"/>
        <v>65197000000</v>
      </c>
    </row>
    <row r="114" spans="1:14" x14ac:dyDescent="0.25">
      <c r="A114" s="18" t="s">
        <v>1875</v>
      </c>
      <c r="B114" s="28">
        <v>22.39</v>
      </c>
      <c r="C114" s="16" t="str">
        <f t="shared" si="12"/>
        <v>2002</v>
      </c>
      <c r="D114" t="str">
        <f t="shared" si="13"/>
        <v>07</v>
      </c>
      <c r="E114" s="21">
        <f t="shared" si="9"/>
        <v>37299</v>
      </c>
      <c r="F114" s="17" t="str">
        <f t="shared" si="10"/>
        <v>2002-02</v>
      </c>
      <c r="G114" s="25">
        <f t="shared" si="11"/>
        <v>22.512499999999999</v>
      </c>
      <c r="H114" s="4" t="s">
        <v>2110</v>
      </c>
      <c r="I114" s="27">
        <v>30.35</v>
      </c>
      <c r="J114" s="26">
        <v>30.35</v>
      </c>
      <c r="K114" s="18" t="s">
        <v>517</v>
      </c>
      <c r="L114" s="19">
        <v>15324</v>
      </c>
      <c r="M114" s="18" t="s">
        <v>277</v>
      </c>
      <c r="N114" s="20">
        <f t="shared" si="8"/>
        <v>69777000000</v>
      </c>
    </row>
    <row r="115" spans="1:14" x14ac:dyDescent="0.25">
      <c r="A115" s="18" t="s">
        <v>1874</v>
      </c>
      <c r="B115" s="28">
        <v>22.65</v>
      </c>
      <c r="C115" s="16" t="str">
        <f t="shared" si="12"/>
        <v>2002</v>
      </c>
      <c r="D115" t="str">
        <f t="shared" si="13"/>
        <v>08</v>
      </c>
      <c r="E115" s="21">
        <f t="shared" si="9"/>
        <v>37306</v>
      </c>
      <c r="F115" s="17" t="str">
        <f t="shared" si="10"/>
        <v>2002-02</v>
      </c>
      <c r="G115" s="25">
        <f t="shared" si="11"/>
        <v>22.512499999999999</v>
      </c>
      <c r="H115" s="4" t="s">
        <v>2111</v>
      </c>
      <c r="I115" s="27">
        <v>32.066000000000003</v>
      </c>
      <c r="J115" s="26">
        <v>32.066000000000003</v>
      </c>
      <c r="K115" s="18" t="s">
        <v>516</v>
      </c>
      <c r="L115" s="19">
        <v>16715</v>
      </c>
      <c r="M115" s="18" t="s">
        <v>276</v>
      </c>
      <c r="N115" s="20">
        <f t="shared" si="8"/>
        <v>55656000000</v>
      </c>
    </row>
    <row r="116" spans="1:14" x14ac:dyDescent="0.25">
      <c r="A116" s="18" t="s">
        <v>1873</v>
      </c>
      <c r="B116" s="28">
        <v>22.73</v>
      </c>
      <c r="C116" s="16" t="str">
        <f t="shared" si="12"/>
        <v>2002</v>
      </c>
      <c r="D116" t="str">
        <f t="shared" si="13"/>
        <v>09</v>
      </c>
      <c r="E116" s="21">
        <f t="shared" si="9"/>
        <v>37313</v>
      </c>
      <c r="F116" s="17" t="str">
        <f t="shared" si="10"/>
        <v>2002-02</v>
      </c>
      <c r="G116" s="25">
        <f t="shared" si="11"/>
        <v>22.512499999999999</v>
      </c>
      <c r="H116" s="4" t="s">
        <v>2112</v>
      </c>
      <c r="I116" s="27">
        <v>35.1875</v>
      </c>
      <c r="J116" s="26">
        <v>35.1875</v>
      </c>
      <c r="K116" s="18" t="s">
        <v>515</v>
      </c>
      <c r="L116" s="19">
        <v>16057</v>
      </c>
      <c r="M116" s="18" t="s">
        <v>275</v>
      </c>
      <c r="N116" s="20">
        <f t="shared" si="8"/>
        <v>53449000000</v>
      </c>
    </row>
    <row r="117" spans="1:14" x14ac:dyDescent="0.25">
      <c r="A117" s="18" t="s">
        <v>1872</v>
      </c>
      <c r="B117" s="28">
        <v>23.05</v>
      </c>
      <c r="C117" s="16" t="str">
        <f t="shared" si="12"/>
        <v>2002</v>
      </c>
      <c r="D117" t="str">
        <f t="shared" si="13"/>
        <v>10</v>
      </c>
      <c r="E117" s="21">
        <f t="shared" si="9"/>
        <v>37320</v>
      </c>
      <c r="F117" s="17" t="str">
        <f t="shared" si="10"/>
        <v>2002-03</v>
      </c>
      <c r="G117" s="25">
        <f t="shared" si="11"/>
        <v>23.587499999999999</v>
      </c>
      <c r="H117" s="4" t="s">
        <v>2113</v>
      </c>
      <c r="I117" s="27">
        <v>35.167499999999997</v>
      </c>
      <c r="J117" s="26">
        <v>35.167499999999997</v>
      </c>
      <c r="K117" s="18" t="s">
        <v>514</v>
      </c>
      <c r="L117" s="19">
        <v>15536</v>
      </c>
      <c r="M117" s="18" t="s">
        <v>274</v>
      </c>
      <c r="N117" s="20">
        <f t="shared" si="8"/>
        <v>56855000000</v>
      </c>
    </row>
    <row r="118" spans="1:14" x14ac:dyDescent="0.25">
      <c r="A118" s="18" t="s">
        <v>1871</v>
      </c>
      <c r="B118" s="28">
        <v>23.57</v>
      </c>
      <c r="C118" s="16" t="str">
        <f t="shared" si="12"/>
        <v>2002</v>
      </c>
      <c r="D118" t="str">
        <f t="shared" si="13"/>
        <v>11</v>
      </c>
      <c r="E118" s="21">
        <f t="shared" si="9"/>
        <v>37327</v>
      </c>
      <c r="F118" s="17" t="str">
        <f t="shared" si="10"/>
        <v>2002-03</v>
      </c>
      <c r="G118" s="25">
        <f t="shared" si="11"/>
        <v>23.587499999999999</v>
      </c>
      <c r="H118" s="4" t="s">
        <v>2114</v>
      </c>
      <c r="I118" s="27">
        <v>36.658000000000001</v>
      </c>
      <c r="J118" s="26">
        <v>36.658000000000001</v>
      </c>
      <c r="K118" s="18" t="s">
        <v>513</v>
      </c>
      <c r="L118" s="19">
        <v>14976</v>
      </c>
      <c r="M118" s="18" t="s">
        <v>273</v>
      </c>
      <c r="N118" s="20">
        <f t="shared" si="8"/>
        <v>60843000000</v>
      </c>
    </row>
    <row r="119" spans="1:14" x14ac:dyDescent="0.25">
      <c r="A119" s="18" t="s">
        <v>1870</v>
      </c>
      <c r="B119" s="28">
        <v>23.94</v>
      </c>
      <c r="C119" s="16" t="str">
        <f t="shared" si="12"/>
        <v>2002</v>
      </c>
      <c r="D119" t="str">
        <f t="shared" si="13"/>
        <v>12</v>
      </c>
      <c r="E119" s="21">
        <f t="shared" si="9"/>
        <v>37334</v>
      </c>
      <c r="F119" s="17" t="str">
        <f t="shared" si="10"/>
        <v>2002-03</v>
      </c>
      <c r="G119" s="25">
        <f t="shared" si="11"/>
        <v>23.587499999999999</v>
      </c>
      <c r="H119" s="4" t="s">
        <v>2115</v>
      </c>
      <c r="I119" s="27">
        <v>30.295000000000002</v>
      </c>
      <c r="J119" s="26">
        <v>30.295000000000002</v>
      </c>
      <c r="K119" s="18" t="s">
        <v>512</v>
      </c>
      <c r="L119" s="19">
        <v>15988</v>
      </c>
      <c r="M119" s="18" t="s">
        <v>272</v>
      </c>
      <c r="N119" s="20">
        <f t="shared" si="8"/>
        <v>54873000000</v>
      </c>
    </row>
    <row r="120" spans="1:14" x14ac:dyDescent="0.25">
      <c r="A120" s="18" t="s">
        <v>1869</v>
      </c>
      <c r="B120" s="28">
        <v>23.79</v>
      </c>
      <c r="C120" s="16" t="str">
        <f t="shared" si="12"/>
        <v>2002</v>
      </c>
      <c r="D120" t="str">
        <f t="shared" si="13"/>
        <v>13</v>
      </c>
      <c r="E120" s="21">
        <f t="shared" si="9"/>
        <v>37341</v>
      </c>
      <c r="F120" s="17" t="str">
        <f t="shared" si="10"/>
        <v>2002-03</v>
      </c>
      <c r="G120" s="25">
        <f t="shared" si="11"/>
        <v>23.587499999999999</v>
      </c>
      <c r="H120" s="4" t="s">
        <v>2116</v>
      </c>
      <c r="I120" s="27">
        <v>29.702500000000001</v>
      </c>
      <c r="J120" s="26">
        <v>29.702500000000001</v>
      </c>
      <c r="K120" s="18" t="s">
        <v>511</v>
      </c>
      <c r="L120" s="19">
        <v>15285</v>
      </c>
      <c r="M120" s="18" t="s">
        <v>271</v>
      </c>
      <c r="N120" s="20">
        <f t="shared" si="8"/>
        <v>57493000000</v>
      </c>
    </row>
    <row r="121" spans="1:14" x14ac:dyDescent="0.25">
      <c r="A121" s="18" t="s">
        <v>1868</v>
      </c>
      <c r="B121" s="28">
        <v>24.04</v>
      </c>
      <c r="C121" s="16" t="str">
        <f t="shared" si="12"/>
        <v>2002</v>
      </c>
      <c r="D121" t="str">
        <f t="shared" si="13"/>
        <v>14</v>
      </c>
      <c r="E121" s="21">
        <f t="shared" si="9"/>
        <v>37348</v>
      </c>
      <c r="F121" s="17" t="str">
        <f t="shared" si="10"/>
        <v>2002-04</v>
      </c>
      <c r="G121" s="25">
        <f t="shared" si="11"/>
        <v>23.974</v>
      </c>
      <c r="H121" s="4" t="s">
        <v>2117</v>
      </c>
      <c r="I121" s="27">
        <v>27.351999999999997</v>
      </c>
      <c r="J121" s="26">
        <v>27.351999999999997</v>
      </c>
      <c r="K121" s="18" t="s">
        <v>510</v>
      </c>
      <c r="L121" s="19">
        <v>16702</v>
      </c>
      <c r="M121" s="18" t="s">
        <v>270</v>
      </c>
      <c r="N121" s="20">
        <f t="shared" si="8"/>
        <v>63117000000</v>
      </c>
    </row>
    <row r="122" spans="1:14" x14ac:dyDescent="0.25">
      <c r="A122" s="18" t="s">
        <v>1867</v>
      </c>
      <c r="B122" s="28">
        <v>23.87</v>
      </c>
      <c r="C122" s="16" t="str">
        <f t="shared" si="12"/>
        <v>2002</v>
      </c>
      <c r="D122" t="str">
        <f t="shared" si="13"/>
        <v>15</v>
      </c>
      <c r="E122" s="21">
        <f t="shared" si="9"/>
        <v>37355</v>
      </c>
      <c r="F122" s="17" t="str">
        <f t="shared" si="10"/>
        <v>2002-04</v>
      </c>
      <c r="G122" s="25">
        <f t="shared" si="11"/>
        <v>23.974</v>
      </c>
      <c r="H122" s="4" t="s">
        <v>2118</v>
      </c>
      <c r="I122" s="27">
        <v>28.247499999999999</v>
      </c>
      <c r="J122" s="26">
        <v>28.247499999999999</v>
      </c>
      <c r="K122" s="18" t="s">
        <v>509</v>
      </c>
      <c r="L122" s="19">
        <v>16881</v>
      </c>
      <c r="M122" s="18" t="s">
        <v>269</v>
      </c>
      <c r="N122" s="20">
        <f t="shared" si="8"/>
        <v>63890000000</v>
      </c>
    </row>
    <row r="123" spans="1:14" x14ac:dyDescent="0.25">
      <c r="A123" s="18" t="s">
        <v>1866</v>
      </c>
      <c r="B123" s="28">
        <v>24.03</v>
      </c>
      <c r="C123" s="16" t="str">
        <f t="shared" si="12"/>
        <v>2002</v>
      </c>
      <c r="D123" t="str">
        <f t="shared" si="13"/>
        <v>16</v>
      </c>
      <c r="E123" s="21">
        <f t="shared" si="9"/>
        <v>37362</v>
      </c>
      <c r="F123" s="17" t="str">
        <f t="shared" si="10"/>
        <v>2002-04</v>
      </c>
      <c r="G123" s="25">
        <f t="shared" si="11"/>
        <v>23.974</v>
      </c>
      <c r="H123" s="4" t="s">
        <v>2119</v>
      </c>
      <c r="I123" s="27">
        <v>29.336000000000002</v>
      </c>
      <c r="J123" s="26">
        <v>29.336000000000002</v>
      </c>
      <c r="K123" s="18" t="s">
        <v>508</v>
      </c>
      <c r="L123" s="19">
        <v>15382</v>
      </c>
      <c r="M123" s="18" t="s">
        <v>268</v>
      </c>
      <c r="N123" s="20">
        <f t="shared" si="8"/>
        <v>61823000000</v>
      </c>
    </row>
    <row r="124" spans="1:14" x14ac:dyDescent="0.25">
      <c r="A124" s="18" t="s">
        <v>1865</v>
      </c>
      <c r="B124" s="28">
        <v>23.96</v>
      </c>
      <c r="C124" s="16" t="str">
        <f t="shared" si="12"/>
        <v>2002</v>
      </c>
      <c r="D124" t="str">
        <f t="shared" si="13"/>
        <v>17</v>
      </c>
      <c r="E124" s="21">
        <f t="shared" si="9"/>
        <v>37369</v>
      </c>
      <c r="F124" s="17" t="str">
        <f t="shared" si="10"/>
        <v>2002-04</v>
      </c>
      <c r="G124" s="25">
        <f t="shared" si="11"/>
        <v>23.974</v>
      </c>
      <c r="H124" s="4" t="s">
        <v>2120</v>
      </c>
      <c r="I124" s="27">
        <v>29.687999999999999</v>
      </c>
      <c r="J124" s="26">
        <v>29.687999999999999</v>
      </c>
      <c r="K124" s="18" t="s">
        <v>507</v>
      </c>
      <c r="L124" s="19">
        <v>17441</v>
      </c>
      <c r="M124" s="18" t="s">
        <v>267</v>
      </c>
      <c r="N124" s="20">
        <f t="shared" si="8"/>
        <v>63909000000</v>
      </c>
    </row>
    <row r="125" spans="1:14" x14ac:dyDescent="0.25">
      <c r="A125" s="18" t="s">
        <v>1864</v>
      </c>
      <c r="B125" s="28">
        <v>23.97</v>
      </c>
      <c r="C125" s="16" t="str">
        <f t="shared" si="12"/>
        <v>2002</v>
      </c>
      <c r="D125" t="str">
        <f t="shared" si="13"/>
        <v>18</v>
      </c>
      <c r="E125" s="21">
        <f t="shared" si="9"/>
        <v>37376</v>
      </c>
      <c r="F125" s="17" t="str">
        <f t="shared" si="10"/>
        <v>2002-04</v>
      </c>
      <c r="G125" s="25">
        <f t="shared" si="11"/>
        <v>23.974</v>
      </c>
      <c r="H125" s="4" t="s">
        <v>2121</v>
      </c>
      <c r="I125" s="27">
        <v>34.56</v>
      </c>
      <c r="J125" s="26">
        <v>34.56</v>
      </c>
      <c r="K125" s="18" t="s">
        <v>506</v>
      </c>
      <c r="L125" s="19">
        <v>14906</v>
      </c>
      <c r="M125" s="18" t="s">
        <v>266</v>
      </c>
      <c r="N125" s="20">
        <f t="shared" si="8"/>
        <v>66175000000</v>
      </c>
    </row>
    <row r="126" spans="1:14" x14ac:dyDescent="0.25">
      <c r="A126" s="18" t="s">
        <v>1863</v>
      </c>
      <c r="B126" s="28">
        <v>24</v>
      </c>
      <c r="C126" s="16" t="str">
        <f t="shared" si="12"/>
        <v>2002</v>
      </c>
      <c r="D126" t="str">
        <f t="shared" si="13"/>
        <v>19</v>
      </c>
      <c r="E126" s="21">
        <f t="shared" si="9"/>
        <v>37383</v>
      </c>
      <c r="F126" s="17" t="str">
        <f t="shared" si="10"/>
        <v>2002-05</v>
      </c>
      <c r="G126" s="25">
        <f t="shared" si="11"/>
        <v>24.664999999999999</v>
      </c>
      <c r="H126" s="4" t="s">
        <v>2122</v>
      </c>
      <c r="I126" s="27">
        <v>36.524999999999999</v>
      </c>
      <c r="J126" s="26">
        <v>36.524999999999999</v>
      </c>
      <c r="K126" s="18" t="s">
        <v>505</v>
      </c>
      <c r="L126" s="19">
        <v>16937</v>
      </c>
      <c r="M126" s="18" t="s">
        <v>265</v>
      </c>
      <c r="N126" s="20">
        <f t="shared" si="8"/>
        <v>71130000000</v>
      </c>
    </row>
    <row r="127" spans="1:14" x14ac:dyDescent="0.25">
      <c r="A127" s="18" t="s">
        <v>1862</v>
      </c>
      <c r="B127" s="28">
        <v>24.7</v>
      </c>
      <c r="C127" s="16" t="str">
        <f t="shared" si="12"/>
        <v>2002</v>
      </c>
      <c r="D127" t="str">
        <f t="shared" si="13"/>
        <v>20</v>
      </c>
      <c r="E127" s="21">
        <f t="shared" si="9"/>
        <v>37390</v>
      </c>
      <c r="F127" s="17" t="str">
        <f t="shared" si="10"/>
        <v>2002-05</v>
      </c>
      <c r="G127" s="25">
        <f t="shared" si="11"/>
        <v>24.664999999999999</v>
      </c>
      <c r="H127" s="4" t="s">
        <v>2123</v>
      </c>
      <c r="I127" s="27">
        <v>38.853999999999999</v>
      </c>
      <c r="J127" s="26">
        <v>38.853999999999999</v>
      </c>
      <c r="K127" s="18" t="s">
        <v>504</v>
      </c>
      <c r="L127" s="19">
        <v>15477</v>
      </c>
      <c r="M127" s="18" t="s">
        <v>264</v>
      </c>
      <c r="N127" s="20">
        <f t="shared" si="8"/>
        <v>63015000000</v>
      </c>
    </row>
    <row r="128" spans="1:14" x14ac:dyDescent="0.25">
      <c r="A128" s="18" t="s">
        <v>1861</v>
      </c>
      <c r="B128" s="28">
        <v>25.21</v>
      </c>
      <c r="C128" s="16" t="str">
        <f t="shared" si="12"/>
        <v>2002</v>
      </c>
      <c r="D128" t="str">
        <f t="shared" si="13"/>
        <v>21</v>
      </c>
      <c r="E128" s="21">
        <f t="shared" si="9"/>
        <v>37397</v>
      </c>
      <c r="F128" s="17" t="str">
        <f t="shared" si="10"/>
        <v>2002-05</v>
      </c>
      <c r="G128" s="25">
        <f t="shared" si="11"/>
        <v>24.664999999999999</v>
      </c>
      <c r="H128" s="4" t="s">
        <v>2124</v>
      </c>
      <c r="I128" s="27">
        <v>39.7425</v>
      </c>
      <c r="J128" s="26">
        <v>39.7425</v>
      </c>
      <c r="K128" s="18" t="s">
        <v>503</v>
      </c>
      <c r="L128" s="19">
        <v>15581</v>
      </c>
      <c r="M128" s="18" t="s">
        <v>263</v>
      </c>
      <c r="N128" s="20">
        <f t="shared" si="8"/>
        <v>59043000000</v>
      </c>
    </row>
    <row r="129" spans="1:14" x14ac:dyDescent="0.25">
      <c r="A129" s="18" t="s">
        <v>1860</v>
      </c>
      <c r="B129" s="28">
        <v>24.75</v>
      </c>
      <c r="C129" s="16" t="str">
        <f t="shared" si="12"/>
        <v>2002</v>
      </c>
      <c r="D129" t="str">
        <f t="shared" si="13"/>
        <v>22</v>
      </c>
      <c r="E129" s="21">
        <f t="shared" si="9"/>
        <v>37404</v>
      </c>
      <c r="F129" s="17" t="str">
        <f t="shared" si="10"/>
        <v>2002-05</v>
      </c>
      <c r="G129" s="25">
        <f t="shared" si="11"/>
        <v>24.664999999999999</v>
      </c>
      <c r="H129" s="4" t="s">
        <v>2125</v>
      </c>
      <c r="I129" s="27">
        <v>38.760000000000005</v>
      </c>
      <c r="J129" s="26">
        <v>38.760000000000005</v>
      </c>
      <c r="K129" s="18" t="s">
        <v>502</v>
      </c>
      <c r="L129" s="19">
        <v>16496</v>
      </c>
      <c r="M129" s="18" t="s">
        <v>262</v>
      </c>
      <c r="N129" s="20">
        <f t="shared" si="8"/>
        <v>66522000000</v>
      </c>
    </row>
    <row r="130" spans="1:14" x14ac:dyDescent="0.25">
      <c r="A130" s="18" t="s">
        <v>1859</v>
      </c>
      <c r="B130" s="28">
        <v>24.24</v>
      </c>
      <c r="C130" s="16" t="str">
        <f t="shared" si="12"/>
        <v>2002</v>
      </c>
      <c r="D130" t="str">
        <f t="shared" si="13"/>
        <v>23</v>
      </c>
      <c r="E130" s="21">
        <f t="shared" si="9"/>
        <v>37411</v>
      </c>
      <c r="F130" s="17" t="str">
        <f t="shared" si="10"/>
        <v>2002-06</v>
      </c>
      <c r="G130" s="25">
        <f t="shared" si="11"/>
        <v>23.622500000000002</v>
      </c>
      <c r="H130" s="4" t="s">
        <v>2126</v>
      </c>
      <c r="I130" s="27">
        <v>39.327999999999996</v>
      </c>
      <c r="J130" s="26">
        <v>39.327999999999996</v>
      </c>
      <c r="K130" s="18" t="s">
        <v>501</v>
      </c>
      <c r="L130" s="19">
        <v>15002</v>
      </c>
      <c r="M130" s="18" t="s">
        <v>261</v>
      </c>
      <c r="N130" s="20">
        <f t="shared" si="8"/>
        <v>60853000000</v>
      </c>
    </row>
    <row r="131" spans="1:14" x14ac:dyDescent="0.25">
      <c r="A131" s="18" t="s">
        <v>1858</v>
      </c>
      <c r="B131" s="28">
        <v>23.63</v>
      </c>
      <c r="C131" s="16" t="str">
        <f t="shared" si="12"/>
        <v>2002</v>
      </c>
      <c r="D131" t="str">
        <f t="shared" si="13"/>
        <v>24</v>
      </c>
      <c r="E131" s="21">
        <f t="shared" si="9"/>
        <v>37418</v>
      </c>
      <c r="F131" s="17" t="str">
        <f t="shared" si="10"/>
        <v>2002-06</v>
      </c>
      <c r="G131" s="25">
        <f t="shared" si="11"/>
        <v>23.622500000000002</v>
      </c>
      <c r="H131" s="4" t="s">
        <v>2127</v>
      </c>
      <c r="I131" s="27">
        <v>39.589999999999996</v>
      </c>
      <c r="J131" s="26">
        <v>39.589999999999996</v>
      </c>
      <c r="K131" s="18" t="s">
        <v>500</v>
      </c>
      <c r="L131" s="19">
        <v>16251</v>
      </c>
      <c r="M131" s="18" t="s">
        <v>260</v>
      </c>
      <c r="N131" s="20">
        <f t="shared" si="8"/>
        <v>56488000000</v>
      </c>
    </row>
    <row r="132" spans="1:14" x14ac:dyDescent="0.25">
      <c r="A132" s="18" t="s">
        <v>1857</v>
      </c>
      <c r="B132" s="28">
        <v>23.44</v>
      </c>
      <c r="C132" s="16" t="str">
        <f t="shared" si="12"/>
        <v>2002</v>
      </c>
      <c r="D132" t="str">
        <f t="shared" si="13"/>
        <v>25</v>
      </c>
      <c r="E132" s="21">
        <f t="shared" si="9"/>
        <v>37425</v>
      </c>
      <c r="F132" s="17" t="str">
        <f t="shared" si="10"/>
        <v>2002-06</v>
      </c>
      <c r="G132" s="25">
        <f t="shared" si="11"/>
        <v>23.622500000000002</v>
      </c>
      <c r="H132" s="4" t="s">
        <v>2128</v>
      </c>
      <c r="I132" s="27">
        <v>37.222499999999997</v>
      </c>
      <c r="J132" s="26">
        <v>37.222499999999997</v>
      </c>
      <c r="K132" s="18" t="s">
        <v>499</v>
      </c>
      <c r="L132" s="19">
        <v>19028</v>
      </c>
      <c r="M132" s="18" t="s">
        <v>259</v>
      </c>
      <c r="N132" s="20">
        <f t="shared" ref="N132:N195" si="14">L372*1000000</f>
        <v>63770000000</v>
      </c>
    </row>
    <row r="133" spans="1:14" x14ac:dyDescent="0.25">
      <c r="A133" s="18" t="s">
        <v>1856</v>
      </c>
      <c r="B133" s="28">
        <v>23.18</v>
      </c>
      <c r="C133" s="16" t="str">
        <f t="shared" si="12"/>
        <v>2002</v>
      </c>
      <c r="D133" t="str">
        <f t="shared" si="13"/>
        <v>26</v>
      </c>
      <c r="E133" s="21">
        <f t="shared" ref="E133:E196" si="15">DATE(C133,1,1)+(D133-1)*7</f>
        <v>37432</v>
      </c>
      <c r="F133" s="17" t="str">
        <f t="shared" ref="F133:F196" si="16">TEXT(E133,"éééé-hh")</f>
        <v>2002-06</v>
      </c>
      <c r="G133" s="25">
        <f t="shared" ref="G133:G196" si="17">AVERAGEIF($F$4:$F$1353,F133,$B$4:$B$1353)</f>
        <v>23.622500000000002</v>
      </c>
      <c r="H133" s="4" t="s">
        <v>2129</v>
      </c>
      <c r="I133" s="27">
        <v>36.694000000000003</v>
      </c>
      <c r="J133" s="26">
        <v>36.694000000000003</v>
      </c>
      <c r="K133" s="18" t="s">
        <v>498</v>
      </c>
      <c r="L133" s="19">
        <v>23130</v>
      </c>
      <c r="M133" s="18" t="s">
        <v>258</v>
      </c>
      <c r="N133" s="20">
        <f t="shared" si="14"/>
        <v>66955000000</v>
      </c>
    </row>
    <row r="134" spans="1:14" x14ac:dyDescent="0.25">
      <c r="A134" s="18" t="s">
        <v>1855</v>
      </c>
      <c r="B134" s="28">
        <v>22.82</v>
      </c>
      <c r="C134" s="16" t="str">
        <f t="shared" si="12"/>
        <v>2002</v>
      </c>
      <c r="D134" t="str">
        <f t="shared" si="13"/>
        <v>27</v>
      </c>
      <c r="E134" s="21">
        <f t="shared" si="15"/>
        <v>37439</v>
      </c>
      <c r="F134" s="17" t="str">
        <f t="shared" si="16"/>
        <v>2002-07</v>
      </c>
      <c r="G134" s="25">
        <f t="shared" si="17"/>
        <v>22.9</v>
      </c>
      <c r="H134" s="4" t="s">
        <v>2130</v>
      </c>
      <c r="I134" s="27">
        <v>36.6325</v>
      </c>
      <c r="J134" s="26">
        <v>36.6325</v>
      </c>
      <c r="K134" s="18" t="s">
        <v>497</v>
      </c>
      <c r="L134" s="19">
        <v>21864</v>
      </c>
      <c r="M134" s="18" t="s">
        <v>257</v>
      </c>
      <c r="N134" s="20">
        <f t="shared" si="14"/>
        <v>73166000000</v>
      </c>
    </row>
    <row r="135" spans="1:14" x14ac:dyDescent="0.25">
      <c r="A135" s="18" t="s">
        <v>1854</v>
      </c>
      <c r="B135" s="28">
        <v>22.7</v>
      </c>
      <c r="C135" s="16" t="str">
        <f t="shared" si="12"/>
        <v>2002</v>
      </c>
      <c r="D135" t="str">
        <f t="shared" si="13"/>
        <v>28</v>
      </c>
      <c r="E135" s="21">
        <f t="shared" si="15"/>
        <v>37446</v>
      </c>
      <c r="F135" s="17" t="str">
        <f t="shared" si="16"/>
        <v>2002-07</v>
      </c>
      <c r="G135" s="25">
        <f t="shared" si="17"/>
        <v>22.9</v>
      </c>
      <c r="H135" s="4" t="s">
        <v>2131</v>
      </c>
      <c r="I135" s="27">
        <v>42.550000000000004</v>
      </c>
      <c r="J135" s="26">
        <v>42.550000000000004</v>
      </c>
      <c r="K135" s="18" t="s">
        <v>496</v>
      </c>
      <c r="L135" s="19">
        <v>19464</v>
      </c>
      <c r="M135" s="18" t="s">
        <v>256</v>
      </c>
      <c r="N135" s="20">
        <f t="shared" si="14"/>
        <v>77093000000</v>
      </c>
    </row>
    <row r="136" spans="1:14" x14ac:dyDescent="0.25">
      <c r="A136" s="18" t="s">
        <v>1853</v>
      </c>
      <c r="B136" s="28">
        <v>22.8</v>
      </c>
      <c r="C136" s="16" t="str">
        <f t="shared" si="12"/>
        <v>2002</v>
      </c>
      <c r="D136" t="str">
        <f t="shared" si="13"/>
        <v>29</v>
      </c>
      <c r="E136" s="21">
        <f t="shared" si="15"/>
        <v>37453</v>
      </c>
      <c r="F136" s="17" t="str">
        <f t="shared" si="16"/>
        <v>2002-07</v>
      </c>
      <c r="G136" s="25">
        <f t="shared" si="17"/>
        <v>22.9</v>
      </c>
      <c r="H136" s="4" t="s">
        <v>2132</v>
      </c>
      <c r="I136" s="27">
        <v>39.525999999999996</v>
      </c>
      <c r="J136" s="26">
        <v>39.525999999999996</v>
      </c>
      <c r="K136" s="18" t="s">
        <v>495</v>
      </c>
      <c r="L136" s="19">
        <v>19915</v>
      </c>
      <c r="M136" s="18" t="s">
        <v>255</v>
      </c>
      <c r="N136" s="20">
        <f t="shared" si="14"/>
        <v>76393000000</v>
      </c>
    </row>
    <row r="137" spans="1:14" x14ac:dyDescent="0.25">
      <c r="A137" s="18" t="s">
        <v>1852</v>
      </c>
      <c r="B137" s="28">
        <v>22.93</v>
      </c>
      <c r="C137" s="16" t="str">
        <f t="shared" si="12"/>
        <v>2002</v>
      </c>
      <c r="D137" t="str">
        <f t="shared" si="13"/>
        <v>30</v>
      </c>
      <c r="E137" s="21">
        <f t="shared" si="15"/>
        <v>37460</v>
      </c>
      <c r="F137" s="17" t="str">
        <f t="shared" si="16"/>
        <v>2002-07</v>
      </c>
      <c r="G137" s="25">
        <f t="shared" si="17"/>
        <v>22.9</v>
      </c>
      <c r="H137" s="4" t="s">
        <v>2133</v>
      </c>
      <c r="I137" s="27">
        <v>40.755000000000003</v>
      </c>
      <c r="J137" s="26">
        <v>40.755000000000003</v>
      </c>
      <c r="K137" s="18" t="s">
        <v>494</v>
      </c>
      <c r="L137" s="19">
        <v>16657</v>
      </c>
      <c r="M137" s="18" t="s">
        <v>254</v>
      </c>
      <c r="N137" s="20">
        <f t="shared" si="14"/>
        <v>71457000000</v>
      </c>
    </row>
    <row r="138" spans="1:14" x14ac:dyDescent="0.25">
      <c r="A138" s="18" t="s">
        <v>1851</v>
      </c>
      <c r="B138" s="28">
        <v>23.25</v>
      </c>
      <c r="C138" s="16" t="str">
        <f t="shared" si="12"/>
        <v>2002</v>
      </c>
      <c r="D138" t="str">
        <f t="shared" si="13"/>
        <v>31</v>
      </c>
      <c r="E138" s="21">
        <f t="shared" si="15"/>
        <v>37467</v>
      </c>
      <c r="F138" s="17" t="str">
        <f t="shared" si="16"/>
        <v>2002-07</v>
      </c>
      <c r="G138" s="25">
        <f t="shared" si="17"/>
        <v>22.9</v>
      </c>
      <c r="H138" s="4" t="s">
        <v>2134</v>
      </c>
      <c r="I138" s="27">
        <v>40.682499999999997</v>
      </c>
      <c r="J138" s="26">
        <v>40.682499999999997</v>
      </c>
      <c r="K138" s="18" t="s">
        <v>493</v>
      </c>
      <c r="L138" s="19">
        <v>17496</v>
      </c>
      <c r="M138" s="18" t="s">
        <v>253</v>
      </c>
      <c r="N138" s="20">
        <f t="shared" si="14"/>
        <v>82203000000</v>
      </c>
    </row>
    <row r="139" spans="1:14" x14ac:dyDescent="0.25">
      <c r="A139" s="18" t="s">
        <v>1850</v>
      </c>
      <c r="B139" s="28">
        <v>24.1</v>
      </c>
      <c r="C139" s="16" t="str">
        <f t="shared" si="12"/>
        <v>2002</v>
      </c>
      <c r="D139" t="str">
        <f t="shared" si="13"/>
        <v>32</v>
      </c>
      <c r="E139" s="21">
        <f t="shared" si="15"/>
        <v>37474</v>
      </c>
      <c r="F139" s="17" t="str">
        <f t="shared" si="16"/>
        <v>2002-08</v>
      </c>
      <c r="G139" s="25">
        <f t="shared" si="17"/>
        <v>23.962500000000002</v>
      </c>
      <c r="H139" s="4" t="s">
        <v>2135</v>
      </c>
      <c r="I139" s="27">
        <v>42.762</v>
      </c>
      <c r="J139" s="26">
        <v>42.762</v>
      </c>
      <c r="K139" s="18" t="s">
        <v>492</v>
      </c>
      <c r="L139" s="19">
        <v>20082</v>
      </c>
      <c r="M139" s="18" t="s">
        <v>252</v>
      </c>
      <c r="N139" s="20">
        <f t="shared" si="14"/>
        <v>78141000000</v>
      </c>
    </row>
    <row r="140" spans="1:14" x14ac:dyDescent="0.25">
      <c r="A140" s="18" t="s">
        <v>1849</v>
      </c>
      <c r="B140" s="28">
        <v>24.05</v>
      </c>
      <c r="C140" s="16" t="str">
        <f t="shared" si="12"/>
        <v>2002</v>
      </c>
      <c r="D140" t="str">
        <f t="shared" si="13"/>
        <v>33</v>
      </c>
      <c r="E140" s="21">
        <f t="shared" si="15"/>
        <v>37481</v>
      </c>
      <c r="F140" s="17" t="str">
        <f t="shared" si="16"/>
        <v>2002-08</v>
      </c>
      <c r="G140" s="25">
        <f t="shared" si="17"/>
        <v>23.962500000000002</v>
      </c>
      <c r="H140" s="4" t="s">
        <v>2136</v>
      </c>
      <c r="I140" s="27">
        <v>37.887500000000003</v>
      </c>
      <c r="J140" s="26">
        <v>37.887500000000003</v>
      </c>
      <c r="K140" s="18" t="s">
        <v>491</v>
      </c>
      <c r="L140" s="19">
        <v>18580</v>
      </c>
      <c r="M140" s="18" t="s">
        <v>251</v>
      </c>
      <c r="N140" s="20">
        <f t="shared" si="14"/>
        <v>69312000000</v>
      </c>
    </row>
    <row r="141" spans="1:14" x14ac:dyDescent="0.25">
      <c r="A141" s="18" t="s">
        <v>1848</v>
      </c>
      <c r="B141" s="28">
        <v>24.22</v>
      </c>
      <c r="C141" s="16" t="str">
        <f t="shared" si="12"/>
        <v>2002</v>
      </c>
      <c r="D141" t="str">
        <f t="shared" si="13"/>
        <v>34</v>
      </c>
      <c r="E141" s="21">
        <f t="shared" si="15"/>
        <v>37488</v>
      </c>
      <c r="F141" s="17" t="str">
        <f t="shared" si="16"/>
        <v>2002-08</v>
      </c>
      <c r="G141" s="25">
        <f t="shared" si="17"/>
        <v>23.962500000000002</v>
      </c>
      <c r="H141" s="4" t="s">
        <v>2137</v>
      </c>
      <c r="I141" s="27">
        <v>31.907499999999999</v>
      </c>
      <c r="J141" s="26">
        <v>31.907499999999999</v>
      </c>
      <c r="K141" s="18" t="s">
        <v>490</v>
      </c>
      <c r="L141" s="19">
        <v>18378</v>
      </c>
      <c r="M141" s="18" t="s">
        <v>250</v>
      </c>
      <c r="N141" s="20">
        <f t="shared" si="14"/>
        <v>67057000000</v>
      </c>
    </row>
    <row r="142" spans="1:14" x14ac:dyDescent="0.25">
      <c r="A142" s="18" t="s">
        <v>1847</v>
      </c>
      <c r="B142" s="28">
        <v>23.48</v>
      </c>
      <c r="C142" s="16" t="str">
        <f t="shared" si="12"/>
        <v>2002</v>
      </c>
      <c r="D142" t="str">
        <f t="shared" si="13"/>
        <v>35</v>
      </c>
      <c r="E142" s="21">
        <f t="shared" si="15"/>
        <v>37495</v>
      </c>
      <c r="F142" s="17" t="str">
        <f t="shared" si="16"/>
        <v>2002-08</v>
      </c>
      <c r="G142" s="25">
        <f t="shared" si="17"/>
        <v>23.962500000000002</v>
      </c>
      <c r="H142" s="4" t="s">
        <v>2138</v>
      </c>
      <c r="I142" s="27">
        <v>30.898000000000003</v>
      </c>
      <c r="J142" s="26">
        <v>30.898000000000003</v>
      </c>
      <c r="K142" s="18" t="s">
        <v>489</v>
      </c>
      <c r="L142" s="19">
        <v>17986</v>
      </c>
      <c r="M142" s="18" t="s">
        <v>249</v>
      </c>
      <c r="N142" s="20">
        <f t="shared" si="14"/>
        <v>71986000000</v>
      </c>
    </row>
    <row r="143" spans="1:14" x14ac:dyDescent="0.25">
      <c r="A143" s="18" t="s">
        <v>1846</v>
      </c>
      <c r="B143" s="28">
        <v>23.37</v>
      </c>
      <c r="C143" s="16" t="str">
        <f t="shared" si="12"/>
        <v>2002</v>
      </c>
      <c r="D143" t="str">
        <f t="shared" si="13"/>
        <v>36</v>
      </c>
      <c r="E143" s="21">
        <f t="shared" si="15"/>
        <v>37502</v>
      </c>
      <c r="F143" s="17" t="str">
        <f t="shared" si="16"/>
        <v>2002-09</v>
      </c>
      <c r="G143" s="25">
        <f t="shared" si="17"/>
        <v>23.619999999999997</v>
      </c>
      <c r="H143" s="4" t="s">
        <v>2139</v>
      </c>
      <c r="I143" s="27">
        <v>28.08</v>
      </c>
      <c r="J143" s="26">
        <v>28.08</v>
      </c>
      <c r="K143" s="18" t="s">
        <v>488</v>
      </c>
      <c r="L143" s="19">
        <v>14420</v>
      </c>
      <c r="M143" s="18" t="s">
        <v>248</v>
      </c>
      <c r="N143" s="20">
        <f t="shared" si="14"/>
        <v>71827000000</v>
      </c>
    </row>
    <row r="144" spans="1:14" x14ac:dyDescent="0.25">
      <c r="A144" s="18" t="s">
        <v>1845</v>
      </c>
      <c r="B144" s="28">
        <v>23.71</v>
      </c>
      <c r="C144" s="16" t="str">
        <f t="shared" si="12"/>
        <v>2002</v>
      </c>
      <c r="D144" t="str">
        <f t="shared" si="13"/>
        <v>37</v>
      </c>
      <c r="E144" s="21">
        <f t="shared" si="15"/>
        <v>37509</v>
      </c>
      <c r="F144" s="17" t="str">
        <f t="shared" si="16"/>
        <v>2002-09</v>
      </c>
      <c r="G144" s="25">
        <f t="shared" si="17"/>
        <v>23.619999999999997</v>
      </c>
      <c r="H144" s="4" t="s">
        <v>2140</v>
      </c>
      <c r="I144" s="27">
        <v>26.315000000000001</v>
      </c>
      <c r="J144" s="26">
        <v>26.315000000000001</v>
      </c>
      <c r="K144" s="18" t="s">
        <v>487</v>
      </c>
      <c r="L144" s="19">
        <v>20499</v>
      </c>
      <c r="M144" s="18" t="s">
        <v>247</v>
      </c>
      <c r="N144" s="20">
        <f t="shared" si="14"/>
        <v>74834000000</v>
      </c>
    </row>
    <row r="145" spans="1:14" x14ac:dyDescent="0.25">
      <c r="A145" s="18" t="s">
        <v>1844</v>
      </c>
      <c r="B145" s="28">
        <v>23.55</v>
      </c>
      <c r="C145" s="16" t="str">
        <f t="shared" si="12"/>
        <v>2002</v>
      </c>
      <c r="D145" t="str">
        <f t="shared" si="13"/>
        <v>38</v>
      </c>
      <c r="E145" s="21">
        <f t="shared" si="15"/>
        <v>37516</v>
      </c>
      <c r="F145" s="17" t="str">
        <f t="shared" si="16"/>
        <v>2002-09</v>
      </c>
      <c r="G145" s="25">
        <f t="shared" si="17"/>
        <v>23.619999999999997</v>
      </c>
      <c r="H145" s="4" t="s">
        <v>2141</v>
      </c>
      <c r="I145" s="27">
        <v>23.513999999999999</v>
      </c>
      <c r="J145" s="26">
        <v>23.513999999999999</v>
      </c>
      <c r="K145" s="18" t="s">
        <v>486</v>
      </c>
      <c r="L145" s="19">
        <v>19386</v>
      </c>
      <c r="M145" s="18" t="s">
        <v>246</v>
      </c>
      <c r="N145" s="20">
        <f t="shared" si="14"/>
        <v>72089000000</v>
      </c>
    </row>
    <row r="146" spans="1:14" x14ac:dyDescent="0.25">
      <c r="A146" s="18" t="s">
        <v>1843</v>
      </c>
      <c r="B146" s="28">
        <v>23.85</v>
      </c>
      <c r="C146" s="16" t="str">
        <f t="shared" si="12"/>
        <v>2002</v>
      </c>
      <c r="D146" t="str">
        <f t="shared" si="13"/>
        <v>39</v>
      </c>
      <c r="E146" s="21">
        <f t="shared" si="15"/>
        <v>37523</v>
      </c>
      <c r="F146" s="17" t="str">
        <f t="shared" si="16"/>
        <v>2002-09</v>
      </c>
      <c r="G146" s="25">
        <f t="shared" si="17"/>
        <v>23.619999999999997</v>
      </c>
      <c r="H146" s="4" t="s">
        <v>2142</v>
      </c>
      <c r="I146" s="27">
        <v>25.4</v>
      </c>
      <c r="J146" s="26">
        <v>25.4</v>
      </c>
      <c r="K146" s="18" t="s">
        <v>485</v>
      </c>
      <c r="L146" s="19">
        <v>17851</v>
      </c>
      <c r="M146" s="18" t="s">
        <v>245</v>
      </c>
      <c r="N146" s="20">
        <f t="shared" si="14"/>
        <v>81756000000</v>
      </c>
    </row>
    <row r="147" spans="1:14" x14ac:dyDescent="0.25">
      <c r="A147" s="18" t="s">
        <v>1842</v>
      </c>
      <c r="B147" s="28">
        <v>23.74</v>
      </c>
      <c r="C147" s="16" t="str">
        <f t="shared" si="12"/>
        <v>2002</v>
      </c>
      <c r="D147" t="str">
        <f t="shared" si="13"/>
        <v>40</v>
      </c>
      <c r="E147" s="21">
        <f t="shared" si="15"/>
        <v>37530</v>
      </c>
      <c r="F147" s="17" t="str">
        <f t="shared" si="16"/>
        <v>2002-10</v>
      </c>
      <c r="G147" s="25">
        <f t="shared" si="17"/>
        <v>23.332000000000001</v>
      </c>
      <c r="H147" s="4" t="s">
        <v>2143</v>
      </c>
      <c r="I147" s="27">
        <v>26.922499999999999</v>
      </c>
      <c r="J147" s="26">
        <v>26.922499999999999</v>
      </c>
      <c r="K147" s="18" t="s">
        <v>484</v>
      </c>
      <c r="L147" s="19">
        <v>19066</v>
      </c>
      <c r="M147" s="18" t="s">
        <v>244</v>
      </c>
      <c r="N147" s="20">
        <f t="shared" si="14"/>
        <v>81538000000</v>
      </c>
    </row>
    <row r="148" spans="1:14" x14ac:dyDescent="0.25">
      <c r="A148" s="18" t="s">
        <v>1841</v>
      </c>
      <c r="B148" s="28">
        <v>23.68</v>
      </c>
      <c r="C148" s="16" t="str">
        <f t="shared" ref="C148:C211" si="18">LEFT(A148,4)</f>
        <v>2002</v>
      </c>
      <c r="D148" t="str">
        <f t="shared" ref="D148:D211" si="19">RIGHT(A148,2)</f>
        <v>41</v>
      </c>
      <c r="E148" s="21">
        <f t="shared" si="15"/>
        <v>37537</v>
      </c>
      <c r="F148" s="17" t="str">
        <f t="shared" si="16"/>
        <v>2002-10</v>
      </c>
      <c r="G148" s="25">
        <f t="shared" si="17"/>
        <v>23.332000000000001</v>
      </c>
      <c r="H148" s="4" t="s">
        <v>2144</v>
      </c>
      <c r="I148" s="27">
        <v>25.576000000000001</v>
      </c>
      <c r="J148" s="26">
        <v>25.576000000000001</v>
      </c>
      <c r="K148" s="18" t="s">
        <v>483</v>
      </c>
      <c r="L148" s="19">
        <v>18718</v>
      </c>
      <c r="M148" s="18" t="s">
        <v>243</v>
      </c>
      <c r="N148" s="20">
        <f t="shared" si="14"/>
        <v>83196000000</v>
      </c>
    </row>
    <row r="149" spans="1:14" x14ac:dyDescent="0.25">
      <c r="A149" s="18" t="s">
        <v>1840</v>
      </c>
      <c r="B149" s="28">
        <v>23.22</v>
      </c>
      <c r="C149" s="16" t="str">
        <f t="shared" si="18"/>
        <v>2002</v>
      </c>
      <c r="D149" t="str">
        <f t="shared" si="19"/>
        <v>42</v>
      </c>
      <c r="E149" s="21">
        <f t="shared" si="15"/>
        <v>37544</v>
      </c>
      <c r="F149" s="17" t="str">
        <f t="shared" si="16"/>
        <v>2002-10</v>
      </c>
      <c r="G149" s="25">
        <f t="shared" si="17"/>
        <v>23.332000000000001</v>
      </c>
      <c r="H149" s="4" t="s">
        <v>2145</v>
      </c>
      <c r="I149" s="27">
        <v>28.6525</v>
      </c>
      <c r="J149" s="26">
        <v>28.6525</v>
      </c>
      <c r="K149" s="18" t="s">
        <v>482</v>
      </c>
      <c r="L149" s="19">
        <v>16395</v>
      </c>
      <c r="M149" s="18" t="s">
        <v>242</v>
      </c>
      <c r="N149" s="20">
        <f t="shared" si="14"/>
        <v>86488000000</v>
      </c>
    </row>
    <row r="150" spans="1:14" x14ac:dyDescent="0.25">
      <c r="A150" s="18" t="s">
        <v>1839</v>
      </c>
      <c r="B150" s="28">
        <v>22.93</v>
      </c>
      <c r="C150" s="16" t="str">
        <f t="shared" si="18"/>
        <v>2002</v>
      </c>
      <c r="D150" t="str">
        <f t="shared" si="19"/>
        <v>43</v>
      </c>
      <c r="E150" s="21">
        <f t="shared" si="15"/>
        <v>37551</v>
      </c>
      <c r="F150" s="17" t="str">
        <f t="shared" si="16"/>
        <v>2002-10</v>
      </c>
      <c r="G150" s="25">
        <f t="shared" si="17"/>
        <v>23.332000000000001</v>
      </c>
      <c r="H150" s="4" t="s">
        <v>2146</v>
      </c>
      <c r="I150" s="27">
        <v>28.155000000000001</v>
      </c>
      <c r="J150" s="26">
        <v>28.155000000000001</v>
      </c>
      <c r="K150" s="18" t="s">
        <v>481</v>
      </c>
      <c r="L150" s="19">
        <v>21136</v>
      </c>
      <c r="M150" s="18" t="s">
        <v>241</v>
      </c>
      <c r="N150" s="20">
        <f t="shared" si="14"/>
        <v>90991000000</v>
      </c>
    </row>
    <row r="151" spans="1:14" x14ac:dyDescent="0.25">
      <c r="A151" s="18" t="s">
        <v>1838</v>
      </c>
      <c r="B151" s="28">
        <v>23.09</v>
      </c>
      <c r="C151" s="16" t="str">
        <f t="shared" si="18"/>
        <v>2002</v>
      </c>
      <c r="D151" t="str">
        <f t="shared" si="19"/>
        <v>44</v>
      </c>
      <c r="E151" s="21">
        <f t="shared" si="15"/>
        <v>37558</v>
      </c>
      <c r="F151" s="17" t="str">
        <f t="shared" si="16"/>
        <v>2002-10</v>
      </c>
      <c r="G151" s="25">
        <f t="shared" si="17"/>
        <v>23.332000000000001</v>
      </c>
      <c r="H151" s="4" t="s">
        <v>2147</v>
      </c>
      <c r="I151" s="27">
        <v>29.173999999999999</v>
      </c>
      <c r="J151" s="26">
        <v>29.173999999999999</v>
      </c>
      <c r="K151" s="18" t="s">
        <v>480</v>
      </c>
      <c r="L151" s="19">
        <v>17979</v>
      </c>
      <c r="M151" s="18" t="s">
        <v>240</v>
      </c>
      <c r="N151" s="20">
        <f t="shared" si="14"/>
        <v>75882000000</v>
      </c>
    </row>
    <row r="152" spans="1:14" x14ac:dyDescent="0.25">
      <c r="A152" s="18" t="s">
        <v>1837</v>
      </c>
      <c r="B152" s="28">
        <v>22.78</v>
      </c>
      <c r="C152" s="16" t="str">
        <f t="shared" si="18"/>
        <v>2002</v>
      </c>
      <c r="D152" t="str">
        <f t="shared" si="19"/>
        <v>45</v>
      </c>
      <c r="E152" s="21">
        <f t="shared" si="15"/>
        <v>37565</v>
      </c>
      <c r="F152" s="17" t="str">
        <f t="shared" si="16"/>
        <v>2002-11</v>
      </c>
      <c r="G152" s="25">
        <f t="shared" si="17"/>
        <v>22.452500000000001</v>
      </c>
      <c r="H152" s="4" t="s">
        <v>2148</v>
      </c>
      <c r="I152" s="27">
        <v>29.535</v>
      </c>
      <c r="J152" s="26">
        <v>29.535</v>
      </c>
      <c r="K152" s="18" t="s">
        <v>479</v>
      </c>
      <c r="L152" s="19">
        <v>17604</v>
      </c>
      <c r="M152" s="18" t="s">
        <v>239</v>
      </c>
      <c r="N152" s="20">
        <f t="shared" si="14"/>
        <v>81901000000</v>
      </c>
    </row>
    <row r="153" spans="1:14" x14ac:dyDescent="0.25">
      <c r="A153" s="18" t="s">
        <v>1836</v>
      </c>
      <c r="B153" s="28">
        <v>22.62</v>
      </c>
      <c r="C153" s="16" t="str">
        <f t="shared" si="18"/>
        <v>2002</v>
      </c>
      <c r="D153" t="str">
        <f t="shared" si="19"/>
        <v>46</v>
      </c>
      <c r="E153" s="21">
        <f t="shared" si="15"/>
        <v>37572</v>
      </c>
      <c r="F153" s="17" t="str">
        <f t="shared" si="16"/>
        <v>2002-11</v>
      </c>
      <c r="G153" s="25">
        <f t="shared" si="17"/>
        <v>22.452500000000001</v>
      </c>
      <c r="H153" s="4" t="s">
        <v>2149</v>
      </c>
      <c r="I153" s="27">
        <v>26.707500000000003</v>
      </c>
      <c r="J153" s="26">
        <v>26.707500000000003</v>
      </c>
      <c r="K153" s="18" t="s">
        <v>478</v>
      </c>
      <c r="L153" s="19">
        <v>18607</v>
      </c>
      <c r="M153" s="18" t="s">
        <v>238</v>
      </c>
      <c r="N153" s="20">
        <f t="shared" si="14"/>
        <v>71807000000</v>
      </c>
    </row>
    <row r="154" spans="1:14" x14ac:dyDescent="0.25">
      <c r="A154" s="18" t="s">
        <v>1835</v>
      </c>
      <c r="B154" s="28">
        <v>22.47</v>
      </c>
      <c r="C154" s="16" t="str">
        <f t="shared" si="18"/>
        <v>2002</v>
      </c>
      <c r="D154" t="str">
        <f t="shared" si="19"/>
        <v>47</v>
      </c>
      <c r="E154" s="21">
        <f t="shared" si="15"/>
        <v>37579</v>
      </c>
      <c r="F154" s="17" t="str">
        <f t="shared" si="16"/>
        <v>2002-11</v>
      </c>
      <c r="G154" s="25">
        <f t="shared" si="17"/>
        <v>22.452500000000001</v>
      </c>
      <c r="H154" s="4" t="s">
        <v>2150</v>
      </c>
      <c r="I154" s="27">
        <v>26.946000000000005</v>
      </c>
      <c r="J154" s="26">
        <v>26.946000000000005</v>
      </c>
      <c r="K154" s="18" t="s">
        <v>477</v>
      </c>
      <c r="L154" s="19">
        <v>17121</v>
      </c>
      <c r="M154" s="18" t="s">
        <v>237</v>
      </c>
      <c r="N154" s="20">
        <f t="shared" si="14"/>
        <v>71952000000</v>
      </c>
    </row>
    <row r="155" spans="1:14" x14ac:dyDescent="0.25">
      <c r="A155" s="18" t="s">
        <v>1834</v>
      </c>
      <c r="B155" s="28">
        <v>21.94</v>
      </c>
      <c r="C155" s="16" t="str">
        <f t="shared" si="18"/>
        <v>2002</v>
      </c>
      <c r="D155" t="str">
        <f t="shared" si="19"/>
        <v>48</v>
      </c>
      <c r="E155" s="21">
        <f t="shared" si="15"/>
        <v>37586</v>
      </c>
      <c r="F155" s="17" t="str">
        <f t="shared" si="16"/>
        <v>2002-11</v>
      </c>
      <c r="G155" s="25">
        <f t="shared" si="17"/>
        <v>22.452500000000001</v>
      </c>
      <c r="H155" s="4" t="s">
        <v>2151</v>
      </c>
      <c r="I155" s="27">
        <v>28.11</v>
      </c>
      <c r="J155" s="26">
        <v>28.11</v>
      </c>
      <c r="K155" s="18" t="s">
        <v>476</v>
      </c>
      <c r="L155" s="19">
        <v>15548</v>
      </c>
      <c r="M155" s="18" t="s">
        <v>236</v>
      </c>
      <c r="N155" s="20">
        <f t="shared" si="14"/>
        <v>74038000000</v>
      </c>
    </row>
    <row r="156" spans="1:14" x14ac:dyDescent="0.25">
      <c r="A156" s="18" t="s">
        <v>1833</v>
      </c>
      <c r="B156" s="28">
        <v>22.45</v>
      </c>
      <c r="C156" s="16" t="str">
        <f t="shared" si="18"/>
        <v>2002</v>
      </c>
      <c r="D156" t="str">
        <f t="shared" si="19"/>
        <v>49</v>
      </c>
      <c r="E156" s="21">
        <f t="shared" si="15"/>
        <v>37593</v>
      </c>
      <c r="F156" s="17" t="str">
        <f t="shared" si="16"/>
        <v>2002-12</v>
      </c>
      <c r="G156" s="25">
        <f t="shared" si="17"/>
        <v>23.085000000000001</v>
      </c>
      <c r="H156" s="4" t="s">
        <v>2152</v>
      </c>
      <c r="I156" s="27">
        <v>25.962</v>
      </c>
      <c r="J156" s="26">
        <v>25.962</v>
      </c>
      <c r="K156" s="18" t="s">
        <v>475</v>
      </c>
      <c r="L156" s="19">
        <v>18183</v>
      </c>
      <c r="M156" s="18" t="s">
        <v>235</v>
      </c>
      <c r="N156" s="20">
        <f t="shared" si="14"/>
        <v>65114000000</v>
      </c>
    </row>
    <row r="157" spans="1:14" x14ac:dyDescent="0.25">
      <c r="A157" s="18" t="s">
        <v>1832</v>
      </c>
      <c r="B157" s="28">
        <v>23</v>
      </c>
      <c r="C157" s="16" t="str">
        <f t="shared" si="18"/>
        <v>2002</v>
      </c>
      <c r="D157" t="str">
        <f t="shared" si="19"/>
        <v>50</v>
      </c>
      <c r="E157" s="21">
        <f t="shared" si="15"/>
        <v>37600</v>
      </c>
      <c r="F157" s="17" t="str">
        <f t="shared" si="16"/>
        <v>2002-12</v>
      </c>
      <c r="G157" s="25">
        <f t="shared" si="17"/>
        <v>23.085000000000001</v>
      </c>
      <c r="H157" s="4" t="s">
        <v>2153</v>
      </c>
      <c r="I157" s="27">
        <v>26.254999999999999</v>
      </c>
      <c r="J157" s="26">
        <v>26.254999999999999</v>
      </c>
      <c r="K157" s="18" t="s">
        <v>474</v>
      </c>
      <c r="L157" s="19">
        <v>18751</v>
      </c>
      <c r="M157" s="18" t="s">
        <v>234</v>
      </c>
      <c r="N157" s="20">
        <f t="shared" si="14"/>
        <v>82047000000</v>
      </c>
    </row>
    <row r="158" spans="1:14" x14ac:dyDescent="0.25">
      <c r="A158" s="18" t="s">
        <v>1831</v>
      </c>
      <c r="B158" s="28">
        <v>23.39</v>
      </c>
      <c r="C158" s="16" t="str">
        <f t="shared" si="18"/>
        <v>2002</v>
      </c>
      <c r="D158" t="str">
        <f t="shared" si="19"/>
        <v>51</v>
      </c>
      <c r="E158" s="21">
        <f t="shared" si="15"/>
        <v>37607</v>
      </c>
      <c r="F158" s="17" t="str">
        <f t="shared" si="16"/>
        <v>2002-12</v>
      </c>
      <c r="G158" s="25">
        <f t="shared" si="17"/>
        <v>23.085000000000001</v>
      </c>
      <c r="H158" s="4" t="s">
        <v>2154</v>
      </c>
      <c r="I158" s="27">
        <v>27.024999999999999</v>
      </c>
      <c r="J158" s="26">
        <v>27.024999999999999</v>
      </c>
      <c r="K158" s="18" t="s">
        <v>473</v>
      </c>
      <c r="L158" s="19">
        <v>18912</v>
      </c>
      <c r="M158" s="18" t="s">
        <v>233</v>
      </c>
      <c r="N158" s="20">
        <f t="shared" si="14"/>
        <v>77207000000</v>
      </c>
    </row>
    <row r="159" spans="1:14" x14ac:dyDescent="0.25">
      <c r="A159" s="18" t="s">
        <v>1830</v>
      </c>
      <c r="B159" s="28">
        <v>23.5</v>
      </c>
      <c r="C159" s="16" t="str">
        <f t="shared" si="18"/>
        <v>2002</v>
      </c>
      <c r="D159" t="str">
        <f t="shared" si="19"/>
        <v>52</v>
      </c>
      <c r="E159" s="21">
        <f t="shared" si="15"/>
        <v>37614</v>
      </c>
      <c r="F159" s="17" t="str">
        <f t="shared" si="16"/>
        <v>2002-12</v>
      </c>
      <c r="G159" s="25">
        <f t="shared" si="17"/>
        <v>23.085000000000001</v>
      </c>
      <c r="H159" s="4" t="s">
        <v>2155</v>
      </c>
      <c r="I159" s="27">
        <v>30.6525</v>
      </c>
      <c r="J159" s="26">
        <v>30.6525</v>
      </c>
      <c r="K159" s="18" t="s">
        <v>472</v>
      </c>
      <c r="L159" s="19">
        <v>19421</v>
      </c>
      <c r="M159" s="18" t="s">
        <v>232</v>
      </c>
      <c r="N159" s="20">
        <f t="shared" si="14"/>
        <v>74666000000</v>
      </c>
    </row>
    <row r="160" spans="1:14" x14ac:dyDescent="0.25">
      <c r="A160" s="18" t="s">
        <v>1829</v>
      </c>
      <c r="B160" s="28">
        <v>22.93</v>
      </c>
      <c r="C160" s="16" t="str">
        <f t="shared" si="18"/>
        <v>2003</v>
      </c>
      <c r="D160" t="str">
        <f t="shared" si="19"/>
        <v>01</v>
      </c>
      <c r="E160" s="21">
        <f t="shared" si="15"/>
        <v>37622</v>
      </c>
      <c r="F160" s="17" t="str">
        <f t="shared" si="16"/>
        <v>2003-01</v>
      </c>
      <c r="G160" s="25">
        <f t="shared" si="17"/>
        <v>22.818000000000001</v>
      </c>
      <c r="H160" s="4" t="s">
        <v>2156</v>
      </c>
      <c r="I160" s="27">
        <v>34.692</v>
      </c>
      <c r="J160" s="26">
        <v>34.692</v>
      </c>
      <c r="K160" s="18" t="s">
        <v>471</v>
      </c>
      <c r="L160" s="19">
        <v>17159</v>
      </c>
      <c r="M160" s="18" t="s">
        <v>231</v>
      </c>
      <c r="N160" s="20">
        <f t="shared" si="14"/>
        <v>76693000000</v>
      </c>
    </row>
    <row r="161" spans="1:14" x14ac:dyDescent="0.25">
      <c r="A161" s="18" t="s">
        <v>1828</v>
      </c>
      <c r="B161" s="28">
        <v>23.19</v>
      </c>
      <c r="C161" s="16" t="str">
        <f t="shared" si="18"/>
        <v>2003</v>
      </c>
      <c r="D161" t="str">
        <f t="shared" si="19"/>
        <v>02</v>
      </c>
      <c r="E161" s="21">
        <f t="shared" si="15"/>
        <v>37629</v>
      </c>
      <c r="F161" s="17" t="str">
        <f t="shared" si="16"/>
        <v>2003-01</v>
      </c>
      <c r="G161" s="25">
        <f t="shared" si="17"/>
        <v>22.818000000000001</v>
      </c>
      <c r="H161" s="4" t="s">
        <v>2157</v>
      </c>
      <c r="I161" s="27">
        <v>36.7425</v>
      </c>
      <c r="J161" s="26">
        <v>36.7425</v>
      </c>
      <c r="K161" s="18" t="s">
        <v>470</v>
      </c>
      <c r="L161" s="19">
        <v>17632</v>
      </c>
      <c r="M161" s="18" t="s">
        <v>230</v>
      </c>
      <c r="N161" s="20">
        <f t="shared" si="14"/>
        <v>74643000000</v>
      </c>
    </row>
    <row r="162" spans="1:14" x14ac:dyDescent="0.25">
      <c r="A162" s="18" t="s">
        <v>1827</v>
      </c>
      <c r="B162" s="28">
        <v>22.78</v>
      </c>
      <c r="C162" s="16" t="str">
        <f t="shared" si="18"/>
        <v>2003</v>
      </c>
      <c r="D162" t="str">
        <f t="shared" si="19"/>
        <v>03</v>
      </c>
      <c r="E162" s="21">
        <f t="shared" si="15"/>
        <v>37636</v>
      </c>
      <c r="F162" s="17" t="str">
        <f t="shared" si="16"/>
        <v>2003-01</v>
      </c>
      <c r="G162" s="25">
        <f t="shared" si="17"/>
        <v>22.818000000000001</v>
      </c>
      <c r="H162" s="4" t="s">
        <v>2158</v>
      </c>
      <c r="I162" s="27">
        <v>37.637500000000003</v>
      </c>
      <c r="J162" s="26">
        <v>37.637500000000003</v>
      </c>
      <c r="K162" s="18" t="s">
        <v>469</v>
      </c>
      <c r="L162" s="19">
        <v>19501</v>
      </c>
      <c r="M162" s="18" t="s">
        <v>229</v>
      </c>
      <c r="N162" s="20">
        <f t="shared" si="14"/>
        <v>77107000000</v>
      </c>
    </row>
    <row r="163" spans="1:14" x14ac:dyDescent="0.25">
      <c r="A163" s="18" t="s">
        <v>1826</v>
      </c>
      <c r="B163" s="28">
        <v>22.51</v>
      </c>
      <c r="C163" s="16" t="str">
        <f t="shared" si="18"/>
        <v>2003</v>
      </c>
      <c r="D163" t="str">
        <f t="shared" si="19"/>
        <v>04</v>
      </c>
      <c r="E163" s="21">
        <f t="shared" si="15"/>
        <v>37643</v>
      </c>
      <c r="F163" s="17" t="str">
        <f t="shared" si="16"/>
        <v>2003-01</v>
      </c>
      <c r="G163" s="25">
        <f t="shared" si="17"/>
        <v>22.818000000000001</v>
      </c>
      <c r="H163" s="4" t="s">
        <v>2159</v>
      </c>
      <c r="I163" s="27">
        <v>41.951999999999998</v>
      </c>
      <c r="J163" s="26">
        <v>41.951999999999998</v>
      </c>
      <c r="K163" s="18" t="s">
        <v>468</v>
      </c>
      <c r="L163" s="19">
        <v>20574</v>
      </c>
      <c r="M163" s="18" t="s">
        <v>228</v>
      </c>
      <c r="N163" s="20">
        <f t="shared" si="14"/>
        <v>70404000000</v>
      </c>
    </row>
    <row r="164" spans="1:14" x14ac:dyDescent="0.25">
      <c r="A164" s="18" t="s">
        <v>1825</v>
      </c>
      <c r="B164" s="28">
        <v>22.68</v>
      </c>
      <c r="C164" s="16" t="str">
        <f t="shared" si="18"/>
        <v>2003</v>
      </c>
      <c r="D164" t="str">
        <f t="shared" si="19"/>
        <v>05</v>
      </c>
      <c r="E164" s="21">
        <f t="shared" si="15"/>
        <v>37650</v>
      </c>
      <c r="F164" s="17" t="str">
        <f t="shared" si="16"/>
        <v>2003-01</v>
      </c>
      <c r="G164" s="25">
        <f t="shared" si="17"/>
        <v>22.818000000000001</v>
      </c>
      <c r="H164" s="4" t="s">
        <v>2160</v>
      </c>
      <c r="I164" s="27">
        <v>42.6</v>
      </c>
      <c r="J164" s="26">
        <v>42.6</v>
      </c>
      <c r="K164" s="18" t="s">
        <v>467</v>
      </c>
      <c r="L164" s="19">
        <v>18988</v>
      </c>
      <c r="M164" s="18" t="s">
        <v>227</v>
      </c>
      <c r="N164" s="20">
        <f t="shared" si="14"/>
        <v>73201000000</v>
      </c>
    </row>
    <row r="165" spans="1:14" x14ac:dyDescent="0.25">
      <c r="A165" s="18" t="s">
        <v>1824</v>
      </c>
      <c r="B165" s="28">
        <v>22.62</v>
      </c>
      <c r="C165" s="16" t="str">
        <f t="shared" si="18"/>
        <v>2003</v>
      </c>
      <c r="D165" t="str">
        <f t="shared" si="19"/>
        <v>06</v>
      </c>
      <c r="E165" s="21">
        <f t="shared" si="15"/>
        <v>37657</v>
      </c>
      <c r="F165" s="17" t="str">
        <f t="shared" si="16"/>
        <v>2003-02</v>
      </c>
      <c r="G165" s="25">
        <f t="shared" si="17"/>
        <v>22.774999999999999</v>
      </c>
      <c r="H165" s="4" t="s">
        <v>2161</v>
      </c>
      <c r="I165" s="27">
        <v>41.0075</v>
      </c>
      <c r="J165" s="26">
        <v>41.0075</v>
      </c>
      <c r="K165" s="18" t="s">
        <v>466</v>
      </c>
      <c r="L165" s="19">
        <v>19703</v>
      </c>
      <c r="M165" s="18" t="s">
        <v>226</v>
      </c>
      <c r="N165" s="20">
        <f t="shared" si="14"/>
        <v>74301000000</v>
      </c>
    </row>
    <row r="166" spans="1:14" x14ac:dyDescent="0.25">
      <c r="A166" s="18" t="s">
        <v>1823</v>
      </c>
      <c r="B166" s="28">
        <v>22.97</v>
      </c>
      <c r="C166" s="16" t="str">
        <f t="shared" si="18"/>
        <v>2003</v>
      </c>
      <c r="D166" t="str">
        <f t="shared" si="19"/>
        <v>07</v>
      </c>
      <c r="E166" s="21">
        <f t="shared" si="15"/>
        <v>37664</v>
      </c>
      <c r="F166" s="17" t="str">
        <f t="shared" si="16"/>
        <v>2003-02</v>
      </c>
      <c r="G166" s="25">
        <f t="shared" si="17"/>
        <v>22.774999999999999</v>
      </c>
      <c r="H166" s="4" t="s">
        <v>2162</v>
      </c>
      <c r="I166" s="27">
        <v>43.536000000000001</v>
      </c>
      <c r="J166" s="26">
        <v>43.536000000000001</v>
      </c>
      <c r="K166" s="18" t="s">
        <v>465</v>
      </c>
      <c r="L166" s="19">
        <v>17744</v>
      </c>
      <c r="M166" s="18" t="s">
        <v>225</v>
      </c>
      <c r="N166" s="20">
        <f t="shared" si="14"/>
        <v>79687000000</v>
      </c>
    </row>
    <row r="167" spans="1:14" x14ac:dyDescent="0.25">
      <c r="A167" s="18" t="s">
        <v>1822</v>
      </c>
      <c r="B167" s="28">
        <v>22.99</v>
      </c>
      <c r="C167" s="16" t="str">
        <f t="shared" si="18"/>
        <v>2003</v>
      </c>
      <c r="D167" t="str">
        <f t="shared" si="19"/>
        <v>08</v>
      </c>
      <c r="E167" s="21">
        <f t="shared" si="15"/>
        <v>37671</v>
      </c>
      <c r="F167" s="17" t="str">
        <f t="shared" si="16"/>
        <v>2003-02</v>
      </c>
      <c r="G167" s="25">
        <f t="shared" si="17"/>
        <v>22.774999999999999</v>
      </c>
      <c r="H167" s="4" t="s">
        <v>2163</v>
      </c>
      <c r="I167" s="27">
        <v>40.884999999999998</v>
      </c>
      <c r="J167" s="26">
        <v>40.884999999999998</v>
      </c>
      <c r="K167" s="18" t="s">
        <v>464</v>
      </c>
      <c r="L167" s="19">
        <v>19033</v>
      </c>
      <c r="M167" s="18" t="s">
        <v>224</v>
      </c>
      <c r="N167" s="20">
        <f t="shared" si="14"/>
        <v>73242000000</v>
      </c>
    </row>
    <row r="168" spans="1:14" x14ac:dyDescent="0.25">
      <c r="A168" s="18" t="s">
        <v>1821</v>
      </c>
      <c r="B168" s="28">
        <v>22.52</v>
      </c>
      <c r="C168" s="16" t="str">
        <f t="shared" si="18"/>
        <v>2003</v>
      </c>
      <c r="D168" t="str">
        <f t="shared" si="19"/>
        <v>09</v>
      </c>
      <c r="E168" s="21">
        <f t="shared" si="15"/>
        <v>37678</v>
      </c>
      <c r="F168" s="17" t="str">
        <f t="shared" si="16"/>
        <v>2003-02</v>
      </c>
      <c r="G168" s="25">
        <f t="shared" si="17"/>
        <v>22.774999999999999</v>
      </c>
      <c r="H168" s="4" t="s">
        <v>2164</v>
      </c>
      <c r="I168" s="27">
        <v>33.474999999999994</v>
      </c>
      <c r="J168" s="26">
        <v>33.474999999999994</v>
      </c>
      <c r="K168" s="18" t="s">
        <v>463</v>
      </c>
      <c r="L168" s="19">
        <v>17148</v>
      </c>
      <c r="M168" s="18" t="s">
        <v>223</v>
      </c>
      <c r="N168" s="20">
        <f t="shared" si="14"/>
        <v>67502000000</v>
      </c>
    </row>
    <row r="169" spans="1:14" x14ac:dyDescent="0.25">
      <c r="A169" s="18" t="s">
        <v>1820</v>
      </c>
      <c r="B169" s="28">
        <v>23.14</v>
      </c>
      <c r="C169" s="16" t="str">
        <f t="shared" si="18"/>
        <v>2003</v>
      </c>
      <c r="D169" t="str">
        <f t="shared" si="19"/>
        <v>10</v>
      </c>
      <c r="E169" s="21">
        <f t="shared" si="15"/>
        <v>37685</v>
      </c>
      <c r="F169" s="17" t="str">
        <f t="shared" si="16"/>
        <v>2003-03</v>
      </c>
      <c r="G169" s="25">
        <f t="shared" si="17"/>
        <v>23.134999999999998</v>
      </c>
      <c r="H169" s="4" t="s">
        <v>2165</v>
      </c>
      <c r="I169" s="27">
        <v>37.661999999999999</v>
      </c>
      <c r="J169" s="26">
        <v>37.661999999999999</v>
      </c>
      <c r="K169" s="18" t="s">
        <v>462</v>
      </c>
      <c r="L169" s="19">
        <v>20527</v>
      </c>
      <c r="M169" s="18" t="s">
        <v>222</v>
      </c>
      <c r="N169" s="20">
        <f t="shared" si="14"/>
        <v>80411000000</v>
      </c>
    </row>
    <row r="170" spans="1:14" x14ac:dyDescent="0.25">
      <c r="A170" s="18" t="s">
        <v>1819</v>
      </c>
      <c r="B170" s="28">
        <v>22.91</v>
      </c>
      <c r="C170" s="16" t="str">
        <f t="shared" si="18"/>
        <v>2003</v>
      </c>
      <c r="D170" t="str">
        <f t="shared" si="19"/>
        <v>11</v>
      </c>
      <c r="E170" s="21">
        <f t="shared" si="15"/>
        <v>37692</v>
      </c>
      <c r="F170" s="17" t="str">
        <f t="shared" si="16"/>
        <v>2003-03</v>
      </c>
      <c r="G170" s="25">
        <f t="shared" si="17"/>
        <v>23.134999999999998</v>
      </c>
      <c r="H170" s="4" t="s">
        <v>2166</v>
      </c>
      <c r="I170" s="27">
        <v>38.897499999999994</v>
      </c>
      <c r="J170" s="26">
        <v>38.897499999999994</v>
      </c>
      <c r="K170" s="18" t="s">
        <v>461</v>
      </c>
      <c r="L170" s="19">
        <v>19523</v>
      </c>
      <c r="M170" s="18" t="s">
        <v>221</v>
      </c>
      <c r="N170" s="20">
        <f t="shared" si="14"/>
        <v>87227000000</v>
      </c>
    </row>
    <row r="171" spans="1:14" x14ac:dyDescent="0.25">
      <c r="A171" s="18" t="s">
        <v>1818</v>
      </c>
      <c r="B171" s="28">
        <v>23.05</v>
      </c>
      <c r="C171" s="16" t="str">
        <f t="shared" si="18"/>
        <v>2003</v>
      </c>
      <c r="D171" t="str">
        <f t="shared" si="19"/>
        <v>12</v>
      </c>
      <c r="E171" s="21">
        <f t="shared" si="15"/>
        <v>37699</v>
      </c>
      <c r="F171" s="17" t="str">
        <f t="shared" si="16"/>
        <v>2003-03</v>
      </c>
      <c r="G171" s="25">
        <f t="shared" si="17"/>
        <v>23.134999999999998</v>
      </c>
      <c r="H171" s="4" t="s">
        <v>2167</v>
      </c>
      <c r="I171" s="27">
        <v>48.34</v>
      </c>
      <c r="J171" s="26">
        <v>48.34</v>
      </c>
      <c r="K171" s="18" t="s">
        <v>460</v>
      </c>
      <c r="L171" s="19">
        <v>19094</v>
      </c>
      <c r="M171" s="18" t="s">
        <v>220</v>
      </c>
      <c r="N171" s="20">
        <f t="shared" si="14"/>
        <v>82114000000</v>
      </c>
    </row>
    <row r="172" spans="1:14" x14ac:dyDescent="0.25">
      <c r="A172" s="18" t="s">
        <v>1817</v>
      </c>
      <c r="B172" s="28">
        <v>23.44</v>
      </c>
      <c r="C172" s="16" t="str">
        <f t="shared" si="18"/>
        <v>2003</v>
      </c>
      <c r="D172" t="str">
        <f t="shared" si="19"/>
        <v>13</v>
      </c>
      <c r="E172" s="21">
        <f t="shared" si="15"/>
        <v>37706</v>
      </c>
      <c r="F172" s="17" t="str">
        <f t="shared" si="16"/>
        <v>2003-03</v>
      </c>
      <c r="G172" s="25">
        <f t="shared" si="17"/>
        <v>23.134999999999998</v>
      </c>
      <c r="H172" s="4" t="s">
        <v>2168</v>
      </c>
      <c r="I172" s="27">
        <v>48.975999999999999</v>
      </c>
      <c r="J172" s="26">
        <v>48.975999999999999</v>
      </c>
      <c r="K172" s="18" t="s">
        <v>459</v>
      </c>
      <c r="L172" s="19">
        <v>17858</v>
      </c>
      <c r="M172" s="18" t="s">
        <v>219</v>
      </c>
      <c r="N172" s="20">
        <f t="shared" si="14"/>
        <v>91187000000</v>
      </c>
    </row>
    <row r="173" spans="1:14" x14ac:dyDescent="0.25">
      <c r="A173" s="18" t="s">
        <v>1816</v>
      </c>
      <c r="B173" s="28">
        <v>23.5</v>
      </c>
      <c r="C173" s="16" t="str">
        <f t="shared" si="18"/>
        <v>2003</v>
      </c>
      <c r="D173" t="str">
        <f t="shared" si="19"/>
        <v>14</v>
      </c>
      <c r="E173" s="21">
        <f t="shared" si="15"/>
        <v>37713</v>
      </c>
      <c r="F173" s="17" t="str">
        <f t="shared" si="16"/>
        <v>2003-04</v>
      </c>
      <c r="G173" s="25">
        <f t="shared" si="17"/>
        <v>22.93</v>
      </c>
      <c r="H173" s="4" t="s">
        <v>2169</v>
      </c>
      <c r="I173" s="27">
        <v>47.6175</v>
      </c>
      <c r="J173" s="26">
        <v>47.6175</v>
      </c>
      <c r="K173" s="18" t="s">
        <v>458</v>
      </c>
      <c r="L173" s="19">
        <v>19279</v>
      </c>
      <c r="M173" s="18" t="s">
        <v>218</v>
      </c>
      <c r="N173" s="20">
        <f t="shared" si="14"/>
        <v>78110000000</v>
      </c>
    </row>
    <row r="174" spans="1:14" x14ac:dyDescent="0.25">
      <c r="A174" s="18" t="s">
        <v>1815</v>
      </c>
      <c r="B174" s="28">
        <v>22.84</v>
      </c>
      <c r="C174" s="16" t="str">
        <f t="shared" si="18"/>
        <v>2003</v>
      </c>
      <c r="D174" t="str">
        <f t="shared" si="19"/>
        <v>15</v>
      </c>
      <c r="E174" s="21">
        <f t="shared" si="15"/>
        <v>37720</v>
      </c>
      <c r="F174" s="17" t="str">
        <f t="shared" si="16"/>
        <v>2003-04</v>
      </c>
      <c r="G174" s="25">
        <f t="shared" si="17"/>
        <v>22.93</v>
      </c>
      <c r="H174" s="4" t="s">
        <v>2170</v>
      </c>
      <c r="I174" s="27">
        <v>43.915000000000006</v>
      </c>
      <c r="J174" s="26">
        <v>43.915000000000006</v>
      </c>
      <c r="K174" s="18" t="s">
        <v>457</v>
      </c>
      <c r="L174" s="19">
        <v>20081</v>
      </c>
      <c r="M174" s="18" t="s">
        <v>217</v>
      </c>
      <c r="N174" s="20">
        <f t="shared" si="14"/>
        <v>82088000000</v>
      </c>
    </row>
    <row r="175" spans="1:14" x14ac:dyDescent="0.25">
      <c r="A175" s="18" t="s">
        <v>1814</v>
      </c>
      <c r="B175" s="28">
        <v>22.69</v>
      </c>
      <c r="C175" s="16" t="str">
        <f t="shared" si="18"/>
        <v>2003</v>
      </c>
      <c r="D175" t="str">
        <f t="shared" si="19"/>
        <v>16</v>
      </c>
      <c r="E175" s="21">
        <f t="shared" si="15"/>
        <v>37727</v>
      </c>
      <c r="F175" s="17" t="str">
        <f t="shared" si="16"/>
        <v>2003-04</v>
      </c>
      <c r="G175" s="25">
        <f t="shared" si="17"/>
        <v>22.93</v>
      </c>
      <c r="H175" s="4" t="s">
        <v>2171</v>
      </c>
      <c r="I175" s="27">
        <v>45.333999999999996</v>
      </c>
      <c r="J175" s="26">
        <v>45.333999999999996</v>
      </c>
      <c r="K175" s="18" t="s">
        <v>456</v>
      </c>
      <c r="L175" s="19">
        <v>18606</v>
      </c>
      <c r="M175" s="18" t="s">
        <v>216</v>
      </c>
      <c r="N175" s="20">
        <f t="shared" si="14"/>
        <v>75421000000</v>
      </c>
    </row>
    <row r="176" spans="1:14" x14ac:dyDescent="0.25">
      <c r="A176" s="18" t="s">
        <v>1813</v>
      </c>
      <c r="B176" s="28">
        <v>22.95</v>
      </c>
      <c r="C176" s="16" t="str">
        <f t="shared" si="18"/>
        <v>2003</v>
      </c>
      <c r="D176" t="str">
        <f t="shared" si="19"/>
        <v>17</v>
      </c>
      <c r="E176" s="21">
        <f t="shared" si="15"/>
        <v>37734</v>
      </c>
      <c r="F176" s="17" t="str">
        <f t="shared" si="16"/>
        <v>2003-04</v>
      </c>
      <c r="G176" s="25">
        <f t="shared" si="17"/>
        <v>22.93</v>
      </c>
      <c r="H176" s="4" t="s">
        <v>2172</v>
      </c>
      <c r="I176" s="27">
        <v>40.127499999999998</v>
      </c>
      <c r="J176" s="26">
        <v>40.127499999999998</v>
      </c>
      <c r="K176" s="18" t="s">
        <v>455</v>
      </c>
      <c r="L176" s="19">
        <v>19762</v>
      </c>
      <c r="M176" s="18" t="s">
        <v>215</v>
      </c>
      <c r="N176" s="20">
        <f t="shared" si="14"/>
        <v>71842000000</v>
      </c>
    </row>
    <row r="177" spans="1:14" x14ac:dyDescent="0.25">
      <c r="A177" s="18" t="s">
        <v>1812</v>
      </c>
      <c r="B177" s="28">
        <v>22.67</v>
      </c>
      <c r="C177" s="16" t="str">
        <f t="shared" si="18"/>
        <v>2003</v>
      </c>
      <c r="D177" t="str">
        <f t="shared" si="19"/>
        <v>18</v>
      </c>
      <c r="E177" s="21">
        <f t="shared" si="15"/>
        <v>37741</v>
      </c>
      <c r="F177" s="17" t="str">
        <f t="shared" si="16"/>
        <v>2003-04</v>
      </c>
      <c r="G177" s="25">
        <f t="shared" si="17"/>
        <v>22.93</v>
      </c>
      <c r="H177" s="4" t="s">
        <v>2173</v>
      </c>
      <c r="I177" s="27">
        <v>36.307499999999997</v>
      </c>
      <c r="J177" s="26">
        <v>36.307499999999997</v>
      </c>
      <c r="K177" s="18" t="s">
        <v>454</v>
      </c>
      <c r="L177" s="19">
        <v>21219</v>
      </c>
      <c r="M177" s="18" t="s">
        <v>214</v>
      </c>
      <c r="N177" s="20">
        <f t="shared" si="14"/>
        <v>65991000000</v>
      </c>
    </row>
    <row r="178" spans="1:14" x14ac:dyDescent="0.25">
      <c r="A178" s="18" t="s">
        <v>1811</v>
      </c>
      <c r="B178" s="28">
        <v>22.43</v>
      </c>
      <c r="C178" s="16" t="str">
        <f t="shared" si="18"/>
        <v>2003</v>
      </c>
      <c r="D178" t="str">
        <f t="shared" si="19"/>
        <v>19</v>
      </c>
      <c r="E178" s="21">
        <f t="shared" si="15"/>
        <v>37748</v>
      </c>
      <c r="F178" s="17" t="str">
        <f t="shared" si="16"/>
        <v>2003-05</v>
      </c>
      <c r="G178" s="25">
        <f t="shared" si="17"/>
        <v>22.094999999999999</v>
      </c>
      <c r="H178" s="4" t="s">
        <v>2174</v>
      </c>
      <c r="I178" s="27">
        <v>40.29</v>
      </c>
      <c r="J178" s="26">
        <v>40.29</v>
      </c>
      <c r="K178" s="18" t="s">
        <v>453</v>
      </c>
      <c r="L178" s="19">
        <v>19818</v>
      </c>
      <c r="M178" s="18" t="s">
        <v>213</v>
      </c>
      <c r="N178" s="20">
        <f t="shared" si="14"/>
        <v>69932000000</v>
      </c>
    </row>
    <row r="179" spans="1:14" x14ac:dyDescent="0.25">
      <c r="A179" s="18" t="s">
        <v>1810</v>
      </c>
      <c r="B179" s="28">
        <v>22.4</v>
      </c>
      <c r="C179" s="16" t="str">
        <f t="shared" si="18"/>
        <v>2003</v>
      </c>
      <c r="D179" t="str">
        <f t="shared" si="19"/>
        <v>20</v>
      </c>
      <c r="E179" s="21">
        <f t="shared" si="15"/>
        <v>37755</v>
      </c>
      <c r="F179" s="17" t="str">
        <f t="shared" si="16"/>
        <v>2003-05</v>
      </c>
      <c r="G179" s="25">
        <f t="shared" si="17"/>
        <v>22.094999999999999</v>
      </c>
      <c r="H179" s="4" t="s">
        <v>2175</v>
      </c>
      <c r="I179" s="27">
        <v>35.78</v>
      </c>
      <c r="J179" s="26">
        <v>35.78</v>
      </c>
      <c r="K179" s="18" t="s">
        <v>452</v>
      </c>
      <c r="L179" s="19">
        <v>17544</v>
      </c>
      <c r="M179" s="18" t="s">
        <v>212</v>
      </c>
      <c r="N179" s="20">
        <f t="shared" si="14"/>
        <v>67751000000</v>
      </c>
    </row>
    <row r="180" spans="1:14" x14ac:dyDescent="0.25">
      <c r="A180" s="18" t="s">
        <v>1809</v>
      </c>
      <c r="B180" s="28">
        <v>22.2</v>
      </c>
      <c r="C180" s="16" t="str">
        <f t="shared" si="18"/>
        <v>2003</v>
      </c>
      <c r="D180" t="str">
        <f t="shared" si="19"/>
        <v>21</v>
      </c>
      <c r="E180" s="21">
        <f t="shared" si="15"/>
        <v>37762</v>
      </c>
      <c r="F180" s="17" t="str">
        <f t="shared" si="16"/>
        <v>2003-05</v>
      </c>
      <c r="G180" s="25">
        <f t="shared" si="17"/>
        <v>22.094999999999999</v>
      </c>
      <c r="H180" s="4" t="s">
        <v>2176</v>
      </c>
      <c r="I180" s="27">
        <v>34.905000000000001</v>
      </c>
      <c r="J180" s="26">
        <v>34.905000000000001</v>
      </c>
      <c r="K180" s="18" t="s">
        <v>451</v>
      </c>
      <c r="L180" s="19">
        <v>21667</v>
      </c>
      <c r="M180" s="18" t="s">
        <v>211</v>
      </c>
      <c r="N180" s="20">
        <f t="shared" si="14"/>
        <v>71657000000</v>
      </c>
    </row>
    <row r="181" spans="1:14" x14ac:dyDescent="0.25">
      <c r="A181" s="18" t="s">
        <v>1808</v>
      </c>
      <c r="B181" s="28">
        <v>21.35</v>
      </c>
      <c r="C181" s="16" t="str">
        <f t="shared" si="18"/>
        <v>2003</v>
      </c>
      <c r="D181" t="str">
        <f t="shared" si="19"/>
        <v>22</v>
      </c>
      <c r="E181" s="21">
        <f t="shared" si="15"/>
        <v>37769</v>
      </c>
      <c r="F181" s="17" t="str">
        <f t="shared" si="16"/>
        <v>2003-05</v>
      </c>
      <c r="G181" s="25">
        <f t="shared" si="17"/>
        <v>22.094999999999999</v>
      </c>
      <c r="H181" s="4" t="s">
        <v>2177</v>
      </c>
      <c r="I181" s="27">
        <v>35.6</v>
      </c>
      <c r="J181" s="26">
        <v>35.6</v>
      </c>
      <c r="K181" s="18" t="s">
        <v>450</v>
      </c>
      <c r="L181" s="19">
        <v>22953</v>
      </c>
      <c r="M181" s="18" t="s">
        <v>210</v>
      </c>
      <c r="N181" s="20">
        <f t="shared" si="14"/>
        <v>85631000000</v>
      </c>
    </row>
    <row r="182" spans="1:14" x14ac:dyDescent="0.25">
      <c r="A182" s="18" t="s">
        <v>1807</v>
      </c>
      <c r="B182" s="28">
        <v>19.27</v>
      </c>
      <c r="C182" s="16" t="str">
        <f t="shared" si="18"/>
        <v>2003</v>
      </c>
      <c r="D182" t="str">
        <f t="shared" si="19"/>
        <v>23</v>
      </c>
      <c r="E182" s="21">
        <f t="shared" si="15"/>
        <v>37776</v>
      </c>
      <c r="F182" s="17" t="str">
        <f t="shared" si="16"/>
        <v>2003-06</v>
      </c>
      <c r="G182" s="25">
        <f t="shared" si="17"/>
        <v>19.015000000000001</v>
      </c>
      <c r="H182" s="4" t="s">
        <v>2178</v>
      </c>
      <c r="I182" s="27">
        <v>40.674999999999997</v>
      </c>
      <c r="J182" s="26">
        <v>40.674999999999997</v>
      </c>
      <c r="K182" s="18" t="s">
        <v>449</v>
      </c>
      <c r="L182" s="19">
        <v>21774</v>
      </c>
      <c r="M182" s="18" t="s">
        <v>209</v>
      </c>
      <c r="N182" s="20">
        <f t="shared" si="14"/>
        <v>73269000000</v>
      </c>
    </row>
    <row r="183" spans="1:14" x14ac:dyDescent="0.25">
      <c r="A183" s="18" t="s">
        <v>1806</v>
      </c>
      <c r="B183" s="28">
        <v>19.43</v>
      </c>
      <c r="C183" s="16" t="str">
        <f t="shared" si="18"/>
        <v>2003</v>
      </c>
      <c r="D183" t="str">
        <f t="shared" si="19"/>
        <v>24</v>
      </c>
      <c r="E183" s="21">
        <f t="shared" si="15"/>
        <v>37783</v>
      </c>
      <c r="F183" s="17" t="str">
        <f t="shared" si="16"/>
        <v>2003-06</v>
      </c>
      <c r="G183" s="25">
        <f t="shared" si="17"/>
        <v>19.015000000000001</v>
      </c>
      <c r="H183" s="4" t="s">
        <v>2179</v>
      </c>
      <c r="I183" s="27">
        <v>45.422499999999999</v>
      </c>
      <c r="J183" s="26">
        <v>45.422499999999999</v>
      </c>
      <c r="K183" s="18" t="s">
        <v>448</v>
      </c>
      <c r="L183" s="19">
        <v>23916</v>
      </c>
      <c r="M183" s="18" t="s">
        <v>208</v>
      </c>
      <c r="N183" s="20">
        <f t="shared" si="14"/>
        <v>76157000000</v>
      </c>
    </row>
    <row r="184" spans="1:14" x14ac:dyDescent="0.25">
      <c r="A184" s="18" t="s">
        <v>1805</v>
      </c>
      <c r="B184" s="28">
        <v>18.760000000000002</v>
      </c>
      <c r="C184" s="16" t="str">
        <f t="shared" si="18"/>
        <v>2003</v>
      </c>
      <c r="D184" t="str">
        <f t="shared" si="19"/>
        <v>25</v>
      </c>
      <c r="E184" s="21">
        <f t="shared" si="15"/>
        <v>37790</v>
      </c>
      <c r="F184" s="17" t="str">
        <f t="shared" si="16"/>
        <v>2003-06</v>
      </c>
      <c r="G184" s="25">
        <f t="shared" si="17"/>
        <v>19.015000000000001</v>
      </c>
      <c r="H184" s="4" t="s">
        <v>2180</v>
      </c>
      <c r="I184" s="27">
        <v>44.341999999999999</v>
      </c>
      <c r="J184" s="26">
        <v>44.341999999999999</v>
      </c>
      <c r="K184" s="18" t="s">
        <v>447</v>
      </c>
      <c r="L184" s="19">
        <v>22524</v>
      </c>
      <c r="M184" s="18" t="s">
        <v>207</v>
      </c>
      <c r="N184" s="20">
        <f t="shared" si="14"/>
        <v>70017000000</v>
      </c>
    </row>
    <row r="185" spans="1:14" x14ac:dyDescent="0.25">
      <c r="A185" s="18" t="s">
        <v>1804</v>
      </c>
      <c r="B185" s="28">
        <v>18.600000000000001</v>
      </c>
      <c r="C185" s="16" t="str">
        <f t="shared" si="18"/>
        <v>2003</v>
      </c>
      <c r="D185" t="str">
        <f t="shared" si="19"/>
        <v>26</v>
      </c>
      <c r="E185" s="21">
        <f t="shared" si="15"/>
        <v>37797</v>
      </c>
      <c r="F185" s="17" t="str">
        <f t="shared" si="16"/>
        <v>2003-06</v>
      </c>
      <c r="G185" s="25">
        <f t="shared" si="17"/>
        <v>19.015000000000001</v>
      </c>
      <c r="H185" s="4" t="s">
        <v>2181</v>
      </c>
      <c r="I185" s="27">
        <v>42.267499999999998</v>
      </c>
      <c r="J185" s="26">
        <v>42.267499999999998</v>
      </c>
      <c r="K185" s="18" t="s">
        <v>446</v>
      </c>
      <c r="L185" s="19">
        <v>21178</v>
      </c>
      <c r="M185" s="18" t="s">
        <v>206</v>
      </c>
      <c r="N185" s="20">
        <f t="shared" si="14"/>
        <v>68878000000</v>
      </c>
    </row>
    <row r="186" spans="1:14" x14ac:dyDescent="0.25">
      <c r="A186" s="18" t="s">
        <v>1803</v>
      </c>
      <c r="B186" s="28">
        <v>17.670000000000002</v>
      </c>
      <c r="C186" s="16" t="str">
        <f t="shared" si="18"/>
        <v>2003</v>
      </c>
      <c r="D186" t="str">
        <f t="shared" si="19"/>
        <v>27</v>
      </c>
      <c r="E186" s="21">
        <f t="shared" si="15"/>
        <v>37804</v>
      </c>
      <c r="F186" s="17" t="str">
        <f t="shared" si="16"/>
        <v>2003-07</v>
      </c>
      <c r="G186" s="25">
        <f t="shared" si="17"/>
        <v>17.910000000000004</v>
      </c>
      <c r="H186" s="4" t="s">
        <v>2182</v>
      </c>
      <c r="I186" s="27">
        <v>41.43</v>
      </c>
      <c r="J186" s="26">
        <v>41.43</v>
      </c>
      <c r="K186" s="18" t="s">
        <v>445</v>
      </c>
      <c r="L186" s="19">
        <v>24097</v>
      </c>
      <c r="M186" s="18" t="s">
        <v>205</v>
      </c>
      <c r="N186" s="20">
        <f t="shared" si="14"/>
        <v>79138000000</v>
      </c>
    </row>
    <row r="187" spans="1:14" x14ac:dyDescent="0.25">
      <c r="A187" s="18" t="s">
        <v>1802</v>
      </c>
      <c r="B187" s="28">
        <v>17.46</v>
      </c>
      <c r="C187" s="16" t="str">
        <f t="shared" si="18"/>
        <v>2003</v>
      </c>
      <c r="D187" t="str">
        <f t="shared" si="19"/>
        <v>28</v>
      </c>
      <c r="E187" s="21">
        <f t="shared" si="15"/>
        <v>37811</v>
      </c>
      <c r="F187" s="17" t="str">
        <f t="shared" si="16"/>
        <v>2003-07</v>
      </c>
      <c r="G187" s="25">
        <f t="shared" si="17"/>
        <v>17.910000000000004</v>
      </c>
      <c r="H187" s="4" t="s">
        <v>2183</v>
      </c>
      <c r="I187" s="27">
        <v>40.152000000000001</v>
      </c>
      <c r="J187" s="26">
        <v>40.152000000000001</v>
      </c>
      <c r="K187" s="18" t="s">
        <v>444</v>
      </c>
      <c r="L187" s="19">
        <v>20542</v>
      </c>
      <c r="M187" s="18" t="s">
        <v>204</v>
      </c>
      <c r="N187" s="20">
        <f t="shared" si="14"/>
        <v>65801000000</v>
      </c>
    </row>
    <row r="188" spans="1:14" x14ac:dyDescent="0.25">
      <c r="A188" s="18" t="s">
        <v>1801</v>
      </c>
      <c r="B188" s="28">
        <v>18.260000000000002</v>
      </c>
      <c r="C188" s="16" t="str">
        <f t="shared" si="18"/>
        <v>2003</v>
      </c>
      <c r="D188" t="str">
        <f t="shared" si="19"/>
        <v>29</v>
      </c>
      <c r="E188" s="21">
        <f t="shared" si="15"/>
        <v>37818</v>
      </c>
      <c r="F188" s="17" t="str">
        <f t="shared" si="16"/>
        <v>2003-07</v>
      </c>
      <c r="G188" s="25">
        <f t="shared" si="17"/>
        <v>17.910000000000004</v>
      </c>
      <c r="H188" s="4" t="s">
        <v>2184</v>
      </c>
      <c r="I188" s="27">
        <v>38.379999999999995</v>
      </c>
      <c r="J188" s="26">
        <v>38.379999999999995</v>
      </c>
      <c r="K188" s="18" t="s">
        <v>443</v>
      </c>
      <c r="L188" s="19">
        <v>23347</v>
      </c>
      <c r="M188" s="18" t="s">
        <v>203</v>
      </c>
      <c r="N188" s="20">
        <f t="shared" si="14"/>
        <v>67375000000</v>
      </c>
    </row>
    <row r="189" spans="1:14" x14ac:dyDescent="0.25">
      <c r="A189" s="18" t="s">
        <v>1800</v>
      </c>
      <c r="B189" s="28">
        <v>18.07</v>
      </c>
      <c r="C189" s="16" t="str">
        <f t="shared" si="18"/>
        <v>2003</v>
      </c>
      <c r="D189" t="str">
        <f t="shared" si="19"/>
        <v>30</v>
      </c>
      <c r="E189" s="21">
        <f t="shared" si="15"/>
        <v>37825</v>
      </c>
      <c r="F189" s="17" t="str">
        <f t="shared" si="16"/>
        <v>2003-07</v>
      </c>
      <c r="G189" s="25">
        <f t="shared" si="17"/>
        <v>17.910000000000004</v>
      </c>
      <c r="H189" s="4" t="s">
        <v>2185</v>
      </c>
      <c r="I189" s="27">
        <v>40.977499999999999</v>
      </c>
      <c r="J189" s="26">
        <v>40.977499999999999</v>
      </c>
      <c r="K189" s="18" t="s">
        <v>442</v>
      </c>
      <c r="L189" s="19">
        <v>20680</v>
      </c>
      <c r="M189" s="18" t="s">
        <v>202</v>
      </c>
      <c r="N189" s="20">
        <f t="shared" si="14"/>
        <v>70453000000</v>
      </c>
    </row>
    <row r="190" spans="1:14" x14ac:dyDescent="0.25">
      <c r="A190" s="18" t="s">
        <v>1799</v>
      </c>
      <c r="B190" s="28">
        <v>18.09</v>
      </c>
      <c r="C190" s="16" t="str">
        <f t="shared" si="18"/>
        <v>2003</v>
      </c>
      <c r="D190" t="str">
        <f t="shared" si="19"/>
        <v>31</v>
      </c>
      <c r="E190" s="21">
        <f t="shared" si="15"/>
        <v>37832</v>
      </c>
      <c r="F190" s="17" t="str">
        <f t="shared" si="16"/>
        <v>2003-07</v>
      </c>
      <c r="G190" s="25">
        <f t="shared" si="17"/>
        <v>17.910000000000004</v>
      </c>
      <c r="H190" s="4" t="s">
        <v>2186</v>
      </c>
      <c r="I190" s="27">
        <v>43.738</v>
      </c>
      <c r="J190" s="26">
        <v>43.738</v>
      </c>
      <c r="K190" s="18" t="s">
        <v>441</v>
      </c>
      <c r="L190" s="19">
        <v>21025</v>
      </c>
      <c r="M190" s="18" t="s">
        <v>201</v>
      </c>
      <c r="N190" s="20">
        <f t="shared" si="14"/>
        <v>69719000000</v>
      </c>
    </row>
    <row r="191" spans="1:14" x14ac:dyDescent="0.25">
      <c r="A191" s="18" t="s">
        <v>1798</v>
      </c>
      <c r="B191" s="28">
        <v>18.05</v>
      </c>
      <c r="C191" s="16" t="str">
        <f t="shared" si="18"/>
        <v>2003</v>
      </c>
      <c r="D191" t="str">
        <f t="shared" si="19"/>
        <v>32</v>
      </c>
      <c r="E191" s="21">
        <f t="shared" si="15"/>
        <v>37839</v>
      </c>
      <c r="F191" s="17" t="str">
        <f t="shared" si="16"/>
        <v>2003-08</v>
      </c>
      <c r="G191" s="25">
        <f t="shared" si="17"/>
        <v>18.747500000000002</v>
      </c>
      <c r="H191" s="4" t="s">
        <v>2187</v>
      </c>
      <c r="I191" s="27">
        <v>43.527500000000003</v>
      </c>
      <c r="J191" s="26">
        <v>43.527500000000003</v>
      </c>
      <c r="K191" s="18" t="s">
        <v>440</v>
      </c>
      <c r="L191" s="19">
        <v>20786</v>
      </c>
      <c r="M191" s="18" t="s">
        <v>200</v>
      </c>
      <c r="N191" s="20">
        <f t="shared" si="14"/>
        <v>67656000000</v>
      </c>
    </row>
    <row r="192" spans="1:14" x14ac:dyDescent="0.25">
      <c r="A192" s="18" t="s">
        <v>1797</v>
      </c>
      <c r="B192" s="28">
        <v>18.48</v>
      </c>
      <c r="C192" s="16" t="str">
        <f t="shared" si="18"/>
        <v>2003</v>
      </c>
      <c r="D192" t="str">
        <f t="shared" si="19"/>
        <v>33</v>
      </c>
      <c r="E192" s="21">
        <f t="shared" si="15"/>
        <v>37846</v>
      </c>
      <c r="F192" s="17" t="str">
        <f t="shared" si="16"/>
        <v>2003-08</v>
      </c>
      <c r="G192" s="25">
        <f t="shared" si="17"/>
        <v>18.747500000000002</v>
      </c>
      <c r="H192" s="4" t="s">
        <v>2188</v>
      </c>
      <c r="I192" s="27">
        <v>42.034999999999997</v>
      </c>
      <c r="J192" s="26">
        <v>42.034999999999997</v>
      </c>
      <c r="K192" s="18" t="s">
        <v>439</v>
      </c>
      <c r="L192" s="19">
        <v>22299</v>
      </c>
      <c r="M192" s="18" t="s">
        <v>199</v>
      </c>
      <c r="N192" s="20">
        <f t="shared" si="14"/>
        <v>68336000000</v>
      </c>
    </row>
    <row r="193" spans="1:14" x14ac:dyDescent="0.25">
      <c r="A193" s="18" t="s">
        <v>1796</v>
      </c>
      <c r="B193" s="28">
        <v>18.809999999999999</v>
      </c>
      <c r="C193" s="16" t="str">
        <f t="shared" si="18"/>
        <v>2003</v>
      </c>
      <c r="D193" t="str">
        <f t="shared" si="19"/>
        <v>34</v>
      </c>
      <c r="E193" s="21">
        <f t="shared" si="15"/>
        <v>37853</v>
      </c>
      <c r="F193" s="17" t="str">
        <f t="shared" si="16"/>
        <v>2003-08</v>
      </c>
      <c r="G193" s="25">
        <f t="shared" si="17"/>
        <v>18.747500000000002</v>
      </c>
      <c r="H193" s="4" t="s">
        <v>2189</v>
      </c>
      <c r="I193" s="27">
        <v>41.701999999999998</v>
      </c>
      <c r="J193" s="26">
        <v>41.701999999999998</v>
      </c>
      <c r="K193" s="18" t="s">
        <v>438</v>
      </c>
      <c r="L193" s="19">
        <v>24433</v>
      </c>
      <c r="M193" s="18" t="s">
        <v>198</v>
      </c>
      <c r="N193" s="20">
        <f t="shared" si="14"/>
        <v>73823000000</v>
      </c>
    </row>
    <row r="194" spans="1:14" x14ac:dyDescent="0.25">
      <c r="A194" s="18" t="s">
        <v>1795</v>
      </c>
      <c r="B194" s="28">
        <v>19.649999999999999</v>
      </c>
      <c r="C194" s="16" t="str">
        <f t="shared" si="18"/>
        <v>2003</v>
      </c>
      <c r="D194" t="str">
        <f t="shared" si="19"/>
        <v>35</v>
      </c>
      <c r="E194" s="21">
        <f t="shared" si="15"/>
        <v>37860</v>
      </c>
      <c r="F194" s="17" t="str">
        <f t="shared" si="16"/>
        <v>2003-08</v>
      </c>
      <c r="G194" s="25">
        <f t="shared" si="17"/>
        <v>18.747500000000002</v>
      </c>
      <c r="H194" s="4" t="s">
        <v>2190</v>
      </c>
      <c r="I194" s="27">
        <v>44.699999999999996</v>
      </c>
      <c r="J194" s="26">
        <v>44.699999999999996</v>
      </c>
      <c r="K194" s="18" t="s">
        <v>437</v>
      </c>
      <c r="L194" s="19">
        <v>22085</v>
      </c>
      <c r="M194" s="18" t="s">
        <v>197</v>
      </c>
      <c r="N194" s="20">
        <f t="shared" si="14"/>
        <v>67229000000</v>
      </c>
    </row>
    <row r="195" spans="1:14" x14ac:dyDescent="0.25">
      <c r="A195" s="18" t="s">
        <v>1794</v>
      </c>
      <c r="B195" s="28">
        <v>20.41</v>
      </c>
      <c r="C195" s="16" t="str">
        <f t="shared" si="18"/>
        <v>2003</v>
      </c>
      <c r="D195" t="str">
        <f t="shared" si="19"/>
        <v>36</v>
      </c>
      <c r="E195" s="21">
        <f t="shared" si="15"/>
        <v>37867</v>
      </c>
      <c r="F195" s="17" t="str">
        <f t="shared" si="16"/>
        <v>2003-09</v>
      </c>
      <c r="G195" s="25">
        <f t="shared" si="17"/>
        <v>21.055</v>
      </c>
      <c r="H195" s="4" t="s">
        <v>2191</v>
      </c>
      <c r="I195" s="27">
        <v>51.746000000000002</v>
      </c>
      <c r="J195" s="26">
        <v>51.746000000000002</v>
      </c>
      <c r="K195" s="18" t="s">
        <v>436</v>
      </c>
      <c r="L195" s="19">
        <v>22887</v>
      </c>
      <c r="M195" s="18" t="s">
        <v>196</v>
      </c>
      <c r="N195" s="20">
        <f t="shared" si="14"/>
        <v>66841000000</v>
      </c>
    </row>
    <row r="196" spans="1:14" x14ac:dyDescent="0.25">
      <c r="A196" s="18" t="s">
        <v>1793</v>
      </c>
      <c r="B196" s="28">
        <v>20.86</v>
      </c>
      <c r="C196" s="16" t="str">
        <f t="shared" si="18"/>
        <v>2003</v>
      </c>
      <c r="D196" t="str">
        <f t="shared" si="19"/>
        <v>37</v>
      </c>
      <c r="E196" s="21">
        <f t="shared" si="15"/>
        <v>37874</v>
      </c>
      <c r="F196" s="17" t="str">
        <f t="shared" si="16"/>
        <v>2003-09</v>
      </c>
      <c r="G196" s="25">
        <f t="shared" si="17"/>
        <v>21.055</v>
      </c>
      <c r="H196" s="4" t="s">
        <v>2192</v>
      </c>
      <c r="I196" s="27">
        <v>54.796000000000006</v>
      </c>
      <c r="J196" s="26">
        <v>54.796000000000006</v>
      </c>
      <c r="K196" s="18" t="s">
        <v>435</v>
      </c>
      <c r="L196" s="19">
        <v>24968</v>
      </c>
      <c r="M196" s="18" t="s">
        <v>195</v>
      </c>
      <c r="N196" s="20">
        <f t="shared" ref="N196:N259" si="20">L436*1000000</f>
        <v>60686000000</v>
      </c>
    </row>
    <row r="197" spans="1:14" x14ac:dyDescent="0.25">
      <c r="A197" s="18" t="s">
        <v>1792</v>
      </c>
      <c r="B197" s="28">
        <v>21.17</v>
      </c>
      <c r="C197" s="16" t="str">
        <f t="shared" si="18"/>
        <v>2003</v>
      </c>
      <c r="D197" t="str">
        <f t="shared" si="19"/>
        <v>38</v>
      </c>
      <c r="E197" s="21">
        <f t="shared" ref="E197:E260" si="21">DATE(C197,1,1)+(D197-1)*7</f>
        <v>37881</v>
      </c>
      <c r="F197" s="17" t="str">
        <f t="shared" ref="F197:F260" si="22">TEXT(E197,"éééé-hh")</f>
        <v>2003-09</v>
      </c>
      <c r="G197" s="25">
        <f t="shared" ref="G197:G260" si="23">AVERAGEIF($F$4:$F$1353,F197,$B$4:$B$1353)</f>
        <v>21.055</v>
      </c>
      <c r="H197" s="4" t="s">
        <v>2193</v>
      </c>
      <c r="I197" s="27">
        <v>56.794999999999995</v>
      </c>
      <c r="J197" s="26">
        <v>56.794999999999995</v>
      </c>
      <c r="K197" s="18" t="s">
        <v>434</v>
      </c>
      <c r="L197" s="19">
        <v>24852</v>
      </c>
      <c r="M197" s="18" t="s">
        <v>194</v>
      </c>
      <c r="N197" s="20">
        <f t="shared" si="20"/>
        <v>60392000000</v>
      </c>
    </row>
    <row r="198" spans="1:14" x14ac:dyDescent="0.25">
      <c r="A198" s="18" t="s">
        <v>1791</v>
      </c>
      <c r="B198" s="28">
        <v>21.78</v>
      </c>
      <c r="C198" s="16" t="str">
        <f t="shared" si="18"/>
        <v>2003</v>
      </c>
      <c r="D198" t="str">
        <f t="shared" si="19"/>
        <v>39</v>
      </c>
      <c r="E198" s="21">
        <f t="shared" si="21"/>
        <v>37888</v>
      </c>
      <c r="F198" s="17" t="str">
        <f t="shared" si="22"/>
        <v>2003-09</v>
      </c>
      <c r="G198" s="25">
        <f t="shared" si="23"/>
        <v>21.055</v>
      </c>
      <c r="H198" s="4" t="s">
        <v>2194</v>
      </c>
      <c r="I198" s="27">
        <v>59.61</v>
      </c>
      <c r="J198" s="26">
        <v>59.61</v>
      </c>
      <c r="K198" s="18" t="s">
        <v>433</v>
      </c>
      <c r="L198" s="19">
        <v>27348</v>
      </c>
      <c r="M198" s="18" t="s">
        <v>193</v>
      </c>
      <c r="N198" s="20">
        <f t="shared" si="20"/>
        <v>61908000000</v>
      </c>
    </row>
    <row r="199" spans="1:14" x14ac:dyDescent="0.25">
      <c r="A199" s="18" t="s">
        <v>1790</v>
      </c>
      <c r="B199" s="28">
        <v>22.21</v>
      </c>
      <c r="C199" s="16" t="str">
        <f t="shared" si="18"/>
        <v>2003</v>
      </c>
      <c r="D199" t="str">
        <f t="shared" si="19"/>
        <v>40</v>
      </c>
      <c r="E199" s="21">
        <f t="shared" si="21"/>
        <v>37895</v>
      </c>
      <c r="F199" s="17" t="str">
        <f t="shared" si="22"/>
        <v>2003-10</v>
      </c>
      <c r="G199" s="25">
        <f t="shared" si="23"/>
        <v>22.356000000000002</v>
      </c>
      <c r="H199" s="4" t="s">
        <v>2195</v>
      </c>
      <c r="I199" s="27">
        <v>56.718000000000004</v>
      </c>
      <c r="J199" s="26">
        <v>56.718000000000004</v>
      </c>
      <c r="K199" s="18" t="s">
        <v>432</v>
      </c>
      <c r="L199" s="19">
        <v>26067</v>
      </c>
      <c r="M199" s="18" t="s">
        <v>192</v>
      </c>
      <c r="N199" s="20">
        <f t="shared" si="20"/>
        <v>61521000000</v>
      </c>
    </row>
    <row r="200" spans="1:14" x14ac:dyDescent="0.25">
      <c r="A200" s="18" t="s">
        <v>1789</v>
      </c>
      <c r="B200" s="28">
        <v>22.67</v>
      </c>
      <c r="C200" s="16" t="str">
        <f t="shared" si="18"/>
        <v>2003</v>
      </c>
      <c r="D200" t="str">
        <f t="shared" si="19"/>
        <v>41</v>
      </c>
      <c r="E200" s="21">
        <f t="shared" si="21"/>
        <v>37902</v>
      </c>
      <c r="F200" s="17" t="str">
        <f t="shared" si="22"/>
        <v>2003-10</v>
      </c>
      <c r="G200" s="25">
        <f t="shared" si="23"/>
        <v>22.356000000000002</v>
      </c>
      <c r="H200" s="4" t="s">
        <v>2196</v>
      </c>
      <c r="I200" s="27">
        <v>60.805</v>
      </c>
      <c r="J200" s="26">
        <v>60.805</v>
      </c>
      <c r="K200" s="18" t="s">
        <v>431</v>
      </c>
      <c r="L200" s="19">
        <v>25055</v>
      </c>
      <c r="M200" s="18" t="s">
        <v>191</v>
      </c>
      <c r="N200" s="20">
        <f t="shared" si="20"/>
        <v>58402000000</v>
      </c>
    </row>
    <row r="201" spans="1:14" x14ac:dyDescent="0.25">
      <c r="A201" s="18" t="s">
        <v>1788</v>
      </c>
      <c r="B201" s="28">
        <v>22.6</v>
      </c>
      <c r="C201" s="16" t="str">
        <f t="shared" si="18"/>
        <v>2003</v>
      </c>
      <c r="D201" t="str">
        <f t="shared" si="19"/>
        <v>42</v>
      </c>
      <c r="E201" s="21">
        <f t="shared" si="21"/>
        <v>37909</v>
      </c>
      <c r="F201" s="17" t="str">
        <f t="shared" si="22"/>
        <v>2003-10</v>
      </c>
      <c r="G201" s="25">
        <f t="shared" si="23"/>
        <v>22.356000000000002</v>
      </c>
      <c r="H201" s="4" t="s">
        <v>2197</v>
      </c>
      <c r="I201" s="27">
        <v>66.64</v>
      </c>
      <c r="J201" s="26">
        <v>66.64</v>
      </c>
      <c r="K201" s="18" t="s">
        <v>430</v>
      </c>
      <c r="L201" s="19">
        <v>24833</v>
      </c>
      <c r="M201" s="18" t="s">
        <v>190</v>
      </c>
      <c r="N201" s="20">
        <f t="shared" si="20"/>
        <v>60356000000</v>
      </c>
    </row>
    <row r="202" spans="1:14" x14ac:dyDescent="0.25">
      <c r="A202" s="18" t="s">
        <v>1787</v>
      </c>
      <c r="B202" s="28">
        <v>22.58</v>
      </c>
      <c r="C202" s="16" t="str">
        <f t="shared" si="18"/>
        <v>2003</v>
      </c>
      <c r="D202" t="str">
        <f t="shared" si="19"/>
        <v>43</v>
      </c>
      <c r="E202" s="21">
        <f t="shared" si="21"/>
        <v>37916</v>
      </c>
      <c r="F202" s="17" t="str">
        <f t="shared" si="22"/>
        <v>2003-10</v>
      </c>
      <c r="G202" s="25">
        <f t="shared" si="23"/>
        <v>22.356000000000002</v>
      </c>
      <c r="H202" s="4" t="s">
        <v>2198</v>
      </c>
      <c r="I202" s="27">
        <v>64.677999999999997</v>
      </c>
      <c r="J202" s="26">
        <v>64.677999999999997</v>
      </c>
      <c r="K202" s="18" t="s">
        <v>429</v>
      </c>
      <c r="L202" s="19">
        <v>24100</v>
      </c>
      <c r="M202" s="18" t="s">
        <v>189</v>
      </c>
      <c r="N202" s="20">
        <f t="shared" si="20"/>
        <v>59394000000</v>
      </c>
    </row>
    <row r="203" spans="1:14" x14ac:dyDescent="0.25">
      <c r="A203" s="18" t="s">
        <v>1786</v>
      </c>
      <c r="B203" s="28">
        <v>21.72</v>
      </c>
      <c r="C203" s="16" t="str">
        <f t="shared" si="18"/>
        <v>2003</v>
      </c>
      <c r="D203" t="str">
        <f t="shared" si="19"/>
        <v>44</v>
      </c>
      <c r="E203" s="21">
        <f t="shared" si="21"/>
        <v>37923</v>
      </c>
      <c r="F203" s="17" t="str">
        <f t="shared" si="22"/>
        <v>2003-10</v>
      </c>
      <c r="G203" s="25">
        <f t="shared" si="23"/>
        <v>22.356000000000002</v>
      </c>
      <c r="H203" s="4" t="s">
        <v>2199</v>
      </c>
      <c r="I203" s="27">
        <v>57.917499999999997</v>
      </c>
      <c r="J203" s="26">
        <v>57.917499999999997</v>
      </c>
      <c r="K203" s="18" t="s">
        <v>428</v>
      </c>
      <c r="L203" s="19">
        <v>26358</v>
      </c>
      <c r="M203" s="18" t="s">
        <v>188</v>
      </c>
      <c r="N203" s="20">
        <f t="shared" si="20"/>
        <v>59569000000</v>
      </c>
    </row>
    <row r="204" spans="1:14" x14ac:dyDescent="0.25">
      <c r="A204" s="18" t="s">
        <v>1785</v>
      </c>
      <c r="B204" s="28">
        <v>21.03</v>
      </c>
      <c r="C204" s="16" t="str">
        <f t="shared" si="18"/>
        <v>2003</v>
      </c>
      <c r="D204" t="str">
        <f t="shared" si="19"/>
        <v>45</v>
      </c>
      <c r="E204" s="21">
        <f t="shared" si="21"/>
        <v>37930</v>
      </c>
      <c r="F204" s="17" t="str">
        <f t="shared" si="22"/>
        <v>2003-11</v>
      </c>
      <c r="G204" s="25">
        <f t="shared" si="23"/>
        <v>20.844999999999999</v>
      </c>
      <c r="H204" s="4" t="s">
        <v>2200</v>
      </c>
      <c r="I204" s="27">
        <v>55.089999999999996</v>
      </c>
      <c r="J204" s="26">
        <v>55.089999999999996</v>
      </c>
      <c r="K204" s="18" t="s">
        <v>427</v>
      </c>
      <c r="L204" s="19">
        <v>27200</v>
      </c>
      <c r="M204" s="18" t="s">
        <v>187</v>
      </c>
      <c r="N204" s="20">
        <f t="shared" si="20"/>
        <v>57479000000</v>
      </c>
    </row>
    <row r="205" spans="1:14" x14ac:dyDescent="0.25">
      <c r="A205" s="18" t="s">
        <v>1784</v>
      </c>
      <c r="B205" s="28">
        <v>20.47</v>
      </c>
      <c r="C205" s="16" t="str">
        <f t="shared" si="18"/>
        <v>2003</v>
      </c>
      <c r="D205" t="str">
        <f t="shared" si="19"/>
        <v>46</v>
      </c>
      <c r="E205" s="21">
        <f t="shared" si="21"/>
        <v>37937</v>
      </c>
      <c r="F205" s="17" t="str">
        <f t="shared" si="22"/>
        <v>2003-11</v>
      </c>
      <c r="G205" s="25">
        <f t="shared" si="23"/>
        <v>20.844999999999999</v>
      </c>
      <c r="H205" s="4" t="s">
        <v>2201</v>
      </c>
      <c r="I205" s="27">
        <v>60.795000000000002</v>
      </c>
      <c r="J205" s="26">
        <v>60.795000000000002</v>
      </c>
      <c r="K205" s="18" t="s">
        <v>426</v>
      </c>
      <c r="L205" s="19">
        <v>30649</v>
      </c>
      <c r="M205" s="18" t="s">
        <v>186</v>
      </c>
      <c r="N205" s="20">
        <f t="shared" si="20"/>
        <v>68955000000</v>
      </c>
    </row>
    <row r="206" spans="1:14" x14ac:dyDescent="0.25">
      <c r="A206" s="18" t="s">
        <v>1783</v>
      </c>
      <c r="B206" s="28">
        <v>20.66</v>
      </c>
      <c r="C206" s="16" t="str">
        <f t="shared" si="18"/>
        <v>2003</v>
      </c>
      <c r="D206" t="str">
        <f t="shared" si="19"/>
        <v>47</v>
      </c>
      <c r="E206" s="21">
        <f t="shared" si="21"/>
        <v>37944</v>
      </c>
      <c r="F206" s="17" t="str">
        <f t="shared" si="22"/>
        <v>2003-11</v>
      </c>
      <c r="G206" s="25">
        <f t="shared" si="23"/>
        <v>20.844999999999999</v>
      </c>
      <c r="H206" s="4" t="s">
        <v>2202</v>
      </c>
      <c r="I206" s="27">
        <v>62.15</v>
      </c>
      <c r="J206" s="26">
        <v>62.15</v>
      </c>
      <c r="K206" s="18" t="s">
        <v>425</v>
      </c>
      <c r="L206" s="19">
        <v>30492</v>
      </c>
      <c r="M206" s="18" t="s">
        <v>185</v>
      </c>
      <c r="N206" s="20">
        <f t="shared" si="20"/>
        <v>70550000000</v>
      </c>
    </row>
    <row r="207" spans="1:14" x14ac:dyDescent="0.25">
      <c r="A207" s="18" t="s">
        <v>1782</v>
      </c>
      <c r="B207" s="28">
        <v>21.22</v>
      </c>
      <c r="C207" s="16" t="str">
        <f t="shared" si="18"/>
        <v>2003</v>
      </c>
      <c r="D207" t="str">
        <f t="shared" si="19"/>
        <v>48</v>
      </c>
      <c r="E207" s="21">
        <f t="shared" si="21"/>
        <v>37951</v>
      </c>
      <c r="F207" s="17" t="str">
        <f t="shared" si="22"/>
        <v>2003-11</v>
      </c>
      <c r="G207" s="25">
        <f t="shared" si="23"/>
        <v>20.844999999999999</v>
      </c>
      <c r="H207" s="4" t="s">
        <v>2203</v>
      </c>
      <c r="I207" s="27">
        <v>70.585000000000008</v>
      </c>
      <c r="J207" s="26">
        <v>70.585000000000008</v>
      </c>
      <c r="K207" s="18" t="s">
        <v>424</v>
      </c>
      <c r="L207" s="19">
        <v>28208</v>
      </c>
      <c r="M207" s="18" t="s">
        <v>184</v>
      </c>
      <c r="N207" s="20">
        <f t="shared" si="20"/>
        <v>72371000000</v>
      </c>
    </row>
    <row r="208" spans="1:14" x14ac:dyDescent="0.25">
      <c r="A208" s="18" t="s">
        <v>1781</v>
      </c>
      <c r="B208" s="28">
        <v>21.24</v>
      </c>
      <c r="C208" s="16" t="str">
        <f t="shared" si="18"/>
        <v>2003</v>
      </c>
      <c r="D208" t="str">
        <f t="shared" si="19"/>
        <v>49</v>
      </c>
      <c r="E208" s="21">
        <f t="shared" si="21"/>
        <v>37958</v>
      </c>
      <c r="F208" s="17" t="str">
        <f t="shared" si="22"/>
        <v>2003-12</v>
      </c>
      <c r="G208" s="25">
        <f t="shared" si="23"/>
        <v>20.997499999999999</v>
      </c>
      <c r="H208" s="4" t="s">
        <v>2204</v>
      </c>
      <c r="I208" s="27">
        <v>71.305999999999997</v>
      </c>
      <c r="J208" s="26">
        <v>71.305999999999997</v>
      </c>
      <c r="K208" s="18" t="s">
        <v>423</v>
      </c>
      <c r="L208" s="19">
        <v>31402</v>
      </c>
      <c r="M208" s="18" t="s">
        <v>183</v>
      </c>
      <c r="N208" s="20">
        <f t="shared" si="20"/>
        <v>77510000000</v>
      </c>
    </row>
    <row r="209" spans="1:14" x14ac:dyDescent="0.25">
      <c r="A209" s="18" t="s">
        <v>1780</v>
      </c>
      <c r="B209" s="28">
        <v>21.24</v>
      </c>
      <c r="C209" s="16" t="str">
        <f t="shared" si="18"/>
        <v>2003</v>
      </c>
      <c r="D209" t="str">
        <f t="shared" si="19"/>
        <v>50</v>
      </c>
      <c r="E209" s="21">
        <f t="shared" si="21"/>
        <v>37965</v>
      </c>
      <c r="F209" s="17" t="str">
        <f t="shared" si="22"/>
        <v>2003-12</v>
      </c>
      <c r="G209" s="25">
        <f t="shared" si="23"/>
        <v>20.997499999999999</v>
      </c>
      <c r="H209" s="4" t="s">
        <v>2205</v>
      </c>
      <c r="I209" s="27">
        <v>62.947500000000005</v>
      </c>
      <c r="J209" s="26">
        <v>62.947500000000005</v>
      </c>
      <c r="K209" s="18" t="s">
        <v>422</v>
      </c>
      <c r="L209" s="19">
        <v>26145</v>
      </c>
      <c r="M209" s="18" t="s">
        <v>182</v>
      </c>
      <c r="N209" s="20">
        <f t="shared" si="20"/>
        <v>70981000000</v>
      </c>
    </row>
    <row r="210" spans="1:14" x14ac:dyDescent="0.25">
      <c r="A210" s="18" t="s">
        <v>1779</v>
      </c>
      <c r="B210" s="28">
        <v>20.61</v>
      </c>
      <c r="C210" s="16" t="str">
        <f t="shared" si="18"/>
        <v>2003</v>
      </c>
      <c r="D210" t="str">
        <f t="shared" si="19"/>
        <v>51</v>
      </c>
      <c r="E210" s="21">
        <f t="shared" si="21"/>
        <v>37972</v>
      </c>
      <c r="F210" s="17" t="str">
        <f t="shared" si="22"/>
        <v>2003-12</v>
      </c>
      <c r="G210" s="25">
        <f t="shared" si="23"/>
        <v>20.997499999999999</v>
      </c>
      <c r="H210" s="4" t="s">
        <v>2206</v>
      </c>
      <c r="I210" s="27">
        <v>61.7</v>
      </c>
      <c r="J210" s="26">
        <v>61.7</v>
      </c>
      <c r="K210" s="18" t="s">
        <v>421</v>
      </c>
      <c r="L210" s="19">
        <v>27285</v>
      </c>
      <c r="M210" s="18" t="s">
        <v>181</v>
      </c>
      <c r="N210" s="20">
        <f t="shared" si="20"/>
        <v>78230000000</v>
      </c>
    </row>
    <row r="211" spans="1:14" x14ac:dyDescent="0.25">
      <c r="A211" s="18" t="s">
        <v>1778</v>
      </c>
      <c r="B211" s="28">
        <v>20.9</v>
      </c>
      <c r="C211" s="16" t="str">
        <f t="shared" si="18"/>
        <v>2003</v>
      </c>
      <c r="D211" t="str">
        <f t="shared" si="19"/>
        <v>52</v>
      </c>
      <c r="E211" s="21">
        <f t="shared" si="21"/>
        <v>37979</v>
      </c>
      <c r="F211" s="17" t="str">
        <f t="shared" si="22"/>
        <v>2003-12</v>
      </c>
      <c r="G211" s="25">
        <f t="shared" si="23"/>
        <v>20.997499999999999</v>
      </c>
      <c r="H211" s="4" t="s">
        <v>2207</v>
      </c>
      <c r="I211" s="27">
        <v>64.152000000000001</v>
      </c>
      <c r="J211" s="26">
        <v>64.152000000000001</v>
      </c>
      <c r="K211" s="18" t="s">
        <v>420</v>
      </c>
      <c r="L211" s="19">
        <v>29059</v>
      </c>
      <c r="M211" s="18" t="s">
        <v>180</v>
      </c>
      <c r="N211" s="20">
        <f t="shared" si="20"/>
        <v>68595000000</v>
      </c>
    </row>
    <row r="212" spans="1:14" x14ac:dyDescent="0.25">
      <c r="A212" s="18" t="s">
        <v>1777</v>
      </c>
      <c r="B212" s="28">
        <v>22.06</v>
      </c>
      <c r="C212" s="16" t="str">
        <f t="shared" ref="C212:C275" si="24">LEFT(A212,4)</f>
        <v>2004</v>
      </c>
      <c r="D212" t="str">
        <f t="shared" ref="D212:D275" si="25">RIGHT(A212,2)</f>
        <v>01</v>
      </c>
      <c r="E212" s="21">
        <f t="shared" si="21"/>
        <v>37987</v>
      </c>
      <c r="F212" s="17" t="str">
        <f t="shared" si="22"/>
        <v>2004-01</v>
      </c>
      <c r="G212" s="25">
        <f t="shared" si="23"/>
        <v>22.038000000000004</v>
      </c>
      <c r="H212" s="4" t="s">
        <v>2208</v>
      </c>
      <c r="I212" s="27">
        <v>70.209999999999994</v>
      </c>
      <c r="J212" s="26">
        <v>70.209999999999994</v>
      </c>
      <c r="K212" s="18" t="s">
        <v>419</v>
      </c>
      <c r="L212" s="19">
        <v>28337</v>
      </c>
      <c r="M212" s="18" t="s">
        <v>179</v>
      </c>
      <c r="N212" s="20">
        <f t="shared" si="20"/>
        <v>68881000000</v>
      </c>
    </row>
    <row r="213" spans="1:14" x14ac:dyDescent="0.25">
      <c r="A213" s="18" t="s">
        <v>1776</v>
      </c>
      <c r="B213" s="28">
        <v>22.09</v>
      </c>
      <c r="C213" s="16" t="str">
        <f t="shared" si="24"/>
        <v>2004</v>
      </c>
      <c r="D213" t="str">
        <f t="shared" si="25"/>
        <v>02</v>
      </c>
      <c r="E213" s="21">
        <f t="shared" si="21"/>
        <v>37994</v>
      </c>
      <c r="F213" s="17" t="str">
        <f t="shared" si="22"/>
        <v>2004-01</v>
      </c>
      <c r="G213" s="25">
        <f t="shared" si="23"/>
        <v>22.038000000000004</v>
      </c>
      <c r="H213" s="4" t="s">
        <v>2209</v>
      </c>
      <c r="I213" s="27">
        <v>69.025000000000006</v>
      </c>
      <c r="J213" s="26">
        <v>69.025000000000006</v>
      </c>
      <c r="K213" s="18" t="s">
        <v>418</v>
      </c>
      <c r="L213" s="19">
        <v>26414</v>
      </c>
      <c r="M213" s="18" t="s">
        <v>178</v>
      </c>
      <c r="N213" s="20">
        <f t="shared" si="20"/>
        <v>68955000000</v>
      </c>
    </row>
    <row r="214" spans="1:14" x14ac:dyDescent="0.25">
      <c r="A214" s="18" t="s">
        <v>1775</v>
      </c>
      <c r="B214" s="28">
        <v>22.25</v>
      </c>
      <c r="C214" s="16" t="str">
        <f t="shared" si="24"/>
        <v>2004</v>
      </c>
      <c r="D214" t="str">
        <f t="shared" si="25"/>
        <v>03</v>
      </c>
      <c r="E214" s="21">
        <f t="shared" si="21"/>
        <v>38001</v>
      </c>
      <c r="F214" s="17" t="str">
        <f t="shared" si="22"/>
        <v>2004-01</v>
      </c>
      <c r="G214" s="25">
        <f t="shared" si="23"/>
        <v>22.038000000000004</v>
      </c>
      <c r="H214" s="4" t="s">
        <v>2210</v>
      </c>
      <c r="I214" s="27">
        <v>63.342000000000006</v>
      </c>
      <c r="J214" s="26">
        <v>63.342000000000006</v>
      </c>
      <c r="K214" s="18" t="s">
        <v>417</v>
      </c>
      <c r="L214" s="19">
        <v>28413</v>
      </c>
      <c r="M214" s="18" t="s">
        <v>177</v>
      </c>
      <c r="N214" s="20">
        <f t="shared" si="20"/>
        <v>62930000000</v>
      </c>
    </row>
    <row r="215" spans="1:14" x14ac:dyDescent="0.25">
      <c r="A215" s="18" t="s">
        <v>1774</v>
      </c>
      <c r="B215" s="28">
        <v>21.93</v>
      </c>
      <c r="C215" s="16" t="str">
        <f t="shared" si="24"/>
        <v>2004</v>
      </c>
      <c r="D215" t="str">
        <f t="shared" si="25"/>
        <v>04</v>
      </c>
      <c r="E215" s="21">
        <f t="shared" si="21"/>
        <v>38008</v>
      </c>
      <c r="F215" s="17" t="str">
        <f t="shared" si="22"/>
        <v>2004-01</v>
      </c>
      <c r="G215" s="25">
        <f t="shared" si="23"/>
        <v>22.038000000000004</v>
      </c>
      <c r="H215" s="4" t="s">
        <v>2211</v>
      </c>
      <c r="I215" s="27">
        <v>56.712499999999991</v>
      </c>
      <c r="J215" s="26">
        <v>56.712499999999991</v>
      </c>
      <c r="K215" s="18" t="s">
        <v>416</v>
      </c>
      <c r="L215" s="19">
        <v>26197</v>
      </c>
      <c r="M215" s="18" t="s">
        <v>176</v>
      </c>
      <c r="N215" s="20">
        <f t="shared" si="20"/>
        <v>68710000000</v>
      </c>
    </row>
    <row r="216" spans="1:14" x14ac:dyDescent="0.25">
      <c r="A216" s="18" t="s">
        <v>1773</v>
      </c>
      <c r="B216" s="28">
        <v>21.86</v>
      </c>
      <c r="C216" s="16" t="str">
        <f t="shared" si="24"/>
        <v>2004</v>
      </c>
      <c r="D216" t="str">
        <f t="shared" si="25"/>
        <v>05</v>
      </c>
      <c r="E216" s="21">
        <f t="shared" si="21"/>
        <v>38015</v>
      </c>
      <c r="F216" s="17" t="str">
        <f t="shared" si="22"/>
        <v>2004-01</v>
      </c>
      <c r="G216" s="25">
        <f t="shared" si="23"/>
        <v>22.038000000000004</v>
      </c>
      <c r="H216" s="4" t="s">
        <v>2212</v>
      </c>
      <c r="I216" s="27">
        <v>55.48</v>
      </c>
      <c r="J216" s="26">
        <v>55.48</v>
      </c>
      <c r="K216" s="18" t="s">
        <v>415</v>
      </c>
      <c r="L216" s="19">
        <v>29976</v>
      </c>
      <c r="M216" s="18" t="s">
        <v>175</v>
      </c>
      <c r="N216" s="20">
        <f t="shared" si="20"/>
        <v>66519000000</v>
      </c>
    </row>
    <row r="217" spans="1:14" x14ac:dyDescent="0.25">
      <c r="A217" s="18" t="s">
        <v>1772</v>
      </c>
      <c r="B217" s="28">
        <v>22.71</v>
      </c>
      <c r="C217" s="16" t="str">
        <f t="shared" si="24"/>
        <v>2004</v>
      </c>
      <c r="D217" t="str">
        <f t="shared" si="25"/>
        <v>06</v>
      </c>
      <c r="E217" s="21">
        <f t="shared" si="21"/>
        <v>38022</v>
      </c>
      <c r="F217" s="17" t="str">
        <f t="shared" si="22"/>
        <v>2004-02</v>
      </c>
      <c r="G217" s="25">
        <f t="shared" si="23"/>
        <v>23.080000000000002</v>
      </c>
      <c r="H217" s="4" t="s">
        <v>2213</v>
      </c>
      <c r="I217" s="27">
        <v>53.734000000000002</v>
      </c>
      <c r="J217" s="26">
        <v>53.734000000000002</v>
      </c>
      <c r="K217" s="18" t="s">
        <v>414</v>
      </c>
      <c r="L217" s="19">
        <v>30361</v>
      </c>
      <c r="M217" s="18" t="s">
        <v>174</v>
      </c>
      <c r="N217" s="20">
        <f t="shared" si="20"/>
        <v>75292000000</v>
      </c>
    </row>
    <row r="218" spans="1:14" x14ac:dyDescent="0.25">
      <c r="A218" s="18" t="s">
        <v>1771</v>
      </c>
      <c r="B218" s="28">
        <v>23.3</v>
      </c>
      <c r="C218" s="16" t="str">
        <f t="shared" si="24"/>
        <v>2004</v>
      </c>
      <c r="D218" t="str">
        <f t="shared" si="25"/>
        <v>07</v>
      </c>
      <c r="E218" s="21">
        <f t="shared" si="21"/>
        <v>38029</v>
      </c>
      <c r="F218" s="17" t="str">
        <f t="shared" si="22"/>
        <v>2004-02</v>
      </c>
      <c r="G218" s="25">
        <f t="shared" si="23"/>
        <v>23.080000000000002</v>
      </c>
      <c r="H218" s="4" t="s">
        <v>2214</v>
      </c>
      <c r="I218" s="27">
        <v>50.702500000000001</v>
      </c>
      <c r="J218" s="26">
        <v>50.702500000000001</v>
      </c>
      <c r="K218" s="18" t="s">
        <v>413</v>
      </c>
      <c r="L218" s="19">
        <v>29500</v>
      </c>
      <c r="M218" s="18" t="s">
        <v>173</v>
      </c>
      <c r="N218" s="20">
        <f t="shared" si="20"/>
        <v>78886000000</v>
      </c>
    </row>
    <row r="219" spans="1:14" x14ac:dyDescent="0.25">
      <c r="A219" s="18" t="s">
        <v>1770</v>
      </c>
      <c r="B219" s="28">
        <v>23.26</v>
      </c>
      <c r="C219" s="16" t="str">
        <f t="shared" si="24"/>
        <v>2004</v>
      </c>
      <c r="D219" t="str">
        <f t="shared" si="25"/>
        <v>08</v>
      </c>
      <c r="E219" s="21">
        <f t="shared" si="21"/>
        <v>38036</v>
      </c>
      <c r="F219" s="17" t="str">
        <f t="shared" si="22"/>
        <v>2004-02</v>
      </c>
      <c r="G219" s="25">
        <f t="shared" si="23"/>
        <v>23.080000000000002</v>
      </c>
      <c r="H219" s="4" t="s">
        <v>2215</v>
      </c>
      <c r="I219" s="27">
        <v>54.519999999999996</v>
      </c>
      <c r="J219" s="26">
        <v>54.519999999999996</v>
      </c>
      <c r="K219" s="18" t="s">
        <v>412</v>
      </c>
      <c r="L219" s="19">
        <v>29332</v>
      </c>
      <c r="M219" s="18" t="s">
        <v>172</v>
      </c>
      <c r="N219" s="20">
        <f t="shared" si="20"/>
        <v>78134000000</v>
      </c>
    </row>
    <row r="220" spans="1:14" x14ac:dyDescent="0.25">
      <c r="A220" s="18" t="s">
        <v>1769</v>
      </c>
      <c r="B220" s="28">
        <v>23.05</v>
      </c>
      <c r="C220" s="16" t="str">
        <f t="shared" si="24"/>
        <v>2004</v>
      </c>
      <c r="D220" t="str">
        <f t="shared" si="25"/>
        <v>09</v>
      </c>
      <c r="E220" s="21">
        <f t="shared" si="21"/>
        <v>38043</v>
      </c>
      <c r="F220" s="17" t="str">
        <f t="shared" si="22"/>
        <v>2004-02</v>
      </c>
      <c r="G220" s="25">
        <f t="shared" si="23"/>
        <v>23.080000000000002</v>
      </c>
      <c r="H220" s="4" t="s">
        <v>2216</v>
      </c>
      <c r="I220" s="27">
        <v>57.016000000000005</v>
      </c>
      <c r="J220" s="26">
        <v>57.016000000000005</v>
      </c>
      <c r="K220" s="18" t="s">
        <v>411</v>
      </c>
      <c r="L220" s="19">
        <v>29726</v>
      </c>
      <c r="M220" s="18" t="s">
        <v>171</v>
      </c>
      <c r="N220" s="20">
        <f t="shared" si="20"/>
        <v>85602000000</v>
      </c>
    </row>
    <row r="221" spans="1:14" x14ac:dyDescent="0.25">
      <c r="A221" s="18" t="s">
        <v>1768</v>
      </c>
      <c r="B221" s="28">
        <v>23.2</v>
      </c>
      <c r="C221" s="16" t="str">
        <f t="shared" si="24"/>
        <v>2004</v>
      </c>
      <c r="D221" t="str">
        <f t="shared" si="25"/>
        <v>10</v>
      </c>
      <c r="E221" s="21">
        <f t="shared" si="21"/>
        <v>38050</v>
      </c>
      <c r="F221" s="17" t="str">
        <f t="shared" si="22"/>
        <v>2004-03</v>
      </c>
      <c r="G221" s="25">
        <f t="shared" si="23"/>
        <v>24.012499999999999</v>
      </c>
      <c r="H221" s="4" t="s">
        <v>2217</v>
      </c>
      <c r="I221" s="27">
        <v>59.642500000000005</v>
      </c>
      <c r="J221" s="26">
        <v>59.642500000000005</v>
      </c>
      <c r="K221" s="18" t="s">
        <v>410</v>
      </c>
      <c r="L221" s="19">
        <v>25410</v>
      </c>
      <c r="M221" s="18" t="s">
        <v>170</v>
      </c>
      <c r="N221" s="20">
        <f t="shared" si="20"/>
        <v>75891000000</v>
      </c>
    </row>
    <row r="222" spans="1:14" x14ac:dyDescent="0.25">
      <c r="A222" s="18" t="s">
        <v>1767</v>
      </c>
      <c r="B222" s="28">
        <v>23.77</v>
      </c>
      <c r="C222" s="16" t="str">
        <f t="shared" si="24"/>
        <v>2004</v>
      </c>
      <c r="D222" t="str">
        <f t="shared" si="25"/>
        <v>11</v>
      </c>
      <c r="E222" s="21">
        <f t="shared" si="21"/>
        <v>38057</v>
      </c>
      <c r="F222" s="17" t="str">
        <f t="shared" si="22"/>
        <v>2004-03</v>
      </c>
      <c r="G222" s="25">
        <f t="shared" si="23"/>
        <v>24.012499999999999</v>
      </c>
      <c r="H222" s="4" t="s">
        <v>2218</v>
      </c>
      <c r="I222" s="27">
        <v>68.094999999999999</v>
      </c>
      <c r="J222" s="26">
        <v>68.094999999999999</v>
      </c>
      <c r="K222" s="18" t="s">
        <v>409</v>
      </c>
      <c r="L222" s="19">
        <v>29850</v>
      </c>
      <c r="M222" s="18" t="s">
        <v>169</v>
      </c>
      <c r="N222" s="20">
        <f t="shared" si="20"/>
        <v>82132000000</v>
      </c>
    </row>
    <row r="223" spans="1:14" x14ac:dyDescent="0.25">
      <c r="A223" s="18" t="s">
        <v>1766</v>
      </c>
      <c r="B223" s="28">
        <v>24.35</v>
      </c>
      <c r="C223" s="16" t="str">
        <f t="shared" si="24"/>
        <v>2004</v>
      </c>
      <c r="D223" t="str">
        <f t="shared" si="25"/>
        <v>12</v>
      </c>
      <c r="E223" s="21">
        <f t="shared" si="21"/>
        <v>38064</v>
      </c>
      <c r="F223" s="17" t="str">
        <f t="shared" si="22"/>
        <v>2004-03</v>
      </c>
      <c r="G223" s="25">
        <f t="shared" si="23"/>
        <v>24.012499999999999</v>
      </c>
      <c r="H223" s="4" t="s">
        <v>2219</v>
      </c>
      <c r="I223" s="27">
        <v>68.996000000000009</v>
      </c>
      <c r="J223" s="26">
        <v>68.996000000000009</v>
      </c>
      <c r="K223" s="18" t="s">
        <v>408</v>
      </c>
      <c r="L223" s="19">
        <v>25625</v>
      </c>
      <c r="M223" s="18" t="s">
        <v>168</v>
      </c>
      <c r="N223" s="20">
        <f t="shared" si="20"/>
        <v>80395000000</v>
      </c>
    </row>
    <row r="224" spans="1:14" x14ac:dyDescent="0.25">
      <c r="A224" s="18" t="s">
        <v>1765</v>
      </c>
      <c r="B224" s="28">
        <v>24.73</v>
      </c>
      <c r="C224" s="16" t="str">
        <f t="shared" si="24"/>
        <v>2004</v>
      </c>
      <c r="D224" t="str">
        <f t="shared" si="25"/>
        <v>13</v>
      </c>
      <c r="E224" s="21">
        <f t="shared" si="21"/>
        <v>38071</v>
      </c>
      <c r="F224" s="17" t="str">
        <f t="shared" si="22"/>
        <v>2004-03</v>
      </c>
      <c r="G224" s="25">
        <f t="shared" si="23"/>
        <v>24.012499999999999</v>
      </c>
      <c r="H224" s="4" t="s">
        <v>2220</v>
      </c>
      <c r="I224" s="27">
        <v>72.842500000000001</v>
      </c>
      <c r="J224" s="26">
        <v>72.842500000000001</v>
      </c>
      <c r="K224" s="18" t="s">
        <v>407</v>
      </c>
      <c r="L224" s="19">
        <v>24527</v>
      </c>
      <c r="M224" s="18" t="s">
        <v>167</v>
      </c>
      <c r="N224" s="20">
        <f t="shared" si="20"/>
        <v>80627000000</v>
      </c>
    </row>
    <row r="225" spans="1:14" x14ac:dyDescent="0.25">
      <c r="A225" s="18" t="s">
        <v>1764</v>
      </c>
      <c r="B225" s="28">
        <v>24.88</v>
      </c>
      <c r="C225" s="16" t="str">
        <f t="shared" si="24"/>
        <v>2004</v>
      </c>
      <c r="D225" t="str">
        <f t="shared" si="25"/>
        <v>14</v>
      </c>
      <c r="E225" s="21">
        <f t="shared" si="21"/>
        <v>38078</v>
      </c>
      <c r="F225" s="17" t="str">
        <f t="shared" si="22"/>
        <v>2004-04</v>
      </c>
      <c r="G225" s="25">
        <f t="shared" si="23"/>
        <v>24.974</v>
      </c>
      <c r="H225" s="4" t="s">
        <v>2221</v>
      </c>
      <c r="I225" s="27">
        <v>61.572500000000005</v>
      </c>
      <c r="J225" s="26">
        <v>61.572500000000005</v>
      </c>
      <c r="K225" s="18" t="s">
        <v>406</v>
      </c>
      <c r="L225" s="19">
        <v>25298</v>
      </c>
      <c r="M225" s="18" t="s">
        <v>166</v>
      </c>
      <c r="N225" s="20">
        <f t="shared" si="20"/>
        <v>79849000000</v>
      </c>
    </row>
    <row r="226" spans="1:14" x14ac:dyDescent="0.25">
      <c r="A226" s="18" t="s">
        <v>1763</v>
      </c>
      <c r="B226" s="28">
        <v>25.1</v>
      </c>
      <c r="C226" s="16" t="str">
        <f t="shared" si="24"/>
        <v>2004</v>
      </c>
      <c r="D226" t="str">
        <f t="shared" si="25"/>
        <v>15</v>
      </c>
      <c r="E226" s="21">
        <f t="shared" si="21"/>
        <v>38085</v>
      </c>
      <c r="F226" s="17" t="str">
        <f t="shared" si="22"/>
        <v>2004-04</v>
      </c>
      <c r="G226" s="25">
        <f t="shared" si="23"/>
        <v>24.974</v>
      </c>
      <c r="H226" s="4" t="s">
        <v>2222</v>
      </c>
      <c r="I226" s="27">
        <v>56.519999999999996</v>
      </c>
      <c r="J226" s="26">
        <v>56.519999999999996</v>
      </c>
      <c r="K226" s="18" t="s">
        <v>405</v>
      </c>
      <c r="L226" s="19">
        <v>23242</v>
      </c>
      <c r="M226" s="18" t="s">
        <v>165</v>
      </c>
      <c r="N226" s="20">
        <f t="shared" si="20"/>
        <v>82053000000</v>
      </c>
    </row>
    <row r="227" spans="1:14" x14ac:dyDescent="0.25">
      <c r="A227" s="18" t="s">
        <v>1762</v>
      </c>
      <c r="B227" s="28">
        <v>24.99</v>
      </c>
      <c r="C227" s="16" t="str">
        <f t="shared" si="24"/>
        <v>2004</v>
      </c>
      <c r="D227" t="str">
        <f t="shared" si="25"/>
        <v>16</v>
      </c>
      <c r="E227" s="21">
        <f t="shared" si="21"/>
        <v>38092</v>
      </c>
      <c r="F227" s="17" t="str">
        <f t="shared" si="22"/>
        <v>2004-04</v>
      </c>
      <c r="G227" s="25">
        <f t="shared" si="23"/>
        <v>24.974</v>
      </c>
      <c r="H227" s="4" t="s">
        <v>2223</v>
      </c>
      <c r="I227" s="27">
        <v>55.342500000000001</v>
      </c>
      <c r="J227" s="26">
        <v>55.342500000000001</v>
      </c>
      <c r="K227" s="18" t="s">
        <v>404</v>
      </c>
      <c r="L227" s="19">
        <v>21074</v>
      </c>
      <c r="M227" s="18" t="s">
        <v>164</v>
      </c>
      <c r="N227" s="20">
        <f t="shared" si="20"/>
        <v>87097000000</v>
      </c>
    </row>
    <row r="228" spans="1:14" x14ac:dyDescent="0.25">
      <c r="A228" s="18" t="s">
        <v>1761</v>
      </c>
      <c r="B228" s="28">
        <v>25.08</v>
      </c>
      <c r="C228" s="16" t="str">
        <f t="shared" si="24"/>
        <v>2004</v>
      </c>
      <c r="D228" t="str">
        <f t="shared" si="25"/>
        <v>17</v>
      </c>
      <c r="E228" s="21">
        <f t="shared" si="21"/>
        <v>38099</v>
      </c>
      <c r="F228" s="17" t="str">
        <f t="shared" si="22"/>
        <v>2004-04</v>
      </c>
      <c r="G228" s="25">
        <f t="shared" si="23"/>
        <v>24.974</v>
      </c>
      <c r="H228" s="4" t="s">
        <v>2224</v>
      </c>
      <c r="I228" s="27">
        <v>61.032500000000006</v>
      </c>
      <c r="J228" s="26">
        <v>61.032500000000006</v>
      </c>
      <c r="K228" s="18" t="s">
        <v>403</v>
      </c>
      <c r="L228" s="19">
        <v>25677</v>
      </c>
      <c r="M228" s="18" t="s">
        <v>163</v>
      </c>
      <c r="N228" s="20">
        <f t="shared" si="20"/>
        <v>81689000000</v>
      </c>
    </row>
    <row r="229" spans="1:14" x14ac:dyDescent="0.25">
      <c r="A229" s="18" t="s">
        <v>1760</v>
      </c>
      <c r="B229" s="28">
        <v>24.82</v>
      </c>
      <c r="C229" s="16" t="str">
        <f t="shared" si="24"/>
        <v>2004</v>
      </c>
      <c r="D229" t="str">
        <f t="shared" si="25"/>
        <v>18</v>
      </c>
      <c r="E229" s="21">
        <f t="shared" si="21"/>
        <v>38106</v>
      </c>
      <c r="F229" s="17" t="str">
        <f t="shared" si="22"/>
        <v>2004-04</v>
      </c>
      <c r="G229" s="25">
        <f t="shared" si="23"/>
        <v>24.974</v>
      </c>
      <c r="H229" s="4" t="s">
        <v>2225</v>
      </c>
      <c r="I229" s="27">
        <v>58.442000000000007</v>
      </c>
      <c r="J229" s="26">
        <v>58.442000000000007</v>
      </c>
      <c r="K229" s="18" t="s">
        <v>402</v>
      </c>
      <c r="L229" s="19">
        <v>26306</v>
      </c>
      <c r="M229" s="18" t="s">
        <v>162</v>
      </c>
      <c r="N229" s="20">
        <f t="shared" si="20"/>
        <v>98281000000</v>
      </c>
    </row>
    <row r="230" spans="1:14" x14ac:dyDescent="0.25">
      <c r="A230" s="18" t="s">
        <v>1759</v>
      </c>
      <c r="B230" s="28">
        <v>24.37</v>
      </c>
      <c r="C230" s="16" t="str">
        <f t="shared" si="24"/>
        <v>2004</v>
      </c>
      <c r="D230" t="str">
        <f t="shared" si="25"/>
        <v>19</v>
      </c>
      <c r="E230" s="21">
        <f t="shared" si="21"/>
        <v>38113</v>
      </c>
      <c r="F230" s="17" t="str">
        <f t="shared" si="22"/>
        <v>2004-05</v>
      </c>
      <c r="G230" s="25">
        <f t="shared" si="23"/>
        <v>23.7775</v>
      </c>
      <c r="H230" s="4" t="s">
        <v>2226</v>
      </c>
      <c r="I230" s="27">
        <v>55.717500000000001</v>
      </c>
      <c r="J230" s="26">
        <v>55.717500000000001</v>
      </c>
      <c r="K230" s="18" t="s">
        <v>401</v>
      </c>
      <c r="L230" s="19">
        <v>24312</v>
      </c>
      <c r="M230" s="18" t="s">
        <v>161</v>
      </c>
      <c r="N230" s="20">
        <f t="shared" si="20"/>
        <v>86960000000</v>
      </c>
    </row>
    <row r="231" spans="1:14" x14ac:dyDescent="0.25">
      <c r="A231" s="18" t="s">
        <v>1758</v>
      </c>
      <c r="B231" s="28">
        <v>23.81</v>
      </c>
      <c r="C231" s="16" t="str">
        <f t="shared" si="24"/>
        <v>2004</v>
      </c>
      <c r="D231" t="str">
        <f t="shared" si="25"/>
        <v>20</v>
      </c>
      <c r="E231" s="21">
        <f t="shared" si="21"/>
        <v>38120</v>
      </c>
      <c r="F231" s="17" t="str">
        <f t="shared" si="22"/>
        <v>2004-05</v>
      </c>
      <c r="G231" s="25">
        <f t="shared" si="23"/>
        <v>23.7775</v>
      </c>
      <c r="H231" s="4" t="s">
        <v>2227</v>
      </c>
      <c r="I231" s="27">
        <v>60.43</v>
      </c>
      <c r="J231" s="26">
        <v>60.43</v>
      </c>
      <c r="K231" s="18" t="s">
        <v>400</v>
      </c>
      <c r="L231" s="19">
        <v>23607</v>
      </c>
      <c r="M231" s="18" t="s">
        <v>160</v>
      </c>
      <c r="N231" s="20">
        <f t="shared" si="20"/>
        <v>79696000000</v>
      </c>
    </row>
    <row r="232" spans="1:14" x14ac:dyDescent="0.25">
      <c r="A232" s="18" t="s">
        <v>1757</v>
      </c>
      <c r="B232" s="28">
        <v>23.71</v>
      </c>
      <c r="C232" s="16" t="str">
        <f t="shared" si="24"/>
        <v>2004</v>
      </c>
      <c r="D232" t="str">
        <f t="shared" si="25"/>
        <v>21</v>
      </c>
      <c r="E232" s="21">
        <f t="shared" si="21"/>
        <v>38127</v>
      </c>
      <c r="F232" s="17" t="str">
        <f t="shared" si="22"/>
        <v>2004-05</v>
      </c>
      <c r="G232" s="25">
        <f t="shared" si="23"/>
        <v>23.7775</v>
      </c>
      <c r="H232" s="4" t="s">
        <v>2228</v>
      </c>
      <c r="I232" s="27">
        <v>62.335999999999991</v>
      </c>
      <c r="J232" s="26">
        <v>62.335999999999991</v>
      </c>
      <c r="K232" s="18" t="s">
        <v>399</v>
      </c>
      <c r="L232" s="19">
        <v>22028</v>
      </c>
      <c r="M232" s="18" t="s">
        <v>159</v>
      </c>
      <c r="N232" s="20">
        <f t="shared" si="20"/>
        <v>86774000000</v>
      </c>
    </row>
    <row r="233" spans="1:14" x14ac:dyDescent="0.25">
      <c r="A233" s="18" t="s">
        <v>1756</v>
      </c>
      <c r="B233" s="28">
        <v>23.22</v>
      </c>
      <c r="C233" s="16" t="str">
        <f t="shared" si="24"/>
        <v>2004</v>
      </c>
      <c r="D233" t="str">
        <f t="shared" si="25"/>
        <v>22</v>
      </c>
      <c r="E233" s="21">
        <f t="shared" si="21"/>
        <v>38134</v>
      </c>
      <c r="F233" s="17" t="str">
        <f t="shared" si="22"/>
        <v>2004-05</v>
      </c>
      <c r="G233" s="25">
        <f t="shared" si="23"/>
        <v>23.7775</v>
      </c>
      <c r="H233" s="4" t="s">
        <v>2229</v>
      </c>
      <c r="I233" s="27">
        <v>59.800000000000004</v>
      </c>
      <c r="J233" s="26">
        <v>59.800000000000004</v>
      </c>
      <c r="K233" s="18" t="s">
        <v>398</v>
      </c>
      <c r="L233" s="19">
        <v>22827</v>
      </c>
      <c r="M233" s="18" t="s">
        <v>158</v>
      </c>
      <c r="N233" s="20">
        <f t="shared" si="20"/>
        <v>76606000000</v>
      </c>
    </row>
    <row r="234" spans="1:14" x14ac:dyDescent="0.25">
      <c r="A234" s="18" t="s">
        <v>1755</v>
      </c>
      <c r="B234" s="28">
        <v>22.91</v>
      </c>
      <c r="C234" s="16" t="str">
        <f t="shared" si="24"/>
        <v>2004</v>
      </c>
      <c r="D234" t="str">
        <f t="shared" si="25"/>
        <v>23</v>
      </c>
      <c r="E234" s="21">
        <f t="shared" si="21"/>
        <v>38141</v>
      </c>
      <c r="F234" s="17" t="str">
        <f t="shared" si="22"/>
        <v>2004-06</v>
      </c>
      <c r="G234" s="25">
        <f t="shared" si="23"/>
        <v>22.047499999999999</v>
      </c>
      <c r="H234" s="4" t="s">
        <v>2230</v>
      </c>
      <c r="I234" s="27">
        <v>69.227499999999992</v>
      </c>
      <c r="J234" s="26">
        <v>69.227499999999992</v>
      </c>
      <c r="K234" s="18" t="s">
        <v>397</v>
      </c>
      <c r="L234" s="19">
        <v>27758</v>
      </c>
      <c r="M234" s="18" t="s">
        <v>157</v>
      </c>
      <c r="N234" s="20">
        <f t="shared" si="20"/>
        <v>85077000000</v>
      </c>
    </row>
    <row r="235" spans="1:14" x14ac:dyDescent="0.25">
      <c r="A235" s="18" t="s">
        <v>1754</v>
      </c>
      <c r="B235" s="28">
        <v>22.06</v>
      </c>
      <c r="C235" s="16" t="str">
        <f t="shared" si="24"/>
        <v>2004</v>
      </c>
      <c r="D235" t="str">
        <f t="shared" si="25"/>
        <v>24</v>
      </c>
      <c r="E235" s="21">
        <f t="shared" si="21"/>
        <v>38148</v>
      </c>
      <c r="F235" s="17" t="str">
        <f t="shared" si="22"/>
        <v>2004-06</v>
      </c>
      <c r="G235" s="25">
        <f t="shared" si="23"/>
        <v>22.047499999999999</v>
      </c>
      <c r="H235" s="4" t="s">
        <v>2231</v>
      </c>
      <c r="I235" s="27">
        <v>67.873999999999995</v>
      </c>
      <c r="J235" s="26">
        <v>67.873999999999995</v>
      </c>
      <c r="K235" s="18" t="s">
        <v>396</v>
      </c>
      <c r="L235" s="19">
        <v>25600</v>
      </c>
      <c r="M235" s="18" t="s">
        <v>156</v>
      </c>
      <c r="N235" s="20">
        <f t="shared" si="20"/>
        <v>77719000000</v>
      </c>
    </row>
    <row r="236" spans="1:14" x14ac:dyDescent="0.25">
      <c r="A236" s="18" t="s">
        <v>1753</v>
      </c>
      <c r="B236" s="28">
        <v>21.61</v>
      </c>
      <c r="C236" s="16" t="str">
        <f t="shared" si="24"/>
        <v>2004</v>
      </c>
      <c r="D236" t="str">
        <f t="shared" si="25"/>
        <v>25</v>
      </c>
      <c r="E236" s="21">
        <f t="shared" si="21"/>
        <v>38155</v>
      </c>
      <c r="F236" s="17" t="str">
        <f t="shared" si="22"/>
        <v>2004-06</v>
      </c>
      <c r="G236" s="25">
        <f t="shared" si="23"/>
        <v>22.047499999999999</v>
      </c>
      <c r="H236" s="4" t="s">
        <v>2232</v>
      </c>
      <c r="I236" s="27">
        <v>61.817500000000003</v>
      </c>
      <c r="J236" s="26">
        <v>61.817500000000003</v>
      </c>
      <c r="K236" s="18" t="s">
        <v>395</v>
      </c>
      <c r="L236" s="19">
        <v>25463</v>
      </c>
      <c r="M236" s="18" t="s">
        <v>155</v>
      </c>
      <c r="N236" s="20">
        <f t="shared" si="20"/>
        <v>76345000000</v>
      </c>
    </row>
    <row r="237" spans="1:14" x14ac:dyDescent="0.25">
      <c r="A237" s="18" t="s">
        <v>1752</v>
      </c>
      <c r="B237" s="28">
        <v>21.61</v>
      </c>
      <c r="C237" s="16" t="str">
        <f t="shared" si="24"/>
        <v>2004</v>
      </c>
      <c r="D237" t="str">
        <f t="shared" si="25"/>
        <v>26</v>
      </c>
      <c r="E237" s="21">
        <f t="shared" si="21"/>
        <v>38162</v>
      </c>
      <c r="F237" s="17" t="str">
        <f t="shared" si="22"/>
        <v>2004-06</v>
      </c>
      <c r="G237" s="25">
        <f t="shared" si="23"/>
        <v>22.047499999999999</v>
      </c>
      <c r="H237" s="4" t="s">
        <v>2233</v>
      </c>
      <c r="I237" s="27">
        <v>63.99</v>
      </c>
      <c r="J237" s="26">
        <v>63.99</v>
      </c>
      <c r="K237" s="18" t="s">
        <v>394</v>
      </c>
      <c r="L237" s="19">
        <v>29320</v>
      </c>
      <c r="M237" s="18" t="s">
        <v>154</v>
      </c>
      <c r="N237" s="20">
        <f t="shared" si="20"/>
        <v>66113000000</v>
      </c>
    </row>
    <row r="238" spans="1:14" x14ac:dyDescent="0.25">
      <c r="A238" s="18" t="s">
        <v>1751</v>
      </c>
      <c r="B238" s="28">
        <v>21.25</v>
      </c>
      <c r="C238" s="16" t="str">
        <f t="shared" si="24"/>
        <v>2004</v>
      </c>
      <c r="D238" t="str">
        <f t="shared" si="25"/>
        <v>27</v>
      </c>
      <c r="E238" s="21">
        <f t="shared" si="21"/>
        <v>38169</v>
      </c>
      <c r="F238" s="17" t="str">
        <f t="shared" si="22"/>
        <v>2004-07</v>
      </c>
      <c r="G238" s="25">
        <f t="shared" si="23"/>
        <v>21.55</v>
      </c>
      <c r="H238" s="4" t="s">
        <v>2234</v>
      </c>
      <c r="I238" s="27">
        <v>59.234000000000002</v>
      </c>
      <c r="J238" s="26">
        <v>59.234000000000002</v>
      </c>
      <c r="K238" s="18" t="s">
        <v>393</v>
      </c>
      <c r="L238" s="19">
        <v>27004</v>
      </c>
      <c r="M238" s="18" t="s">
        <v>153</v>
      </c>
      <c r="N238" s="20">
        <f t="shared" si="20"/>
        <v>67059000000</v>
      </c>
    </row>
    <row r="239" spans="1:14" x14ac:dyDescent="0.25">
      <c r="A239" s="18" t="s">
        <v>1750</v>
      </c>
      <c r="B239" s="28">
        <v>21.06</v>
      </c>
      <c r="C239" s="16" t="str">
        <f t="shared" si="24"/>
        <v>2004</v>
      </c>
      <c r="D239" t="str">
        <f t="shared" si="25"/>
        <v>28</v>
      </c>
      <c r="E239" s="21">
        <f t="shared" si="21"/>
        <v>38176</v>
      </c>
      <c r="F239" s="17" t="str">
        <f t="shared" si="22"/>
        <v>2004-07</v>
      </c>
      <c r="G239" s="25">
        <f t="shared" si="23"/>
        <v>21.55</v>
      </c>
      <c r="H239" s="4" t="s">
        <v>2235</v>
      </c>
      <c r="I239" s="27">
        <v>54.104999999999997</v>
      </c>
      <c r="J239" s="26">
        <v>54.104999999999997</v>
      </c>
      <c r="K239" s="18" t="s">
        <v>392</v>
      </c>
      <c r="L239" s="19">
        <v>30667</v>
      </c>
      <c r="M239" s="18" t="s">
        <v>152</v>
      </c>
      <c r="N239" s="20">
        <f t="shared" si="20"/>
        <v>65693000000</v>
      </c>
    </row>
    <row r="240" spans="1:14" x14ac:dyDescent="0.25">
      <c r="A240" s="18" t="s">
        <v>1749</v>
      </c>
      <c r="B240" s="28">
        <v>21.25</v>
      </c>
      <c r="C240" s="16" t="str">
        <f t="shared" si="24"/>
        <v>2004</v>
      </c>
      <c r="D240" t="str">
        <f t="shared" si="25"/>
        <v>29</v>
      </c>
      <c r="E240" s="21">
        <f t="shared" si="21"/>
        <v>38183</v>
      </c>
      <c r="F240" s="17" t="str">
        <f t="shared" si="22"/>
        <v>2004-07</v>
      </c>
      <c r="G240" s="25">
        <f t="shared" si="23"/>
        <v>21.55</v>
      </c>
      <c r="H240" s="4" t="s">
        <v>2236</v>
      </c>
      <c r="I240" s="27">
        <v>50.055</v>
      </c>
      <c r="J240" s="26">
        <v>50.055</v>
      </c>
      <c r="K240" s="18" t="s">
        <v>391</v>
      </c>
      <c r="L240" s="19">
        <v>33175</v>
      </c>
      <c r="M240" s="18" t="s">
        <v>151</v>
      </c>
      <c r="N240" s="20">
        <f t="shared" si="20"/>
        <v>66204000000</v>
      </c>
    </row>
    <row r="241" spans="1:14" x14ac:dyDescent="0.25">
      <c r="A241" s="18" t="s">
        <v>1748</v>
      </c>
      <c r="B241" s="28">
        <v>21.73</v>
      </c>
      <c r="C241" s="16" t="str">
        <f t="shared" si="24"/>
        <v>2004</v>
      </c>
      <c r="D241" t="str">
        <f t="shared" si="25"/>
        <v>30</v>
      </c>
      <c r="E241" s="21">
        <f t="shared" si="21"/>
        <v>38190</v>
      </c>
      <c r="F241" s="17" t="str">
        <f t="shared" si="22"/>
        <v>2004-07</v>
      </c>
      <c r="G241" s="25">
        <f t="shared" si="23"/>
        <v>21.55</v>
      </c>
      <c r="H241" s="4" t="s">
        <v>2237</v>
      </c>
      <c r="I241" s="27">
        <v>51.81</v>
      </c>
      <c r="J241" s="26">
        <v>51.81</v>
      </c>
      <c r="K241" s="18" t="s">
        <v>390</v>
      </c>
      <c r="L241" s="19">
        <v>34554</v>
      </c>
      <c r="M241" s="18" t="s">
        <v>150</v>
      </c>
      <c r="N241" s="20">
        <f t="shared" si="20"/>
        <v>76900000000</v>
      </c>
    </row>
    <row r="242" spans="1:14" x14ac:dyDescent="0.25">
      <c r="A242" s="18" t="s">
        <v>1747</v>
      </c>
      <c r="B242" s="28">
        <v>22.46</v>
      </c>
      <c r="C242" s="16" t="str">
        <f t="shared" si="24"/>
        <v>2004</v>
      </c>
      <c r="D242" t="str">
        <f t="shared" si="25"/>
        <v>31</v>
      </c>
      <c r="E242" s="21">
        <f t="shared" si="21"/>
        <v>38197</v>
      </c>
      <c r="F242" s="17" t="str">
        <f t="shared" si="22"/>
        <v>2004-07</v>
      </c>
      <c r="G242" s="25">
        <f t="shared" si="23"/>
        <v>21.55</v>
      </c>
      <c r="H242" s="4" t="s">
        <v>2238</v>
      </c>
      <c r="I242" s="27">
        <v>59.480000000000004</v>
      </c>
      <c r="J242" s="26">
        <v>59.480000000000004</v>
      </c>
      <c r="K242" s="18" t="s">
        <v>389</v>
      </c>
      <c r="L242" s="19">
        <v>38830</v>
      </c>
      <c r="M242" s="18" t="s">
        <v>149</v>
      </c>
      <c r="N242" s="20">
        <f t="shared" si="20"/>
        <v>86115000000</v>
      </c>
    </row>
    <row r="243" spans="1:14" x14ac:dyDescent="0.25">
      <c r="A243" s="18" t="s">
        <v>1746</v>
      </c>
      <c r="B243" s="28">
        <v>23.43</v>
      </c>
      <c r="C243" s="16" t="str">
        <f t="shared" si="24"/>
        <v>2004</v>
      </c>
      <c r="D243" t="str">
        <f t="shared" si="25"/>
        <v>32</v>
      </c>
      <c r="E243" s="21">
        <f t="shared" si="21"/>
        <v>38204</v>
      </c>
      <c r="F243" s="17" t="str">
        <f t="shared" si="22"/>
        <v>2004-08</v>
      </c>
      <c r="G243" s="25">
        <f t="shared" si="23"/>
        <v>23.024999999999999</v>
      </c>
      <c r="H243" s="4" t="s">
        <v>2239</v>
      </c>
      <c r="I243" s="27">
        <v>71.142500000000013</v>
      </c>
      <c r="J243" s="26">
        <v>71.142500000000013</v>
      </c>
      <c r="K243" s="18" t="s">
        <v>388</v>
      </c>
      <c r="L243" s="19">
        <v>37945</v>
      </c>
      <c r="M243" s="18" t="s">
        <v>148</v>
      </c>
      <c r="N243" s="20">
        <f t="shared" si="20"/>
        <v>84891000000</v>
      </c>
    </row>
    <row r="244" spans="1:14" x14ac:dyDescent="0.25">
      <c r="A244" s="18" t="s">
        <v>1745</v>
      </c>
      <c r="B244" s="28">
        <v>23.45</v>
      </c>
      <c r="C244" s="16" t="str">
        <f t="shared" si="24"/>
        <v>2004</v>
      </c>
      <c r="D244" t="str">
        <f t="shared" si="25"/>
        <v>33</v>
      </c>
      <c r="E244" s="21">
        <f t="shared" si="21"/>
        <v>38211</v>
      </c>
      <c r="F244" s="17" t="str">
        <f t="shared" si="22"/>
        <v>2004-08</v>
      </c>
      <c r="G244" s="25">
        <f t="shared" si="23"/>
        <v>23.024999999999999</v>
      </c>
      <c r="H244" s="4" t="s">
        <v>2240</v>
      </c>
      <c r="I244" s="27">
        <v>75.597999999999999</v>
      </c>
      <c r="J244" s="26">
        <v>75.597999999999999</v>
      </c>
      <c r="K244" s="18" t="s">
        <v>387</v>
      </c>
      <c r="L244" s="19">
        <v>38985</v>
      </c>
      <c r="M244" s="18" t="s">
        <v>147</v>
      </c>
      <c r="N244" s="20">
        <f t="shared" si="20"/>
        <v>78453000000</v>
      </c>
    </row>
    <row r="245" spans="1:14" x14ac:dyDescent="0.25">
      <c r="A245" s="18" t="s">
        <v>1744</v>
      </c>
      <c r="B245" s="28">
        <v>22.83</v>
      </c>
      <c r="C245" s="16" t="str">
        <f t="shared" si="24"/>
        <v>2004</v>
      </c>
      <c r="D245" t="str">
        <f t="shared" si="25"/>
        <v>34</v>
      </c>
      <c r="E245" s="21">
        <f t="shared" si="21"/>
        <v>38218</v>
      </c>
      <c r="F245" s="17" t="str">
        <f t="shared" si="22"/>
        <v>2004-08</v>
      </c>
      <c r="G245" s="25">
        <f t="shared" si="23"/>
        <v>23.024999999999999</v>
      </c>
      <c r="H245" s="4" t="s">
        <v>2241</v>
      </c>
      <c r="I245" s="27">
        <v>67.81750000000001</v>
      </c>
      <c r="J245" s="26">
        <v>67.81750000000001</v>
      </c>
      <c r="K245" s="18" t="s">
        <v>386</v>
      </c>
      <c r="L245" s="19">
        <v>38900</v>
      </c>
      <c r="M245" s="18" t="s">
        <v>146</v>
      </c>
      <c r="N245" s="20">
        <f t="shared" si="20"/>
        <v>74067000000</v>
      </c>
    </row>
    <row r="246" spans="1:14" x14ac:dyDescent="0.25">
      <c r="A246" s="18" t="s">
        <v>1743</v>
      </c>
      <c r="B246" s="28">
        <v>22.39</v>
      </c>
      <c r="C246" s="16" t="str">
        <f t="shared" si="24"/>
        <v>2004</v>
      </c>
      <c r="D246" t="str">
        <f t="shared" si="25"/>
        <v>35</v>
      </c>
      <c r="E246" s="21">
        <f t="shared" si="21"/>
        <v>38225</v>
      </c>
      <c r="F246" s="17" t="str">
        <f t="shared" si="22"/>
        <v>2004-08</v>
      </c>
      <c r="G246" s="25">
        <f t="shared" si="23"/>
        <v>23.024999999999999</v>
      </c>
      <c r="H246" s="4" t="s">
        <v>2242</v>
      </c>
      <c r="I246" s="27">
        <v>63.537499999999994</v>
      </c>
      <c r="J246" s="26">
        <v>63.537499999999994</v>
      </c>
      <c r="K246" s="18" t="s">
        <v>385</v>
      </c>
      <c r="L246" s="19">
        <v>42813</v>
      </c>
      <c r="M246" s="18" t="s">
        <v>145</v>
      </c>
      <c r="N246" s="20">
        <f t="shared" si="20"/>
        <v>66463000000</v>
      </c>
    </row>
    <row r="247" spans="1:14" x14ac:dyDescent="0.25">
      <c r="A247" s="18" t="s">
        <v>1742</v>
      </c>
      <c r="B247" s="28">
        <v>22.08</v>
      </c>
      <c r="C247" s="16" t="str">
        <f t="shared" si="24"/>
        <v>2004</v>
      </c>
      <c r="D247" t="str">
        <f t="shared" si="25"/>
        <v>36</v>
      </c>
      <c r="E247" s="21">
        <f t="shared" si="21"/>
        <v>38232</v>
      </c>
      <c r="F247" s="17" t="str">
        <f t="shared" si="22"/>
        <v>2004-09</v>
      </c>
      <c r="G247" s="25">
        <f t="shared" si="23"/>
        <v>22.277999999999999</v>
      </c>
      <c r="H247" s="4" t="s">
        <v>2243</v>
      </c>
      <c r="I247" s="27">
        <v>57.56</v>
      </c>
      <c r="J247" s="26">
        <v>57.56</v>
      </c>
      <c r="K247" s="18" t="s">
        <v>384</v>
      </c>
      <c r="L247" s="19">
        <v>37147</v>
      </c>
      <c r="M247" s="18" t="s">
        <v>144</v>
      </c>
      <c r="N247" s="20">
        <f t="shared" si="20"/>
        <v>52480000000</v>
      </c>
    </row>
    <row r="248" spans="1:14" x14ac:dyDescent="0.25">
      <c r="A248" s="18" t="s">
        <v>1741</v>
      </c>
      <c r="B248" s="28">
        <v>22.29</v>
      </c>
      <c r="C248" s="16" t="str">
        <f t="shared" si="24"/>
        <v>2004</v>
      </c>
      <c r="D248" t="str">
        <f t="shared" si="25"/>
        <v>37</v>
      </c>
      <c r="E248" s="21">
        <f t="shared" si="21"/>
        <v>38239</v>
      </c>
      <c r="F248" s="17" t="str">
        <f t="shared" si="22"/>
        <v>2004-09</v>
      </c>
      <c r="G248" s="25">
        <f t="shared" si="23"/>
        <v>22.277999999999999</v>
      </c>
      <c r="H248" s="4" t="s">
        <v>2244</v>
      </c>
      <c r="I248" s="27">
        <v>60.892499999999998</v>
      </c>
      <c r="J248" s="26">
        <v>60.892499999999998</v>
      </c>
      <c r="K248" s="18" t="s">
        <v>383</v>
      </c>
      <c r="L248" s="19">
        <v>43463</v>
      </c>
      <c r="M248" s="18" t="s">
        <v>143</v>
      </c>
      <c r="N248" s="20">
        <f t="shared" si="20"/>
        <v>51278000000</v>
      </c>
    </row>
    <row r="249" spans="1:14" x14ac:dyDescent="0.25">
      <c r="A249" s="18" t="s">
        <v>1740</v>
      </c>
      <c r="B249" s="28">
        <v>22.51</v>
      </c>
      <c r="C249" s="16" t="str">
        <f t="shared" si="24"/>
        <v>2004</v>
      </c>
      <c r="D249" t="str">
        <f t="shared" si="25"/>
        <v>38</v>
      </c>
      <c r="E249" s="21">
        <f t="shared" si="21"/>
        <v>38246</v>
      </c>
      <c r="F249" s="17" t="str">
        <f t="shared" si="22"/>
        <v>2004-09</v>
      </c>
      <c r="G249" s="25">
        <f t="shared" si="23"/>
        <v>22.277999999999999</v>
      </c>
      <c r="H249" s="4" t="s">
        <v>2245</v>
      </c>
      <c r="I249" s="27">
        <v>65.025000000000006</v>
      </c>
      <c r="J249" s="26">
        <v>65.025000000000006</v>
      </c>
      <c r="K249" s="18" t="s">
        <v>382</v>
      </c>
      <c r="L249" s="19">
        <v>41200</v>
      </c>
      <c r="M249" s="18" t="s">
        <v>142</v>
      </c>
      <c r="N249" s="20">
        <f t="shared" si="20"/>
        <v>56920000000</v>
      </c>
    </row>
    <row r="250" spans="1:14" x14ac:dyDescent="0.25">
      <c r="A250" s="18" t="s">
        <v>1739</v>
      </c>
      <c r="B250" s="28">
        <v>22.47</v>
      </c>
      <c r="C250" s="16" t="str">
        <f t="shared" si="24"/>
        <v>2004</v>
      </c>
      <c r="D250" t="str">
        <f t="shared" si="25"/>
        <v>39</v>
      </c>
      <c r="E250" s="21">
        <f t="shared" si="21"/>
        <v>38253</v>
      </c>
      <c r="F250" s="17" t="str">
        <f t="shared" si="22"/>
        <v>2004-09</v>
      </c>
      <c r="G250" s="25">
        <f t="shared" si="23"/>
        <v>22.277999999999999</v>
      </c>
      <c r="H250" s="4" t="s">
        <v>2246</v>
      </c>
      <c r="I250" s="27">
        <v>54.625999999999998</v>
      </c>
      <c r="J250" s="26">
        <v>54.625999999999998</v>
      </c>
      <c r="K250" s="18" t="s">
        <v>381</v>
      </c>
      <c r="L250" s="19">
        <v>40961</v>
      </c>
      <c r="M250" s="18" t="s">
        <v>141</v>
      </c>
      <c r="N250" s="20">
        <f t="shared" si="20"/>
        <v>58975000000</v>
      </c>
    </row>
    <row r="251" spans="1:14" x14ac:dyDescent="0.25">
      <c r="A251" s="18" t="s">
        <v>1738</v>
      </c>
      <c r="B251" s="28">
        <v>22.04</v>
      </c>
      <c r="C251" s="16" t="str">
        <f t="shared" si="24"/>
        <v>2004</v>
      </c>
      <c r="D251" t="str">
        <f t="shared" si="25"/>
        <v>40</v>
      </c>
      <c r="E251" s="21">
        <f t="shared" si="21"/>
        <v>38260</v>
      </c>
      <c r="F251" s="17" t="str">
        <f t="shared" si="22"/>
        <v>2004-09</v>
      </c>
      <c r="G251" s="25">
        <f t="shared" si="23"/>
        <v>22.277999999999999</v>
      </c>
      <c r="H251" s="4" t="s">
        <v>2247</v>
      </c>
      <c r="I251" s="27">
        <v>50.795000000000002</v>
      </c>
      <c r="J251" s="26">
        <v>50.795000000000002</v>
      </c>
      <c r="K251" s="18" t="s">
        <v>380</v>
      </c>
      <c r="L251" s="19">
        <v>48092</v>
      </c>
      <c r="M251" s="18" t="s">
        <v>140</v>
      </c>
      <c r="N251" s="20">
        <f t="shared" si="20"/>
        <v>58503000000</v>
      </c>
    </row>
    <row r="252" spans="1:14" x14ac:dyDescent="0.25">
      <c r="A252" s="18" t="s">
        <v>1737</v>
      </c>
      <c r="B252" s="28">
        <v>21.46</v>
      </c>
      <c r="C252" s="16" t="str">
        <f t="shared" si="24"/>
        <v>2004</v>
      </c>
      <c r="D252" t="str">
        <f t="shared" si="25"/>
        <v>41</v>
      </c>
      <c r="E252" s="21">
        <f t="shared" si="21"/>
        <v>38267</v>
      </c>
      <c r="F252" s="17" t="str">
        <f t="shared" si="22"/>
        <v>2004-10</v>
      </c>
      <c r="G252" s="25">
        <f t="shared" si="23"/>
        <v>21.037500000000001</v>
      </c>
      <c r="H252" s="4" t="s">
        <v>2248</v>
      </c>
      <c r="I252" s="27">
        <v>49.492000000000004</v>
      </c>
      <c r="J252" s="26">
        <v>49.492000000000004</v>
      </c>
      <c r="K252" s="18" t="s">
        <v>379</v>
      </c>
      <c r="L252" s="19">
        <v>46327</v>
      </c>
      <c r="M252" s="18" t="s">
        <v>139</v>
      </c>
      <c r="N252" s="20">
        <f t="shared" si="20"/>
        <v>61831000000</v>
      </c>
    </row>
    <row r="253" spans="1:14" x14ac:dyDescent="0.25">
      <c r="A253" s="18" t="s">
        <v>1736</v>
      </c>
      <c r="B253" s="28">
        <v>21.37</v>
      </c>
      <c r="C253" s="16" t="str">
        <f t="shared" si="24"/>
        <v>2004</v>
      </c>
      <c r="D253" t="str">
        <f t="shared" si="25"/>
        <v>42</v>
      </c>
      <c r="E253" s="21">
        <f t="shared" si="21"/>
        <v>38274</v>
      </c>
      <c r="F253" s="17" t="str">
        <f t="shared" si="22"/>
        <v>2004-10</v>
      </c>
      <c r="G253" s="25">
        <f t="shared" si="23"/>
        <v>21.037500000000001</v>
      </c>
      <c r="H253" s="4" t="s">
        <v>2249</v>
      </c>
      <c r="I253" s="27">
        <v>48.427500000000002</v>
      </c>
      <c r="J253" s="26">
        <v>48.427500000000002</v>
      </c>
      <c r="K253" s="18" t="s">
        <v>378</v>
      </c>
      <c r="L253" s="19">
        <v>52590</v>
      </c>
      <c r="M253" s="18" t="s">
        <v>138</v>
      </c>
      <c r="N253" s="20">
        <f t="shared" si="20"/>
        <v>71986000000</v>
      </c>
    </row>
    <row r="254" spans="1:14" x14ac:dyDescent="0.25">
      <c r="A254" s="18" t="s">
        <v>1735</v>
      </c>
      <c r="B254" s="28">
        <v>20.86</v>
      </c>
      <c r="C254" s="16" t="str">
        <f t="shared" si="24"/>
        <v>2004</v>
      </c>
      <c r="D254" t="str">
        <f t="shared" si="25"/>
        <v>43</v>
      </c>
      <c r="E254" s="21">
        <f t="shared" si="21"/>
        <v>38281</v>
      </c>
      <c r="F254" s="17" t="str">
        <f t="shared" si="22"/>
        <v>2004-10</v>
      </c>
      <c r="G254" s="25">
        <f t="shared" si="23"/>
        <v>21.037500000000001</v>
      </c>
      <c r="H254" s="4" t="s">
        <v>2250</v>
      </c>
      <c r="I254" s="27">
        <v>47.782499999999999</v>
      </c>
      <c r="J254" s="26">
        <v>47.782499999999999</v>
      </c>
      <c r="K254" s="18" t="s">
        <v>377</v>
      </c>
      <c r="L254" s="19">
        <v>53518</v>
      </c>
      <c r="M254" s="18" t="s">
        <v>137</v>
      </c>
      <c r="N254" s="20">
        <f t="shared" si="20"/>
        <v>70126000000</v>
      </c>
    </row>
    <row r="255" spans="1:14" x14ac:dyDescent="0.25">
      <c r="A255" s="18" t="s">
        <v>1734</v>
      </c>
      <c r="B255" s="28">
        <v>20.46</v>
      </c>
      <c r="C255" s="16" t="str">
        <f t="shared" si="24"/>
        <v>2004</v>
      </c>
      <c r="D255" t="str">
        <f t="shared" si="25"/>
        <v>44</v>
      </c>
      <c r="E255" s="21">
        <f t="shared" si="21"/>
        <v>38288</v>
      </c>
      <c r="F255" s="17" t="str">
        <f t="shared" si="22"/>
        <v>2004-10</v>
      </c>
      <c r="G255" s="25">
        <f t="shared" si="23"/>
        <v>21.037500000000001</v>
      </c>
      <c r="H255" s="4" t="s">
        <v>2251</v>
      </c>
      <c r="I255" s="27">
        <v>48.582000000000001</v>
      </c>
      <c r="J255" s="26">
        <v>48.582000000000001</v>
      </c>
      <c r="K255" s="18" t="s">
        <v>376</v>
      </c>
      <c r="L255" s="19">
        <v>45816</v>
      </c>
      <c r="M255" s="18" t="s">
        <v>136</v>
      </c>
      <c r="N255" s="20">
        <f t="shared" si="20"/>
        <v>78372000000</v>
      </c>
    </row>
    <row r="256" spans="1:14" x14ac:dyDescent="0.25">
      <c r="A256" s="18" t="s">
        <v>1733</v>
      </c>
      <c r="B256" s="28">
        <v>20.11</v>
      </c>
      <c r="C256" s="16" t="str">
        <f t="shared" si="24"/>
        <v>2004</v>
      </c>
      <c r="D256" t="str">
        <f t="shared" si="25"/>
        <v>45</v>
      </c>
      <c r="E256" s="21">
        <f t="shared" si="21"/>
        <v>38295</v>
      </c>
      <c r="F256" s="17" t="str">
        <f t="shared" si="22"/>
        <v>2004-11</v>
      </c>
      <c r="G256" s="25">
        <f t="shared" si="23"/>
        <v>20.239999999999998</v>
      </c>
      <c r="H256" s="4" t="s">
        <v>2252</v>
      </c>
      <c r="I256" s="27">
        <v>48.398000000000003</v>
      </c>
      <c r="J256" s="26">
        <v>48.398000000000003</v>
      </c>
      <c r="K256" s="18" t="s">
        <v>375</v>
      </c>
      <c r="L256" s="19">
        <v>50394</v>
      </c>
      <c r="M256" s="18" t="s">
        <v>135</v>
      </c>
      <c r="N256" s="20">
        <f t="shared" si="20"/>
        <v>84092000000</v>
      </c>
    </row>
    <row r="257" spans="1:14" x14ac:dyDescent="0.25">
      <c r="A257" s="18" t="s">
        <v>1732</v>
      </c>
      <c r="B257" s="28">
        <v>19.940000000000001</v>
      </c>
      <c r="C257" s="16" t="str">
        <f t="shared" si="24"/>
        <v>2004</v>
      </c>
      <c r="D257" t="str">
        <f t="shared" si="25"/>
        <v>46</v>
      </c>
      <c r="E257" s="21">
        <f t="shared" si="21"/>
        <v>38302</v>
      </c>
      <c r="F257" s="17" t="str">
        <f t="shared" si="22"/>
        <v>2004-11</v>
      </c>
      <c r="G257" s="25">
        <f t="shared" si="23"/>
        <v>20.239999999999998</v>
      </c>
      <c r="H257" s="4" t="s">
        <v>2253</v>
      </c>
      <c r="I257" s="27">
        <v>55.274999999999999</v>
      </c>
      <c r="J257" s="26">
        <v>55.274999999999999</v>
      </c>
      <c r="K257" s="18" t="s">
        <v>374</v>
      </c>
      <c r="L257" s="19">
        <v>42706</v>
      </c>
      <c r="M257" s="18" t="s">
        <v>134</v>
      </c>
      <c r="N257" s="20">
        <f t="shared" si="20"/>
        <v>79762000000</v>
      </c>
    </row>
    <row r="258" spans="1:14" x14ac:dyDescent="0.25">
      <c r="A258" s="18" t="s">
        <v>1731</v>
      </c>
      <c r="B258" s="28">
        <v>20.440000000000001</v>
      </c>
      <c r="C258" s="16" t="str">
        <f t="shared" si="24"/>
        <v>2004</v>
      </c>
      <c r="D258" t="str">
        <f t="shared" si="25"/>
        <v>47</v>
      </c>
      <c r="E258" s="21">
        <f t="shared" si="21"/>
        <v>38309</v>
      </c>
      <c r="F258" s="17" t="str">
        <f t="shared" si="22"/>
        <v>2004-11</v>
      </c>
      <c r="G258" s="25">
        <f t="shared" si="23"/>
        <v>20.239999999999998</v>
      </c>
      <c r="H258" s="4" t="s">
        <v>2254</v>
      </c>
      <c r="I258" s="27">
        <v>62.517499999999998</v>
      </c>
      <c r="J258" s="26">
        <v>62.517499999999998</v>
      </c>
      <c r="K258" s="18" t="s">
        <v>373</v>
      </c>
      <c r="L258" s="19">
        <v>45535</v>
      </c>
      <c r="M258" s="18" t="s">
        <v>133</v>
      </c>
      <c r="N258" s="20">
        <f t="shared" si="20"/>
        <v>94603000000</v>
      </c>
    </row>
    <row r="259" spans="1:14" x14ac:dyDescent="0.25">
      <c r="A259" s="18" t="s">
        <v>1730</v>
      </c>
      <c r="B259" s="28">
        <v>20.47</v>
      </c>
      <c r="C259" s="16" t="str">
        <f t="shared" si="24"/>
        <v>2004</v>
      </c>
      <c r="D259" t="str">
        <f t="shared" si="25"/>
        <v>48</v>
      </c>
      <c r="E259" s="21">
        <f t="shared" si="21"/>
        <v>38316</v>
      </c>
      <c r="F259" s="17" t="str">
        <f t="shared" si="22"/>
        <v>2004-11</v>
      </c>
      <c r="G259" s="25">
        <f t="shared" si="23"/>
        <v>20.239999999999998</v>
      </c>
      <c r="H259" s="4" t="s">
        <v>2255</v>
      </c>
      <c r="I259" s="27">
        <v>63.617999999999995</v>
      </c>
      <c r="J259" s="26">
        <v>63.617999999999995</v>
      </c>
      <c r="K259" s="18" t="s">
        <v>372</v>
      </c>
      <c r="L259" s="19">
        <v>44396</v>
      </c>
      <c r="M259" s="18" t="s">
        <v>132</v>
      </c>
      <c r="N259" s="20">
        <f t="shared" si="20"/>
        <v>85400000000</v>
      </c>
    </row>
    <row r="260" spans="1:14" x14ac:dyDescent="0.25">
      <c r="A260" s="18" t="s">
        <v>1729</v>
      </c>
      <c r="B260" s="28">
        <v>21.06</v>
      </c>
      <c r="C260" s="16" t="str">
        <f t="shared" si="24"/>
        <v>2004</v>
      </c>
      <c r="D260" t="str">
        <f t="shared" si="25"/>
        <v>49</v>
      </c>
      <c r="E260" s="21">
        <f t="shared" si="21"/>
        <v>38323</v>
      </c>
      <c r="F260" s="17" t="str">
        <f t="shared" si="22"/>
        <v>2004-12</v>
      </c>
      <c r="G260" s="25">
        <f t="shared" si="23"/>
        <v>22.594000000000001</v>
      </c>
      <c r="H260" s="4" t="s">
        <v>2256</v>
      </c>
      <c r="I260" s="27">
        <v>65.67</v>
      </c>
      <c r="J260" s="26">
        <v>65.67</v>
      </c>
      <c r="K260" s="18" t="s">
        <v>371</v>
      </c>
      <c r="L260" s="19">
        <v>46982</v>
      </c>
      <c r="M260" s="18" t="s">
        <v>131</v>
      </c>
      <c r="N260" s="20">
        <f t="shared" ref="N260:N313" si="26">L500*1000000</f>
        <v>90824000000</v>
      </c>
    </row>
    <row r="261" spans="1:14" x14ac:dyDescent="0.25">
      <c r="A261" s="18" t="s">
        <v>1728</v>
      </c>
      <c r="B261" s="28">
        <v>21.79</v>
      </c>
      <c r="C261" s="16" t="str">
        <f t="shared" si="24"/>
        <v>2004</v>
      </c>
      <c r="D261" t="str">
        <f t="shared" si="25"/>
        <v>50</v>
      </c>
      <c r="E261" s="21">
        <f t="shared" ref="E261:E324" si="27">DATE(C261,1,1)+(D261-1)*7</f>
        <v>38330</v>
      </c>
      <c r="F261" s="17" t="str">
        <f t="shared" ref="F261:F324" si="28">TEXT(E261,"éééé-hh")</f>
        <v>2004-12</v>
      </c>
      <c r="G261" s="25">
        <f t="shared" ref="G261:G324" si="29">AVERAGEIF($F$4:$F$1353,F261,$B$4:$B$1353)</f>
        <v>22.594000000000001</v>
      </c>
      <c r="H261" s="4" t="s">
        <v>2257</v>
      </c>
      <c r="I261" s="27">
        <v>59.594999999999999</v>
      </c>
      <c r="J261" s="26">
        <v>59.594999999999999</v>
      </c>
      <c r="K261" s="18" t="s">
        <v>370</v>
      </c>
      <c r="L261" s="19">
        <v>42862</v>
      </c>
      <c r="M261" s="18" t="s">
        <v>130</v>
      </c>
      <c r="N261" s="20">
        <f t="shared" si="26"/>
        <v>100083000000</v>
      </c>
    </row>
    <row r="262" spans="1:14" x14ac:dyDescent="0.25">
      <c r="A262" s="18" t="s">
        <v>1727</v>
      </c>
      <c r="B262" s="28">
        <v>22.88</v>
      </c>
      <c r="C262" s="16" t="str">
        <f t="shared" si="24"/>
        <v>2004</v>
      </c>
      <c r="D262" t="str">
        <f t="shared" si="25"/>
        <v>51</v>
      </c>
      <c r="E262" s="21">
        <f t="shared" si="27"/>
        <v>38337</v>
      </c>
      <c r="F262" s="17" t="str">
        <f t="shared" si="28"/>
        <v>2004-12</v>
      </c>
      <c r="G262" s="25">
        <f t="shared" si="29"/>
        <v>22.594000000000001</v>
      </c>
      <c r="H262" s="4" t="s">
        <v>2258</v>
      </c>
      <c r="I262" s="27">
        <v>62.227999999999994</v>
      </c>
      <c r="J262" s="26">
        <v>62.227999999999994</v>
      </c>
      <c r="K262" s="18" t="s">
        <v>369</v>
      </c>
      <c r="L262" s="19">
        <v>46018</v>
      </c>
      <c r="M262" s="18" t="s">
        <v>129</v>
      </c>
      <c r="N262" s="20">
        <f t="shared" si="26"/>
        <v>113955000000</v>
      </c>
    </row>
    <row r="263" spans="1:14" x14ac:dyDescent="0.25">
      <c r="A263" s="18" t="s">
        <v>1726</v>
      </c>
      <c r="B263" s="28">
        <v>23.67</v>
      </c>
      <c r="C263" s="16" t="str">
        <f t="shared" si="24"/>
        <v>2004</v>
      </c>
      <c r="D263" t="str">
        <f t="shared" si="25"/>
        <v>52</v>
      </c>
      <c r="E263" s="21">
        <f t="shared" si="27"/>
        <v>38344</v>
      </c>
      <c r="F263" s="17" t="str">
        <f t="shared" si="28"/>
        <v>2004-12</v>
      </c>
      <c r="G263" s="25">
        <f t="shared" si="29"/>
        <v>22.594000000000001</v>
      </c>
      <c r="H263" s="4" t="s">
        <v>2259</v>
      </c>
      <c r="I263" s="27">
        <v>56.12</v>
      </c>
      <c r="J263" s="26">
        <v>56.12</v>
      </c>
      <c r="K263" s="18" t="s">
        <v>368</v>
      </c>
      <c r="L263" s="19">
        <v>41530</v>
      </c>
      <c r="M263" s="18" t="s">
        <v>128</v>
      </c>
      <c r="N263" s="20">
        <f t="shared" si="26"/>
        <v>124303000000</v>
      </c>
    </row>
    <row r="264" spans="1:14" x14ac:dyDescent="0.25">
      <c r="A264" s="18" t="s">
        <v>1725</v>
      </c>
      <c r="B264" s="28">
        <v>23.57</v>
      </c>
      <c r="C264" s="16" t="str">
        <f t="shared" si="24"/>
        <v>2004</v>
      </c>
      <c r="D264" t="str">
        <f t="shared" si="25"/>
        <v>53</v>
      </c>
      <c r="E264" s="21">
        <f t="shared" si="27"/>
        <v>38351</v>
      </c>
      <c r="F264" s="17" t="str">
        <f t="shared" si="28"/>
        <v>2004-12</v>
      </c>
      <c r="G264" s="25">
        <f t="shared" si="29"/>
        <v>22.594000000000001</v>
      </c>
      <c r="H264" s="4" t="s">
        <v>2260</v>
      </c>
      <c r="I264" s="27">
        <v>53.037499999999994</v>
      </c>
      <c r="J264" s="26">
        <v>53.037499999999994</v>
      </c>
      <c r="K264" s="18" t="s">
        <v>367</v>
      </c>
      <c r="L264" s="19">
        <v>42441</v>
      </c>
      <c r="M264" s="18" t="s">
        <v>127</v>
      </c>
      <c r="N264" s="20">
        <f t="shared" si="26"/>
        <v>140098000000</v>
      </c>
    </row>
    <row r="265" spans="1:14" x14ac:dyDescent="0.25">
      <c r="A265" s="18" t="s">
        <v>1724</v>
      </c>
      <c r="B265" s="28">
        <v>23.29</v>
      </c>
      <c r="C265" s="16" t="str">
        <f t="shared" si="24"/>
        <v>2005</v>
      </c>
      <c r="D265" t="str">
        <f t="shared" si="25"/>
        <v>01</v>
      </c>
      <c r="E265" s="21">
        <f t="shared" si="27"/>
        <v>38353</v>
      </c>
      <c r="F265" s="17" t="str">
        <f t="shared" si="28"/>
        <v>2005-01</v>
      </c>
      <c r="G265" s="25">
        <f t="shared" si="29"/>
        <v>23.416</v>
      </c>
      <c r="H265" s="4" t="s">
        <v>2261</v>
      </c>
      <c r="I265" s="27">
        <v>57.483999999999995</v>
      </c>
      <c r="J265" s="26">
        <v>57.483999999999995</v>
      </c>
      <c r="K265" s="18" t="s">
        <v>366</v>
      </c>
      <c r="L265" s="19">
        <v>44725</v>
      </c>
      <c r="M265" s="18" t="s">
        <v>126</v>
      </c>
      <c r="N265" s="20">
        <f t="shared" si="26"/>
        <v>178636000000</v>
      </c>
    </row>
    <row r="266" spans="1:14" x14ac:dyDescent="0.25">
      <c r="A266" s="18" t="s">
        <v>1723</v>
      </c>
      <c r="B266" s="28">
        <v>22.67</v>
      </c>
      <c r="C266" s="16" t="str">
        <f t="shared" si="24"/>
        <v>2005</v>
      </c>
      <c r="D266" t="str">
        <f t="shared" si="25"/>
        <v>02</v>
      </c>
      <c r="E266" s="21">
        <f t="shared" si="27"/>
        <v>38360</v>
      </c>
      <c r="F266" s="17" t="str">
        <f t="shared" si="28"/>
        <v>2005-01</v>
      </c>
      <c r="G266" s="25">
        <f t="shared" si="29"/>
        <v>23.416</v>
      </c>
      <c r="H266" s="4" t="s">
        <v>2262</v>
      </c>
      <c r="I266" s="27">
        <v>58.984999999999999</v>
      </c>
      <c r="J266" s="26">
        <v>58.984999999999999</v>
      </c>
      <c r="K266" s="18" t="s">
        <v>365</v>
      </c>
      <c r="L266" s="19">
        <v>39677</v>
      </c>
      <c r="M266" s="18" t="s">
        <v>125</v>
      </c>
      <c r="N266" s="20">
        <f t="shared" si="26"/>
        <v>176646000000</v>
      </c>
    </row>
    <row r="267" spans="1:14" x14ac:dyDescent="0.25">
      <c r="A267" s="18" t="s">
        <v>1722</v>
      </c>
      <c r="B267" s="28">
        <v>22.87</v>
      </c>
      <c r="C267" s="16" t="str">
        <f t="shared" si="24"/>
        <v>2005</v>
      </c>
      <c r="D267" t="str">
        <f t="shared" si="25"/>
        <v>03</v>
      </c>
      <c r="E267" s="21">
        <f t="shared" si="27"/>
        <v>38367</v>
      </c>
      <c r="F267" s="17" t="str">
        <f t="shared" si="28"/>
        <v>2005-01</v>
      </c>
      <c r="G267" s="25">
        <f t="shared" si="29"/>
        <v>23.416</v>
      </c>
      <c r="H267" s="4" t="s">
        <v>2263</v>
      </c>
      <c r="I267" s="27">
        <v>69.132499999999993</v>
      </c>
      <c r="J267" s="26">
        <v>69.132499999999993</v>
      </c>
      <c r="K267" s="18" t="s">
        <v>364</v>
      </c>
      <c r="L267" s="19">
        <v>44996</v>
      </c>
      <c r="M267" s="18" t="s">
        <v>124</v>
      </c>
      <c r="N267" s="20">
        <f t="shared" si="26"/>
        <v>224657000000</v>
      </c>
    </row>
    <row r="268" spans="1:14" x14ac:dyDescent="0.25">
      <c r="A268" s="18" t="s">
        <v>1721</v>
      </c>
      <c r="B268" s="28">
        <v>23.75</v>
      </c>
      <c r="C268" s="16" t="str">
        <f t="shared" si="24"/>
        <v>2005</v>
      </c>
      <c r="D268" t="str">
        <f t="shared" si="25"/>
        <v>04</v>
      </c>
      <c r="E268" s="21">
        <f t="shared" si="27"/>
        <v>38374</v>
      </c>
      <c r="F268" s="17" t="str">
        <f t="shared" si="28"/>
        <v>2005-01</v>
      </c>
      <c r="G268" s="25">
        <f t="shared" si="29"/>
        <v>23.416</v>
      </c>
      <c r="H268" s="4" t="s">
        <v>2264</v>
      </c>
      <c r="I268" s="27">
        <v>71.463999999999999</v>
      </c>
      <c r="J268" s="26">
        <v>71.463999999999999</v>
      </c>
      <c r="K268" s="18" t="s">
        <v>363</v>
      </c>
      <c r="L268" s="19">
        <v>36655</v>
      </c>
      <c r="M268" s="18" t="s">
        <v>123</v>
      </c>
      <c r="N268" s="20">
        <f t="shared" si="26"/>
        <v>177721000000</v>
      </c>
    </row>
    <row r="269" spans="1:14" x14ac:dyDescent="0.25">
      <c r="A269" s="18" t="s">
        <v>1720</v>
      </c>
      <c r="B269" s="28">
        <v>24.5</v>
      </c>
      <c r="C269" s="16" t="str">
        <f t="shared" si="24"/>
        <v>2005</v>
      </c>
      <c r="D269" t="str">
        <f t="shared" si="25"/>
        <v>05</v>
      </c>
      <c r="E269" s="21">
        <f t="shared" si="27"/>
        <v>38381</v>
      </c>
      <c r="F269" s="17" t="str">
        <f t="shared" si="28"/>
        <v>2005-01</v>
      </c>
      <c r="G269" s="25">
        <f t="shared" si="29"/>
        <v>23.416</v>
      </c>
      <c r="H269" s="4" t="s">
        <v>2265</v>
      </c>
      <c r="I269" s="27">
        <v>84.204999999999998</v>
      </c>
      <c r="J269" s="26">
        <v>84.204999999999998</v>
      </c>
      <c r="K269" s="18" t="s">
        <v>362</v>
      </c>
      <c r="L269" s="19">
        <v>37124</v>
      </c>
      <c r="M269" s="18" t="s">
        <v>122</v>
      </c>
      <c r="N269" s="20">
        <f t="shared" si="26"/>
        <v>173061000000</v>
      </c>
    </row>
    <row r="270" spans="1:14" x14ac:dyDescent="0.25">
      <c r="A270" s="18" t="s">
        <v>1719</v>
      </c>
      <c r="B270" s="28">
        <v>24.99</v>
      </c>
      <c r="C270" s="16" t="str">
        <f t="shared" si="24"/>
        <v>2005</v>
      </c>
      <c r="D270" t="str">
        <f t="shared" si="25"/>
        <v>06</v>
      </c>
      <c r="E270" s="21">
        <f t="shared" si="27"/>
        <v>38388</v>
      </c>
      <c r="F270" s="17" t="str">
        <f t="shared" si="28"/>
        <v>2005-02</v>
      </c>
      <c r="G270" s="25">
        <f t="shared" si="29"/>
        <v>24.97</v>
      </c>
      <c r="H270" s="4" t="s">
        <v>2266</v>
      </c>
      <c r="I270" s="27">
        <v>82.3</v>
      </c>
      <c r="J270" s="26">
        <v>82.3</v>
      </c>
      <c r="K270" s="18" t="s">
        <v>361</v>
      </c>
      <c r="L270" s="19">
        <v>41555</v>
      </c>
      <c r="M270" s="18" t="s">
        <v>121</v>
      </c>
      <c r="N270" s="20">
        <f t="shared" si="26"/>
        <v>251761000000</v>
      </c>
    </row>
    <row r="271" spans="1:14" x14ac:dyDescent="0.25">
      <c r="A271" s="18" t="s">
        <v>1718</v>
      </c>
      <c r="B271" s="28">
        <v>24.98</v>
      </c>
      <c r="C271" s="16" t="str">
        <f t="shared" si="24"/>
        <v>2005</v>
      </c>
      <c r="D271" t="str">
        <f t="shared" si="25"/>
        <v>07</v>
      </c>
      <c r="E271" s="21">
        <f t="shared" si="27"/>
        <v>38395</v>
      </c>
      <c r="F271" s="17" t="str">
        <f t="shared" si="28"/>
        <v>2005-02</v>
      </c>
      <c r="G271" s="25">
        <f t="shared" si="29"/>
        <v>24.97</v>
      </c>
      <c r="H271" s="4" t="s">
        <v>2267</v>
      </c>
      <c r="I271" s="27">
        <v>100.54599999999999</v>
      </c>
      <c r="J271" s="26">
        <v>100.54599999999999</v>
      </c>
      <c r="K271" s="18" t="s">
        <v>360</v>
      </c>
      <c r="L271" s="19">
        <v>43274</v>
      </c>
      <c r="M271" s="18" t="s">
        <v>120</v>
      </c>
      <c r="N271" s="20">
        <f t="shared" si="26"/>
        <v>188135000000</v>
      </c>
    </row>
    <row r="272" spans="1:14" x14ac:dyDescent="0.25">
      <c r="A272" s="18" t="s">
        <v>1717</v>
      </c>
      <c r="B272" s="28">
        <v>25.05</v>
      </c>
      <c r="C272" s="16" t="str">
        <f t="shared" si="24"/>
        <v>2005</v>
      </c>
      <c r="D272" t="str">
        <f t="shared" si="25"/>
        <v>08</v>
      </c>
      <c r="E272" s="21">
        <f t="shared" si="27"/>
        <v>38402</v>
      </c>
      <c r="F272" s="17" t="str">
        <f t="shared" si="28"/>
        <v>2005-02</v>
      </c>
      <c r="G272" s="25">
        <f t="shared" si="29"/>
        <v>24.97</v>
      </c>
      <c r="H272" s="4" t="s">
        <v>2268</v>
      </c>
      <c r="I272" s="27">
        <v>95.342500000000001</v>
      </c>
      <c r="J272" s="26">
        <v>95.342500000000001</v>
      </c>
      <c r="K272" s="18" t="s">
        <v>359</v>
      </c>
      <c r="L272" s="19">
        <v>38761</v>
      </c>
      <c r="M272" s="18" t="s">
        <v>119</v>
      </c>
      <c r="N272" s="20">
        <f t="shared" si="26"/>
        <v>198241000000</v>
      </c>
    </row>
    <row r="273" spans="1:14" x14ac:dyDescent="0.25">
      <c r="A273" s="18" t="s">
        <v>1716</v>
      </c>
      <c r="B273" s="28">
        <v>24.86</v>
      </c>
      <c r="C273" s="16" t="str">
        <f t="shared" si="24"/>
        <v>2005</v>
      </c>
      <c r="D273" t="str">
        <f t="shared" si="25"/>
        <v>09</v>
      </c>
      <c r="E273" s="21">
        <f t="shared" si="27"/>
        <v>38409</v>
      </c>
      <c r="F273" s="17" t="str">
        <f t="shared" si="28"/>
        <v>2005-02</v>
      </c>
      <c r="G273" s="25">
        <f t="shared" si="29"/>
        <v>24.97</v>
      </c>
      <c r="H273" s="4" t="s">
        <v>2269</v>
      </c>
      <c r="I273" s="27">
        <v>96.412499999999994</v>
      </c>
      <c r="J273" s="26">
        <v>96.412499999999994</v>
      </c>
      <c r="K273" s="18" t="s">
        <v>358</v>
      </c>
      <c r="L273" s="19">
        <v>38505</v>
      </c>
      <c r="M273" s="18" t="s">
        <v>118</v>
      </c>
      <c r="N273" s="20">
        <f t="shared" si="26"/>
        <v>202339000000</v>
      </c>
    </row>
    <row r="274" spans="1:14" x14ac:dyDescent="0.25">
      <c r="A274" s="18" t="s">
        <v>1715</v>
      </c>
      <c r="B274" s="28">
        <v>24.44</v>
      </c>
      <c r="C274" s="16" t="str">
        <f t="shared" si="24"/>
        <v>2005</v>
      </c>
      <c r="D274" t="str">
        <f t="shared" si="25"/>
        <v>10</v>
      </c>
      <c r="E274" s="21">
        <f t="shared" si="27"/>
        <v>38416</v>
      </c>
      <c r="F274" s="17" t="str">
        <f t="shared" si="28"/>
        <v>2005-03</v>
      </c>
      <c r="G274" s="25">
        <f t="shared" si="29"/>
        <v>24.779999999999998</v>
      </c>
      <c r="H274" s="4" t="s">
        <v>2270</v>
      </c>
      <c r="I274" s="27">
        <v>81.802000000000007</v>
      </c>
      <c r="J274" s="26">
        <v>81.802000000000007</v>
      </c>
      <c r="K274" s="18" t="s">
        <v>357</v>
      </c>
      <c r="L274" s="19">
        <v>36245</v>
      </c>
      <c r="M274" s="18" t="s">
        <v>117</v>
      </c>
      <c r="N274" s="20">
        <f t="shared" si="26"/>
        <v>261120000000</v>
      </c>
    </row>
    <row r="275" spans="1:14" x14ac:dyDescent="0.25">
      <c r="A275" s="18" t="s">
        <v>1714</v>
      </c>
      <c r="B275" s="28">
        <v>24.33</v>
      </c>
      <c r="C275" s="16" t="str">
        <f t="shared" si="24"/>
        <v>2005</v>
      </c>
      <c r="D275" t="str">
        <f t="shared" si="25"/>
        <v>11</v>
      </c>
      <c r="E275" s="21">
        <f t="shared" si="27"/>
        <v>38423</v>
      </c>
      <c r="F275" s="17" t="str">
        <f t="shared" si="28"/>
        <v>2005-03</v>
      </c>
      <c r="G275" s="25">
        <f t="shared" si="29"/>
        <v>24.779999999999998</v>
      </c>
      <c r="H275" s="4" t="s">
        <v>2271</v>
      </c>
      <c r="I275" s="27">
        <v>67.5625</v>
      </c>
      <c r="J275" s="26">
        <v>67.5625</v>
      </c>
      <c r="K275" s="18" t="s">
        <v>356</v>
      </c>
      <c r="L275" s="19">
        <v>37567</v>
      </c>
      <c r="M275" s="18" t="s">
        <v>116</v>
      </c>
      <c r="N275" s="20">
        <f t="shared" si="26"/>
        <v>320341000000</v>
      </c>
    </row>
    <row r="276" spans="1:14" x14ac:dyDescent="0.25">
      <c r="A276" s="18" t="s">
        <v>1713</v>
      </c>
      <c r="B276" s="28">
        <v>25.13</v>
      </c>
      <c r="C276" s="16" t="str">
        <f t="shared" ref="C276:C339" si="30">LEFT(A276,4)</f>
        <v>2005</v>
      </c>
      <c r="D276" t="str">
        <f t="shared" ref="D276:D339" si="31">RIGHT(A276,2)</f>
        <v>12</v>
      </c>
      <c r="E276" s="21">
        <f t="shared" si="27"/>
        <v>38430</v>
      </c>
      <c r="F276" s="17" t="str">
        <f t="shared" si="28"/>
        <v>2005-03</v>
      </c>
      <c r="G276" s="25">
        <f t="shared" si="29"/>
        <v>24.779999999999998</v>
      </c>
      <c r="H276" s="4" t="s">
        <v>2272</v>
      </c>
      <c r="I276" s="27">
        <v>64.127499999999998</v>
      </c>
      <c r="J276" s="26">
        <v>64.127499999999998</v>
      </c>
      <c r="K276" s="18" t="s">
        <v>355</v>
      </c>
      <c r="L276" s="19">
        <v>38949</v>
      </c>
      <c r="M276" s="18" t="s">
        <v>115</v>
      </c>
      <c r="N276" s="20">
        <f t="shared" si="26"/>
        <v>252529000000</v>
      </c>
    </row>
    <row r="277" spans="1:14" x14ac:dyDescent="0.25">
      <c r="A277" s="18" t="s">
        <v>1712</v>
      </c>
      <c r="B277" s="28">
        <v>25.22</v>
      </c>
      <c r="C277" s="16" t="str">
        <f t="shared" si="30"/>
        <v>2005</v>
      </c>
      <c r="D277" t="str">
        <f t="shared" si="31"/>
        <v>13</v>
      </c>
      <c r="E277" s="21">
        <f t="shared" si="27"/>
        <v>38437</v>
      </c>
      <c r="F277" s="17" t="str">
        <f t="shared" si="28"/>
        <v>2005-03</v>
      </c>
      <c r="G277" s="25">
        <f t="shared" si="29"/>
        <v>24.779999999999998</v>
      </c>
      <c r="H277" s="4" t="s">
        <v>2273</v>
      </c>
      <c r="I277" s="27">
        <v>71.150000000000006</v>
      </c>
      <c r="J277" s="26">
        <v>71.150000000000006</v>
      </c>
      <c r="K277" s="18" t="s">
        <v>354</v>
      </c>
      <c r="L277" s="19">
        <v>40868</v>
      </c>
      <c r="M277" s="18" t="s">
        <v>114</v>
      </c>
      <c r="N277" s="20">
        <f t="shared" si="26"/>
        <v>191473000000</v>
      </c>
    </row>
    <row r="278" spans="1:14" x14ac:dyDescent="0.25">
      <c r="A278" s="18" t="s">
        <v>1711</v>
      </c>
      <c r="B278" s="28">
        <v>25.56</v>
      </c>
      <c r="C278" s="16" t="str">
        <f t="shared" si="30"/>
        <v>2005</v>
      </c>
      <c r="D278" t="str">
        <f t="shared" si="31"/>
        <v>14</v>
      </c>
      <c r="E278" s="21">
        <f t="shared" si="27"/>
        <v>38444</v>
      </c>
      <c r="F278" s="17" t="str">
        <f t="shared" si="28"/>
        <v>2005-04</v>
      </c>
      <c r="G278" s="25">
        <f t="shared" si="29"/>
        <v>25.044</v>
      </c>
      <c r="H278" s="4" t="s">
        <v>2274</v>
      </c>
      <c r="I278" s="27">
        <v>74.67</v>
      </c>
      <c r="J278" s="26">
        <v>74.67</v>
      </c>
      <c r="K278" s="18" t="s">
        <v>353</v>
      </c>
      <c r="L278" s="19">
        <v>41117</v>
      </c>
      <c r="M278" s="18" t="s">
        <v>113</v>
      </c>
      <c r="N278" s="20">
        <f t="shared" si="26"/>
        <v>199112000000</v>
      </c>
    </row>
    <row r="279" spans="1:14" x14ac:dyDescent="0.25">
      <c r="A279" s="18" t="s">
        <v>1710</v>
      </c>
      <c r="B279" s="28">
        <v>25.27</v>
      </c>
      <c r="C279" s="16" t="str">
        <f t="shared" si="30"/>
        <v>2005</v>
      </c>
      <c r="D279" t="str">
        <f t="shared" si="31"/>
        <v>15</v>
      </c>
      <c r="E279" s="21">
        <f t="shared" si="27"/>
        <v>38451</v>
      </c>
      <c r="F279" s="17" t="str">
        <f t="shared" si="28"/>
        <v>2005-04</v>
      </c>
      <c r="G279" s="25">
        <f t="shared" si="29"/>
        <v>25.044</v>
      </c>
      <c r="H279" s="4" t="s">
        <v>2275</v>
      </c>
      <c r="I279" s="27">
        <v>79.039999999999992</v>
      </c>
      <c r="J279" s="26">
        <v>79.039999999999992</v>
      </c>
      <c r="K279" s="18" t="s">
        <v>352</v>
      </c>
      <c r="L279" s="19">
        <v>42334</v>
      </c>
      <c r="M279" s="18" t="s">
        <v>112</v>
      </c>
      <c r="N279" s="20">
        <f t="shared" si="26"/>
        <v>246794000000</v>
      </c>
    </row>
    <row r="280" spans="1:14" x14ac:dyDescent="0.25">
      <c r="A280" s="18" t="s">
        <v>1709</v>
      </c>
      <c r="B280" s="28">
        <v>24.9</v>
      </c>
      <c r="C280" s="16" t="str">
        <f t="shared" si="30"/>
        <v>2005</v>
      </c>
      <c r="D280" t="str">
        <f t="shared" si="31"/>
        <v>16</v>
      </c>
      <c r="E280" s="21">
        <f t="shared" si="27"/>
        <v>38458</v>
      </c>
      <c r="F280" s="17" t="str">
        <f t="shared" si="28"/>
        <v>2005-04</v>
      </c>
      <c r="G280" s="25">
        <f t="shared" si="29"/>
        <v>25.044</v>
      </c>
      <c r="H280" s="4" t="s">
        <v>2276</v>
      </c>
      <c r="I280" s="27">
        <v>93</v>
      </c>
      <c r="J280" s="26">
        <v>93</v>
      </c>
      <c r="K280" s="18" t="s">
        <v>351</v>
      </c>
      <c r="L280" s="19">
        <v>41116</v>
      </c>
      <c r="M280" s="18" t="s">
        <v>111</v>
      </c>
      <c r="N280" s="20">
        <f t="shared" si="26"/>
        <v>183886000000</v>
      </c>
    </row>
    <row r="281" spans="1:14" x14ac:dyDescent="0.25">
      <c r="A281" s="18" t="s">
        <v>1708</v>
      </c>
      <c r="B281" s="28">
        <v>24.9</v>
      </c>
      <c r="C281" s="16" t="str">
        <f t="shared" si="30"/>
        <v>2005</v>
      </c>
      <c r="D281" t="str">
        <f t="shared" si="31"/>
        <v>17</v>
      </c>
      <c r="E281" s="21">
        <f t="shared" si="27"/>
        <v>38465</v>
      </c>
      <c r="F281" s="17" t="str">
        <f t="shared" si="28"/>
        <v>2005-04</v>
      </c>
      <c r="G281" s="25">
        <f t="shared" si="29"/>
        <v>25.044</v>
      </c>
      <c r="H281" s="4" t="s">
        <v>2277</v>
      </c>
      <c r="I281" s="27">
        <v>107.11499999999999</v>
      </c>
      <c r="J281" s="26">
        <v>107.11499999999999</v>
      </c>
      <c r="K281" s="18" t="s">
        <v>350</v>
      </c>
      <c r="L281" s="19">
        <v>41070</v>
      </c>
      <c r="M281" s="18" t="s">
        <v>110</v>
      </c>
      <c r="N281" s="20">
        <f t="shared" si="26"/>
        <v>164885000000</v>
      </c>
    </row>
    <row r="282" spans="1:14" x14ac:dyDescent="0.25">
      <c r="A282" s="18" t="s">
        <v>1707</v>
      </c>
      <c r="B282" s="28">
        <v>24.59</v>
      </c>
      <c r="C282" s="16" t="str">
        <f t="shared" si="30"/>
        <v>2005</v>
      </c>
      <c r="D282" t="str">
        <f t="shared" si="31"/>
        <v>18</v>
      </c>
      <c r="E282" s="21">
        <f t="shared" si="27"/>
        <v>38472</v>
      </c>
      <c r="F282" s="17" t="str">
        <f t="shared" si="28"/>
        <v>2005-04</v>
      </c>
      <c r="G282" s="25">
        <f t="shared" si="29"/>
        <v>25.044</v>
      </c>
      <c r="H282" s="4" t="s">
        <v>2278</v>
      </c>
      <c r="I282" s="27">
        <v>117.36750000000001</v>
      </c>
      <c r="J282" s="26">
        <v>117.36750000000001</v>
      </c>
      <c r="K282" s="18" t="s">
        <v>349</v>
      </c>
      <c r="L282" s="19">
        <v>40742</v>
      </c>
      <c r="M282" s="18" t="s">
        <v>109</v>
      </c>
      <c r="N282" s="20">
        <f t="shared" si="26"/>
        <v>178621000000</v>
      </c>
    </row>
    <row r="283" spans="1:14" x14ac:dyDescent="0.25">
      <c r="A283" s="18" t="s">
        <v>1706</v>
      </c>
      <c r="B283" s="28">
        <v>25.27</v>
      </c>
      <c r="C283" s="16" t="str">
        <f t="shared" si="30"/>
        <v>2005</v>
      </c>
      <c r="D283" t="str">
        <f t="shared" si="31"/>
        <v>19</v>
      </c>
      <c r="E283" s="21">
        <f t="shared" si="27"/>
        <v>38479</v>
      </c>
      <c r="F283" s="17" t="str">
        <f t="shared" si="28"/>
        <v>2005-05</v>
      </c>
      <c r="G283" s="25">
        <f t="shared" si="29"/>
        <v>25.752500000000001</v>
      </c>
      <c r="H283" s="4" t="s">
        <v>2279</v>
      </c>
      <c r="I283" s="27">
        <v>113.434</v>
      </c>
      <c r="J283" s="26">
        <v>113.434</v>
      </c>
      <c r="K283" s="18" t="s">
        <v>348</v>
      </c>
      <c r="L283" s="19">
        <v>41028</v>
      </c>
      <c r="M283" s="18" t="s">
        <v>108</v>
      </c>
      <c r="N283" s="20">
        <f t="shared" si="26"/>
        <v>159075000000</v>
      </c>
    </row>
    <row r="284" spans="1:14" x14ac:dyDescent="0.25">
      <c r="A284" s="18" t="s">
        <v>1705</v>
      </c>
      <c r="B284" s="28">
        <v>26.4</v>
      </c>
      <c r="C284" s="16" t="str">
        <f t="shared" si="30"/>
        <v>2005</v>
      </c>
      <c r="D284" t="str">
        <f t="shared" si="31"/>
        <v>20</v>
      </c>
      <c r="E284" s="21">
        <f t="shared" si="27"/>
        <v>38486</v>
      </c>
      <c r="F284" s="17" t="str">
        <f t="shared" si="28"/>
        <v>2005-05</v>
      </c>
      <c r="G284" s="25">
        <f t="shared" si="29"/>
        <v>25.752500000000001</v>
      </c>
      <c r="H284" s="4" t="s">
        <v>2280</v>
      </c>
      <c r="I284" s="27">
        <v>110.2825</v>
      </c>
      <c r="J284" s="26">
        <v>110.2825</v>
      </c>
      <c r="K284" s="18" t="s">
        <v>347</v>
      </c>
      <c r="L284" s="19">
        <v>39235</v>
      </c>
      <c r="M284" s="18" t="s">
        <v>107</v>
      </c>
      <c r="N284" s="20">
        <f t="shared" si="26"/>
        <v>139552000000</v>
      </c>
    </row>
    <row r="285" spans="1:14" x14ac:dyDescent="0.25">
      <c r="A285" s="18" t="s">
        <v>1704</v>
      </c>
      <c r="B285" s="28">
        <v>25.98</v>
      </c>
      <c r="C285" s="16" t="str">
        <f t="shared" si="30"/>
        <v>2005</v>
      </c>
      <c r="D285" t="str">
        <f t="shared" si="31"/>
        <v>21</v>
      </c>
      <c r="E285" s="21">
        <f t="shared" si="27"/>
        <v>38493</v>
      </c>
      <c r="F285" s="17" t="str">
        <f t="shared" si="28"/>
        <v>2005-05</v>
      </c>
      <c r="G285" s="25">
        <f t="shared" si="29"/>
        <v>25.752500000000001</v>
      </c>
      <c r="H285" s="4" t="s">
        <v>2281</v>
      </c>
      <c r="I285" s="27">
        <v>98.082499999999996</v>
      </c>
      <c r="J285" s="26">
        <v>98.082499999999996</v>
      </c>
      <c r="K285" s="18" t="s">
        <v>346</v>
      </c>
      <c r="L285" s="19">
        <v>34581</v>
      </c>
      <c r="M285" s="18" t="s">
        <v>106</v>
      </c>
      <c r="N285" s="20">
        <f t="shared" si="26"/>
        <v>139554000000</v>
      </c>
    </row>
    <row r="286" spans="1:14" x14ac:dyDescent="0.25">
      <c r="A286" s="18" t="s">
        <v>1703</v>
      </c>
      <c r="B286" s="28">
        <v>25.36</v>
      </c>
      <c r="C286" s="16" t="str">
        <f t="shared" si="30"/>
        <v>2005</v>
      </c>
      <c r="D286" t="str">
        <f t="shared" si="31"/>
        <v>22</v>
      </c>
      <c r="E286" s="21">
        <f t="shared" si="27"/>
        <v>38500</v>
      </c>
      <c r="F286" s="17" t="str">
        <f t="shared" si="28"/>
        <v>2005-05</v>
      </c>
      <c r="G286" s="25">
        <f t="shared" si="29"/>
        <v>25.752500000000001</v>
      </c>
      <c r="H286" s="4" t="s">
        <v>2282</v>
      </c>
      <c r="I286" s="27">
        <v>90.801999999999992</v>
      </c>
      <c r="J286" s="26">
        <v>90.801999999999992</v>
      </c>
      <c r="K286" s="18" t="s">
        <v>345</v>
      </c>
      <c r="L286" s="19">
        <v>37725</v>
      </c>
      <c r="M286" s="18" t="s">
        <v>105</v>
      </c>
      <c r="N286" s="20">
        <f t="shared" si="26"/>
        <v>140893000000</v>
      </c>
    </row>
    <row r="287" spans="1:14" x14ac:dyDescent="0.25">
      <c r="A287" s="18" t="s">
        <v>1702</v>
      </c>
      <c r="B287" s="28">
        <v>27.82</v>
      </c>
      <c r="C287" s="16" t="str">
        <f t="shared" si="30"/>
        <v>2005</v>
      </c>
      <c r="D287" t="str">
        <f t="shared" si="31"/>
        <v>23</v>
      </c>
      <c r="E287" s="21">
        <f t="shared" si="27"/>
        <v>38507</v>
      </c>
      <c r="F287" s="17" t="str">
        <f t="shared" si="28"/>
        <v>2005-06</v>
      </c>
      <c r="G287" s="25">
        <f t="shared" si="29"/>
        <v>27.557499999999997</v>
      </c>
      <c r="H287" s="4" t="s">
        <v>2283</v>
      </c>
      <c r="I287" s="27">
        <v>77.605000000000004</v>
      </c>
      <c r="J287" s="26">
        <v>77.605000000000004</v>
      </c>
      <c r="K287" s="18" t="s">
        <v>344</v>
      </c>
      <c r="L287" s="19">
        <v>37396</v>
      </c>
      <c r="M287" s="18" t="s">
        <v>104</v>
      </c>
      <c r="N287" s="20">
        <f t="shared" si="26"/>
        <v>144322000000</v>
      </c>
    </row>
    <row r="288" spans="1:14" x14ac:dyDescent="0.25">
      <c r="A288" s="18" t="s">
        <v>1701</v>
      </c>
      <c r="B288" s="28">
        <v>28.17</v>
      </c>
      <c r="C288" s="16" t="str">
        <f t="shared" si="30"/>
        <v>2005</v>
      </c>
      <c r="D288" t="str">
        <f t="shared" si="31"/>
        <v>24</v>
      </c>
      <c r="E288" s="21">
        <f t="shared" si="27"/>
        <v>38514</v>
      </c>
      <c r="F288" s="17" t="str">
        <f t="shared" si="28"/>
        <v>2005-06</v>
      </c>
      <c r="G288" s="25">
        <f t="shared" si="29"/>
        <v>27.557499999999997</v>
      </c>
      <c r="H288" s="4" t="s">
        <v>2284</v>
      </c>
      <c r="I288" s="27">
        <v>77.83250000000001</v>
      </c>
      <c r="J288" s="26">
        <v>77.83250000000001</v>
      </c>
      <c r="K288" s="18" t="s">
        <v>343</v>
      </c>
      <c r="L288" s="19">
        <v>38497</v>
      </c>
      <c r="M288" s="18" t="s">
        <v>103</v>
      </c>
      <c r="N288" s="20">
        <f t="shared" si="26"/>
        <v>135722000000</v>
      </c>
    </row>
    <row r="289" spans="1:14" x14ac:dyDescent="0.25">
      <c r="A289" s="18" t="s">
        <v>1700</v>
      </c>
      <c r="B289" s="28">
        <v>27.67</v>
      </c>
      <c r="C289" s="16" t="str">
        <f t="shared" si="30"/>
        <v>2005</v>
      </c>
      <c r="D289" t="str">
        <f t="shared" si="31"/>
        <v>25</v>
      </c>
      <c r="E289" s="21">
        <f t="shared" si="27"/>
        <v>38521</v>
      </c>
      <c r="F289" s="17" t="str">
        <f t="shared" si="28"/>
        <v>2005-06</v>
      </c>
      <c r="G289" s="25">
        <f t="shared" si="29"/>
        <v>27.557499999999997</v>
      </c>
      <c r="H289" s="4" t="s">
        <v>2285</v>
      </c>
      <c r="I289" s="27">
        <v>82.806000000000012</v>
      </c>
      <c r="J289" s="26">
        <v>82.806000000000012</v>
      </c>
      <c r="K289" s="18" t="s">
        <v>342</v>
      </c>
      <c r="L289" s="19">
        <v>46518</v>
      </c>
      <c r="M289" s="18" t="s">
        <v>102</v>
      </c>
      <c r="N289" s="20">
        <f t="shared" si="26"/>
        <v>173408000000</v>
      </c>
    </row>
    <row r="290" spans="1:14" x14ac:dyDescent="0.25">
      <c r="A290" s="18" t="s">
        <v>1699</v>
      </c>
      <c r="B290" s="28">
        <v>26.57</v>
      </c>
      <c r="C290" s="16" t="str">
        <f t="shared" si="30"/>
        <v>2005</v>
      </c>
      <c r="D290" t="str">
        <f t="shared" si="31"/>
        <v>26</v>
      </c>
      <c r="E290" s="21">
        <f t="shared" si="27"/>
        <v>38528</v>
      </c>
      <c r="F290" s="17" t="str">
        <f t="shared" si="28"/>
        <v>2005-06</v>
      </c>
      <c r="G290" s="25">
        <f t="shared" si="29"/>
        <v>27.557499999999997</v>
      </c>
      <c r="H290" s="4" t="s">
        <v>2286</v>
      </c>
      <c r="I290" s="27">
        <v>83.134999999999991</v>
      </c>
      <c r="J290" s="26">
        <v>83.134999999999991</v>
      </c>
      <c r="K290" s="18" t="s">
        <v>341</v>
      </c>
      <c r="L290" s="19">
        <v>41665</v>
      </c>
      <c r="M290" s="18" t="s">
        <v>101</v>
      </c>
      <c r="N290" s="20">
        <f t="shared" si="26"/>
        <v>167383000000</v>
      </c>
    </row>
    <row r="291" spans="1:14" x14ac:dyDescent="0.25">
      <c r="A291" s="18" t="s">
        <v>1698</v>
      </c>
      <c r="B291" s="28">
        <v>28.15</v>
      </c>
      <c r="C291" s="16" t="str">
        <f t="shared" si="30"/>
        <v>2005</v>
      </c>
      <c r="D291" t="str">
        <f t="shared" si="31"/>
        <v>27</v>
      </c>
      <c r="E291" s="21">
        <f t="shared" si="27"/>
        <v>38535</v>
      </c>
      <c r="F291" s="17" t="str">
        <f t="shared" si="28"/>
        <v>2005-07</v>
      </c>
      <c r="G291" s="25">
        <f t="shared" si="29"/>
        <v>28.919999999999998</v>
      </c>
      <c r="H291" s="4" t="s">
        <v>2287</v>
      </c>
      <c r="I291" s="27">
        <v>91.570000000000007</v>
      </c>
      <c r="J291" s="26">
        <v>91.570000000000007</v>
      </c>
      <c r="K291" s="18" t="s">
        <v>340</v>
      </c>
      <c r="L291" s="19">
        <v>43359</v>
      </c>
      <c r="M291" s="18" t="s">
        <v>100</v>
      </c>
      <c r="N291" s="20">
        <f t="shared" si="26"/>
        <v>156087000000</v>
      </c>
    </row>
    <row r="292" spans="1:14" x14ac:dyDescent="0.25">
      <c r="A292" s="18" t="s">
        <v>1697</v>
      </c>
      <c r="B292" s="28">
        <v>29.28</v>
      </c>
      <c r="C292" s="16" t="str">
        <f t="shared" si="30"/>
        <v>2005</v>
      </c>
      <c r="D292" t="str">
        <f t="shared" si="31"/>
        <v>28</v>
      </c>
      <c r="E292" s="21">
        <f t="shared" si="27"/>
        <v>38542</v>
      </c>
      <c r="F292" s="17" t="str">
        <f t="shared" si="28"/>
        <v>2005-07</v>
      </c>
      <c r="G292" s="25">
        <f t="shared" si="29"/>
        <v>28.919999999999998</v>
      </c>
      <c r="H292" s="4" t="s">
        <v>2288</v>
      </c>
      <c r="I292" s="27">
        <v>107.056</v>
      </c>
      <c r="J292" s="26">
        <v>107.056</v>
      </c>
      <c r="K292" s="18" t="s">
        <v>339</v>
      </c>
      <c r="L292" s="19">
        <v>42455</v>
      </c>
      <c r="M292" s="18" t="s">
        <v>99</v>
      </c>
      <c r="N292" s="20">
        <f t="shared" si="26"/>
        <v>148697000000</v>
      </c>
    </row>
    <row r="293" spans="1:14" x14ac:dyDescent="0.25">
      <c r="A293" s="18" t="s">
        <v>1696</v>
      </c>
      <c r="B293" s="28">
        <v>29.62</v>
      </c>
      <c r="C293" s="16" t="str">
        <f t="shared" si="30"/>
        <v>2005</v>
      </c>
      <c r="D293" t="str">
        <f t="shared" si="31"/>
        <v>29</v>
      </c>
      <c r="E293" s="21">
        <f t="shared" si="27"/>
        <v>38549</v>
      </c>
      <c r="F293" s="17" t="str">
        <f t="shared" si="28"/>
        <v>2005-07</v>
      </c>
      <c r="G293" s="25">
        <f t="shared" si="29"/>
        <v>28.919999999999998</v>
      </c>
      <c r="H293" s="4" t="s">
        <v>2289</v>
      </c>
      <c r="I293" s="27">
        <v>108.88</v>
      </c>
      <c r="J293" s="26">
        <v>108.88</v>
      </c>
      <c r="K293" s="18" t="s">
        <v>338</v>
      </c>
      <c r="L293" s="19">
        <v>44869</v>
      </c>
      <c r="M293" s="18" t="s">
        <v>98</v>
      </c>
      <c r="N293" s="20">
        <f t="shared" si="26"/>
        <v>131665000000</v>
      </c>
    </row>
    <row r="294" spans="1:14" x14ac:dyDescent="0.25">
      <c r="A294" s="18" t="s">
        <v>1695</v>
      </c>
      <c r="B294" s="28">
        <v>29.58</v>
      </c>
      <c r="C294" s="16" t="str">
        <f t="shared" si="30"/>
        <v>2005</v>
      </c>
      <c r="D294" t="str">
        <f t="shared" si="31"/>
        <v>30</v>
      </c>
      <c r="E294" s="21">
        <f t="shared" si="27"/>
        <v>38556</v>
      </c>
      <c r="F294" s="17" t="str">
        <f t="shared" si="28"/>
        <v>2005-07</v>
      </c>
      <c r="G294" s="25">
        <f t="shared" si="29"/>
        <v>28.919999999999998</v>
      </c>
      <c r="H294" s="4" t="s">
        <v>2290</v>
      </c>
      <c r="I294" s="27">
        <v>108.8625</v>
      </c>
      <c r="J294" s="26">
        <v>108.8625</v>
      </c>
      <c r="K294" s="18" t="s">
        <v>337</v>
      </c>
      <c r="L294" s="19">
        <v>47696</v>
      </c>
      <c r="M294" s="18" t="s">
        <v>97</v>
      </c>
      <c r="N294" s="20">
        <f t="shared" si="26"/>
        <v>144257000000</v>
      </c>
    </row>
    <row r="295" spans="1:14" x14ac:dyDescent="0.25">
      <c r="A295" s="18" t="s">
        <v>1694</v>
      </c>
      <c r="B295" s="28">
        <v>27.97</v>
      </c>
      <c r="C295" s="16" t="str">
        <f t="shared" si="30"/>
        <v>2005</v>
      </c>
      <c r="D295" t="str">
        <f t="shared" si="31"/>
        <v>31</v>
      </c>
      <c r="E295" s="21">
        <f t="shared" si="27"/>
        <v>38563</v>
      </c>
      <c r="F295" s="17" t="str">
        <f t="shared" si="28"/>
        <v>2005-07</v>
      </c>
      <c r="G295" s="25">
        <f t="shared" si="29"/>
        <v>28.919999999999998</v>
      </c>
      <c r="H295" s="4" t="s">
        <v>2291</v>
      </c>
      <c r="I295" s="27">
        <v>119.474</v>
      </c>
      <c r="J295" s="26">
        <v>119.474</v>
      </c>
      <c r="K295" s="18" t="s">
        <v>336</v>
      </c>
      <c r="L295" s="19">
        <v>45252</v>
      </c>
      <c r="M295" s="18" t="s">
        <v>96</v>
      </c>
      <c r="N295" s="20">
        <f t="shared" si="26"/>
        <v>157740000000</v>
      </c>
    </row>
    <row r="296" spans="1:14" x14ac:dyDescent="0.25">
      <c r="A296" s="18" t="s">
        <v>1693</v>
      </c>
      <c r="B296" s="28">
        <v>27.86</v>
      </c>
      <c r="C296" s="16" t="str">
        <f t="shared" si="30"/>
        <v>2005</v>
      </c>
      <c r="D296" t="str">
        <f t="shared" si="31"/>
        <v>32</v>
      </c>
      <c r="E296" s="21">
        <f t="shared" si="27"/>
        <v>38570</v>
      </c>
      <c r="F296" s="17" t="str">
        <f t="shared" si="28"/>
        <v>2005-08</v>
      </c>
      <c r="G296" s="25">
        <f t="shared" si="29"/>
        <v>28.032499999999999</v>
      </c>
      <c r="H296" s="4" t="s">
        <v>2292</v>
      </c>
      <c r="I296" s="27">
        <v>116.46250000000001</v>
      </c>
      <c r="J296" s="26">
        <v>116.46250000000001</v>
      </c>
      <c r="K296" s="18" t="s">
        <v>335</v>
      </c>
      <c r="L296" s="19">
        <v>43755</v>
      </c>
      <c r="M296" s="18" t="s">
        <v>95</v>
      </c>
      <c r="N296" s="20">
        <f t="shared" si="26"/>
        <v>149218000000</v>
      </c>
    </row>
    <row r="297" spans="1:14" x14ac:dyDescent="0.25">
      <c r="A297" s="18" t="s">
        <v>1692</v>
      </c>
      <c r="B297" s="28">
        <v>28</v>
      </c>
      <c r="C297" s="16" t="str">
        <f t="shared" si="30"/>
        <v>2005</v>
      </c>
      <c r="D297" t="str">
        <f t="shared" si="31"/>
        <v>33</v>
      </c>
      <c r="E297" s="21">
        <f t="shared" si="27"/>
        <v>38577</v>
      </c>
      <c r="F297" s="17" t="str">
        <f t="shared" si="28"/>
        <v>2005-08</v>
      </c>
      <c r="G297" s="25">
        <f t="shared" si="29"/>
        <v>28.032499999999999</v>
      </c>
      <c r="H297" s="4" t="s">
        <v>2293</v>
      </c>
      <c r="I297" s="27">
        <v>85.484999999999999</v>
      </c>
      <c r="J297" s="26">
        <v>85.484999999999999</v>
      </c>
      <c r="K297" s="18" t="s">
        <v>334</v>
      </c>
      <c r="L297" s="19">
        <v>44202</v>
      </c>
      <c r="M297" s="18" t="s">
        <v>94</v>
      </c>
      <c r="N297" s="20">
        <f t="shared" si="26"/>
        <v>154071000000</v>
      </c>
    </row>
    <row r="298" spans="1:14" x14ac:dyDescent="0.25">
      <c r="A298" s="18" t="s">
        <v>1691</v>
      </c>
      <c r="B298" s="28">
        <v>27.91</v>
      </c>
      <c r="C298" s="16" t="str">
        <f t="shared" si="30"/>
        <v>2005</v>
      </c>
      <c r="D298" t="str">
        <f t="shared" si="31"/>
        <v>34</v>
      </c>
      <c r="E298" s="21">
        <f t="shared" si="27"/>
        <v>38584</v>
      </c>
      <c r="F298" s="17" t="str">
        <f t="shared" si="28"/>
        <v>2005-08</v>
      </c>
      <c r="G298" s="25">
        <f t="shared" si="29"/>
        <v>28.032499999999999</v>
      </c>
      <c r="H298" s="4" t="s">
        <v>2294</v>
      </c>
      <c r="I298" s="27">
        <v>80.443999999999988</v>
      </c>
      <c r="J298" s="26">
        <v>80.443999999999988</v>
      </c>
      <c r="K298" s="18" t="s">
        <v>333</v>
      </c>
      <c r="L298" s="19">
        <v>47216</v>
      </c>
      <c r="M298" s="18" t="s">
        <v>93</v>
      </c>
      <c r="N298" s="20">
        <f t="shared" si="26"/>
        <v>146680000000</v>
      </c>
    </row>
    <row r="299" spans="1:14" x14ac:dyDescent="0.25">
      <c r="A299" s="18" t="s">
        <v>1690</v>
      </c>
      <c r="B299" s="28">
        <v>28.36</v>
      </c>
      <c r="C299" s="16" t="str">
        <f t="shared" si="30"/>
        <v>2005</v>
      </c>
      <c r="D299" t="str">
        <f t="shared" si="31"/>
        <v>35</v>
      </c>
      <c r="E299" s="21">
        <f t="shared" si="27"/>
        <v>38591</v>
      </c>
      <c r="F299" s="17" t="str">
        <f t="shared" si="28"/>
        <v>2005-08</v>
      </c>
      <c r="G299" s="25">
        <f t="shared" si="29"/>
        <v>28.032499999999999</v>
      </c>
      <c r="H299" s="4" t="s">
        <v>2295</v>
      </c>
      <c r="I299" s="27">
        <v>78.012500000000003</v>
      </c>
      <c r="J299" s="26">
        <v>78.012500000000003</v>
      </c>
      <c r="K299" s="18" t="s">
        <v>332</v>
      </c>
      <c r="L299" s="19">
        <v>42696</v>
      </c>
      <c r="M299" s="18" t="s">
        <v>92</v>
      </c>
      <c r="N299" s="20">
        <f t="shared" si="26"/>
        <v>151217000000</v>
      </c>
    </row>
    <row r="300" spans="1:14" x14ac:dyDescent="0.25">
      <c r="A300" s="18" t="s">
        <v>1689</v>
      </c>
      <c r="B300" s="28">
        <v>27.67</v>
      </c>
      <c r="C300" s="16" t="str">
        <f t="shared" si="30"/>
        <v>2005</v>
      </c>
      <c r="D300" t="str">
        <f t="shared" si="31"/>
        <v>36</v>
      </c>
      <c r="E300" s="21">
        <f t="shared" si="27"/>
        <v>38598</v>
      </c>
      <c r="F300" s="17" t="str">
        <f t="shared" si="28"/>
        <v>2005-09</v>
      </c>
      <c r="G300" s="25">
        <f t="shared" si="29"/>
        <v>26.3675</v>
      </c>
      <c r="H300" s="4" t="s">
        <v>2296</v>
      </c>
      <c r="I300" s="27">
        <v>72.94</v>
      </c>
      <c r="J300" s="26">
        <v>72.94</v>
      </c>
      <c r="K300" s="18" t="s">
        <v>331</v>
      </c>
      <c r="L300" s="19">
        <v>48072</v>
      </c>
      <c r="M300" s="18" t="s">
        <v>91</v>
      </c>
      <c r="N300" s="20">
        <f t="shared" si="26"/>
        <v>131033000000</v>
      </c>
    </row>
    <row r="301" spans="1:14" x14ac:dyDescent="0.25">
      <c r="A301" s="18" t="s">
        <v>1688</v>
      </c>
      <c r="B301" s="28">
        <v>26.6</v>
      </c>
      <c r="C301" s="16" t="str">
        <f t="shared" si="30"/>
        <v>2005</v>
      </c>
      <c r="D301" t="str">
        <f t="shared" si="31"/>
        <v>37</v>
      </c>
      <c r="E301" s="21">
        <f t="shared" si="27"/>
        <v>38605</v>
      </c>
      <c r="F301" s="17" t="str">
        <f t="shared" si="28"/>
        <v>2005-09</v>
      </c>
      <c r="G301" s="25">
        <f t="shared" si="29"/>
        <v>26.3675</v>
      </c>
      <c r="H301" s="4" t="s">
        <v>2297</v>
      </c>
      <c r="I301" s="27">
        <v>75.715000000000003</v>
      </c>
      <c r="J301" s="26">
        <v>75.715000000000003</v>
      </c>
      <c r="K301" s="18" t="s">
        <v>330</v>
      </c>
      <c r="L301" s="19">
        <v>51998</v>
      </c>
      <c r="M301" s="18" t="s">
        <v>90</v>
      </c>
      <c r="N301" s="20">
        <f t="shared" si="26"/>
        <v>160711000000</v>
      </c>
    </row>
    <row r="302" spans="1:14" x14ac:dyDescent="0.25">
      <c r="A302" s="18" t="s">
        <v>1687</v>
      </c>
      <c r="B302" s="28">
        <v>25.67</v>
      </c>
      <c r="C302" s="16" t="str">
        <f t="shared" si="30"/>
        <v>2005</v>
      </c>
      <c r="D302" t="str">
        <f t="shared" si="31"/>
        <v>38</v>
      </c>
      <c r="E302" s="21">
        <f t="shared" si="27"/>
        <v>38612</v>
      </c>
      <c r="F302" s="17" t="str">
        <f t="shared" si="28"/>
        <v>2005-09</v>
      </c>
      <c r="G302" s="25">
        <f t="shared" si="29"/>
        <v>26.3675</v>
      </c>
      <c r="H302" s="4" t="s">
        <v>2298</v>
      </c>
      <c r="I302" s="27">
        <v>83.847499999999997</v>
      </c>
      <c r="J302" s="26">
        <v>83.847499999999997</v>
      </c>
      <c r="K302" s="18" t="s">
        <v>329</v>
      </c>
      <c r="L302" s="19">
        <v>51369</v>
      </c>
      <c r="M302" s="18" t="s">
        <v>89</v>
      </c>
      <c r="N302" s="20">
        <f t="shared" si="26"/>
        <v>164102000000</v>
      </c>
    </row>
    <row r="303" spans="1:14" x14ac:dyDescent="0.25">
      <c r="A303" s="18" t="s">
        <v>1686</v>
      </c>
      <c r="B303" s="28">
        <v>25.53</v>
      </c>
      <c r="C303" s="16" t="str">
        <f t="shared" si="30"/>
        <v>2005</v>
      </c>
      <c r="D303" t="str">
        <f t="shared" si="31"/>
        <v>39</v>
      </c>
      <c r="E303" s="21">
        <f t="shared" si="27"/>
        <v>38619</v>
      </c>
      <c r="F303" s="17" t="str">
        <f t="shared" si="28"/>
        <v>2005-09</v>
      </c>
      <c r="G303" s="25">
        <f t="shared" si="29"/>
        <v>26.3675</v>
      </c>
      <c r="H303" s="4" t="s">
        <v>2299</v>
      </c>
      <c r="I303" s="27">
        <v>95.542500000000004</v>
      </c>
      <c r="J303" s="26">
        <v>95.542500000000004</v>
      </c>
      <c r="K303" s="18" t="s">
        <v>328</v>
      </c>
      <c r="L303" s="19">
        <v>45316</v>
      </c>
      <c r="M303" s="18" t="s">
        <v>88</v>
      </c>
      <c r="N303" s="20">
        <f t="shared" si="26"/>
        <v>168779000000</v>
      </c>
    </row>
    <row r="304" spans="1:14" x14ac:dyDescent="0.25">
      <c r="A304" s="18" t="s">
        <v>1685</v>
      </c>
      <c r="B304" s="28">
        <v>25.67</v>
      </c>
      <c r="C304" s="16" t="str">
        <f t="shared" si="30"/>
        <v>2005</v>
      </c>
      <c r="D304" t="str">
        <f t="shared" si="31"/>
        <v>40</v>
      </c>
      <c r="E304" s="21">
        <f t="shared" si="27"/>
        <v>38626</v>
      </c>
      <c r="F304" s="17" t="str">
        <f t="shared" si="28"/>
        <v>2005-10</v>
      </c>
      <c r="G304" s="25">
        <f t="shared" si="29"/>
        <v>26.283999999999999</v>
      </c>
      <c r="H304" s="4" t="s">
        <v>2300</v>
      </c>
      <c r="I304" s="27">
        <v>108.226</v>
      </c>
      <c r="J304" s="26">
        <v>108.226</v>
      </c>
      <c r="K304" s="18" t="s">
        <v>327</v>
      </c>
      <c r="L304" s="19">
        <v>48652</v>
      </c>
      <c r="M304" s="18" t="s">
        <v>87</v>
      </c>
      <c r="N304" s="20">
        <f t="shared" si="26"/>
        <v>176834000000</v>
      </c>
    </row>
    <row r="305" spans="1:14" x14ac:dyDescent="0.25">
      <c r="A305" s="18" t="s">
        <v>1684</v>
      </c>
      <c r="B305" s="28">
        <v>26.24</v>
      </c>
      <c r="C305" s="16" t="str">
        <f t="shared" si="30"/>
        <v>2005</v>
      </c>
      <c r="D305" t="str">
        <f t="shared" si="31"/>
        <v>41</v>
      </c>
      <c r="E305" s="21">
        <f t="shared" si="27"/>
        <v>38633</v>
      </c>
      <c r="F305" s="17" t="str">
        <f t="shared" si="28"/>
        <v>2005-10</v>
      </c>
      <c r="G305" s="25">
        <f t="shared" si="29"/>
        <v>26.283999999999999</v>
      </c>
      <c r="H305" s="4" t="s">
        <v>2301</v>
      </c>
      <c r="I305" s="27">
        <v>92.762500000000003</v>
      </c>
      <c r="J305" s="26">
        <v>92.762500000000003</v>
      </c>
      <c r="K305" s="18" t="s">
        <v>326</v>
      </c>
      <c r="L305" s="19">
        <v>49840</v>
      </c>
      <c r="M305" s="18" t="s">
        <v>86</v>
      </c>
      <c r="N305" s="20">
        <f t="shared" si="26"/>
        <v>168193000000</v>
      </c>
    </row>
    <row r="306" spans="1:14" x14ac:dyDescent="0.25">
      <c r="A306" s="18" t="s">
        <v>1683</v>
      </c>
      <c r="B306" s="28">
        <v>26.43</v>
      </c>
      <c r="C306" s="16" t="str">
        <f t="shared" si="30"/>
        <v>2005</v>
      </c>
      <c r="D306" t="str">
        <f t="shared" si="31"/>
        <v>42</v>
      </c>
      <c r="E306" s="21">
        <f t="shared" si="27"/>
        <v>38640</v>
      </c>
      <c r="F306" s="17" t="str">
        <f t="shared" si="28"/>
        <v>2005-10</v>
      </c>
      <c r="G306" s="25">
        <f t="shared" si="29"/>
        <v>26.283999999999999</v>
      </c>
      <c r="H306" s="4" t="s">
        <v>2302</v>
      </c>
      <c r="I306" s="27">
        <v>87.295000000000002</v>
      </c>
      <c r="J306" s="26">
        <v>87.295000000000002</v>
      </c>
      <c r="K306" s="18" t="s">
        <v>325</v>
      </c>
      <c r="L306" s="19">
        <v>53943</v>
      </c>
      <c r="M306" s="18" t="s">
        <v>85</v>
      </c>
      <c r="N306" s="20">
        <f t="shared" si="26"/>
        <v>155655000000</v>
      </c>
    </row>
    <row r="307" spans="1:14" x14ac:dyDescent="0.25">
      <c r="A307" s="18" t="s">
        <v>1682</v>
      </c>
      <c r="B307" s="28">
        <v>26.54</v>
      </c>
      <c r="C307" s="16" t="str">
        <f t="shared" si="30"/>
        <v>2005</v>
      </c>
      <c r="D307" t="str">
        <f t="shared" si="31"/>
        <v>43</v>
      </c>
      <c r="E307" s="21">
        <f t="shared" si="27"/>
        <v>38647</v>
      </c>
      <c r="F307" s="17" t="str">
        <f t="shared" si="28"/>
        <v>2005-10</v>
      </c>
      <c r="G307" s="25">
        <f t="shared" si="29"/>
        <v>26.283999999999999</v>
      </c>
      <c r="H307" s="4" t="s">
        <v>2303</v>
      </c>
      <c r="I307" s="27">
        <v>82.966000000000008</v>
      </c>
      <c r="J307" s="26">
        <v>82.966000000000008</v>
      </c>
      <c r="K307" s="18" t="s">
        <v>324</v>
      </c>
      <c r="L307" s="19">
        <v>59761</v>
      </c>
      <c r="M307" s="18" t="s">
        <v>84</v>
      </c>
      <c r="N307" s="20">
        <f t="shared" si="26"/>
        <v>145888000000</v>
      </c>
    </row>
    <row r="308" spans="1:14" x14ac:dyDescent="0.25">
      <c r="A308" s="18" t="s">
        <v>1681</v>
      </c>
      <c r="B308" s="28">
        <v>26.54</v>
      </c>
      <c r="C308" s="16" t="str">
        <f t="shared" si="30"/>
        <v>2005</v>
      </c>
      <c r="D308" t="str">
        <f t="shared" si="31"/>
        <v>44</v>
      </c>
      <c r="E308" s="21">
        <f t="shared" si="27"/>
        <v>38654</v>
      </c>
      <c r="F308" s="17" t="str">
        <f t="shared" si="28"/>
        <v>2005-10</v>
      </c>
      <c r="G308" s="25">
        <f t="shared" si="29"/>
        <v>26.283999999999999</v>
      </c>
      <c r="H308" s="4" t="s">
        <v>2304</v>
      </c>
      <c r="I308" s="27">
        <v>74.42</v>
      </c>
      <c r="J308" s="26">
        <v>74.42</v>
      </c>
      <c r="K308" s="18" t="s">
        <v>323</v>
      </c>
      <c r="L308" s="19">
        <v>52185</v>
      </c>
      <c r="M308" s="18" t="s">
        <v>83</v>
      </c>
      <c r="N308" s="20">
        <f t="shared" si="26"/>
        <v>136942000000</v>
      </c>
    </row>
    <row r="309" spans="1:14" x14ac:dyDescent="0.25">
      <c r="A309" s="18" t="s">
        <v>1680</v>
      </c>
      <c r="B309" s="28">
        <v>26.1</v>
      </c>
      <c r="C309" s="16" t="str">
        <f t="shared" si="30"/>
        <v>2005</v>
      </c>
      <c r="D309" t="str">
        <f t="shared" si="31"/>
        <v>45</v>
      </c>
      <c r="E309" s="21">
        <f t="shared" si="27"/>
        <v>38661</v>
      </c>
      <c r="F309" s="17" t="str">
        <f t="shared" si="28"/>
        <v>2005-11</v>
      </c>
      <c r="G309" s="25">
        <f t="shared" si="29"/>
        <v>26.142499999999998</v>
      </c>
      <c r="H309" s="4" t="s">
        <v>2305</v>
      </c>
      <c r="I309" s="27">
        <v>75.055000000000007</v>
      </c>
      <c r="J309" s="26">
        <v>75.055000000000007</v>
      </c>
      <c r="K309" s="18" t="s">
        <v>322</v>
      </c>
      <c r="L309" s="19">
        <v>49667</v>
      </c>
      <c r="M309" s="18" t="s">
        <v>82</v>
      </c>
      <c r="N309" s="20">
        <f t="shared" si="26"/>
        <v>140481000000</v>
      </c>
    </row>
    <row r="310" spans="1:14" x14ac:dyDescent="0.25">
      <c r="A310" s="18" t="s">
        <v>1679</v>
      </c>
      <c r="B310" s="28">
        <v>25.51</v>
      </c>
      <c r="C310" s="16" t="str">
        <f t="shared" si="30"/>
        <v>2005</v>
      </c>
      <c r="D310" t="str">
        <f t="shared" si="31"/>
        <v>46</v>
      </c>
      <c r="E310" s="21">
        <f t="shared" si="27"/>
        <v>38668</v>
      </c>
      <c r="F310" s="17" t="str">
        <f t="shared" si="28"/>
        <v>2005-11</v>
      </c>
      <c r="G310" s="25">
        <f t="shared" si="29"/>
        <v>26.142499999999998</v>
      </c>
      <c r="H310" s="4" t="s">
        <v>2306</v>
      </c>
      <c r="I310" s="27">
        <v>66.275999999999982</v>
      </c>
      <c r="J310" s="26">
        <v>66.275999999999982</v>
      </c>
      <c r="K310" s="18" t="s">
        <v>321</v>
      </c>
      <c r="L310" s="19">
        <v>54083</v>
      </c>
      <c r="M310" s="18" t="s">
        <v>81</v>
      </c>
      <c r="N310" s="20">
        <f t="shared" si="26"/>
        <v>142998000000</v>
      </c>
    </row>
    <row r="311" spans="1:14" x14ac:dyDescent="0.25">
      <c r="A311" s="18" t="s">
        <v>1678</v>
      </c>
      <c r="B311" s="28">
        <v>25.89</v>
      </c>
      <c r="C311" s="16" t="str">
        <f t="shared" si="30"/>
        <v>2005</v>
      </c>
      <c r="D311" t="str">
        <f t="shared" si="31"/>
        <v>47</v>
      </c>
      <c r="E311" s="21">
        <f t="shared" si="27"/>
        <v>38675</v>
      </c>
      <c r="F311" s="17" t="str">
        <f t="shared" si="28"/>
        <v>2005-11</v>
      </c>
      <c r="G311" s="25">
        <f t="shared" si="29"/>
        <v>26.142499999999998</v>
      </c>
      <c r="H311" s="4" t="s">
        <v>2307</v>
      </c>
      <c r="I311" s="27">
        <v>64.355000000000004</v>
      </c>
      <c r="J311" s="26">
        <v>64.355000000000004</v>
      </c>
      <c r="K311" s="18" t="s">
        <v>320</v>
      </c>
      <c r="L311" s="19">
        <v>57128</v>
      </c>
      <c r="M311" s="18" t="s">
        <v>80</v>
      </c>
      <c r="N311" s="20">
        <f t="shared" si="26"/>
        <v>143213000000</v>
      </c>
    </row>
    <row r="312" spans="1:14" x14ac:dyDescent="0.25">
      <c r="A312" s="18" t="s">
        <v>1677</v>
      </c>
      <c r="B312" s="28">
        <v>27.07</v>
      </c>
      <c r="C312" s="16" t="str">
        <f t="shared" si="30"/>
        <v>2005</v>
      </c>
      <c r="D312" t="str">
        <f t="shared" si="31"/>
        <v>48</v>
      </c>
      <c r="E312" s="21">
        <f t="shared" si="27"/>
        <v>38682</v>
      </c>
      <c r="F312" s="17" t="str">
        <f t="shared" si="28"/>
        <v>2005-11</v>
      </c>
      <c r="G312" s="25">
        <f t="shared" si="29"/>
        <v>26.142499999999998</v>
      </c>
      <c r="H312" s="4" t="s">
        <v>2308</v>
      </c>
      <c r="I312" s="27">
        <v>75.625</v>
      </c>
      <c r="J312" s="26">
        <v>75.625</v>
      </c>
      <c r="K312" s="18" t="s">
        <v>319</v>
      </c>
      <c r="L312" s="19">
        <v>57541</v>
      </c>
      <c r="M312" s="18" t="s">
        <v>79</v>
      </c>
      <c r="N312" s="20">
        <f t="shared" si="26"/>
        <v>131746000000</v>
      </c>
    </row>
    <row r="313" spans="1:14" x14ac:dyDescent="0.25">
      <c r="A313" s="18" t="s">
        <v>1676</v>
      </c>
      <c r="B313" s="28">
        <v>28.7</v>
      </c>
      <c r="C313" s="16" t="str">
        <f t="shared" si="30"/>
        <v>2005</v>
      </c>
      <c r="D313" t="str">
        <f t="shared" si="31"/>
        <v>49</v>
      </c>
      <c r="E313" s="21">
        <f t="shared" si="27"/>
        <v>38689</v>
      </c>
      <c r="F313" s="17" t="str">
        <f t="shared" si="28"/>
        <v>2005-12</v>
      </c>
      <c r="G313" s="25">
        <f t="shared" si="29"/>
        <v>27.717500000000001</v>
      </c>
      <c r="H313" s="4" t="s">
        <v>2309</v>
      </c>
      <c r="I313" s="27">
        <v>77.12</v>
      </c>
      <c r="J313" s="26">
        <v>77.12</v>
      </c>
      <c r="K313" s="18" t="s">
        <v>318</v>
      </c>
      <c r="L313" s="19">
        <v>64133</v>
      </c>
      <c r="M313" s="18" t="s">
        <v>78</v>
      </c>
      <c r="N313" s="20">
        <f t="shared" si="26"/>
        <v>154466000000</v>
      </c>
    </row>
    <row r="314" spans="1:14" x14ac:dyDescent="0.25">
      <c r="A314" s="18" t="s">
        <v>1675</v>
      </c>
      <c r="B314" s="28">
        <v>28.08</v>
      </c>
      <c r="C314" s="16" t="str">
        <f t="shared" si="30"/>
        <v>2005</v>
      </c>
      <c r="D314" t="str">
        <f t="shared" si="31"/>
        <v>50</v>
      </c>
      <c r="E314" s="21">
        <f t="shared" si="27"/>
        <v>38696</v>
      </c>
      <c r="F314" s="17" t="str">
        <f t="shared" si="28"/>
        <v>2005-12</v>
      </c>
      <c r="G314" s="25">
        <f t="shared" si="29"/>
        <v>27.717500000000001</v>
      </c>
      <c r="H314" s="4" t="s">
        <v>2310</v>
      </c>
      <c r="I314" s="27">
        <v>79.09</v>
      </c>
      <c r="J314" s="22"/>
      <c r="K314" s="18" t="s">
        <v>317</v>
      </c>
      <c r="L314" s="19">
        <v>58043</v>
      </c>
    </row>
    <row r="315" spans="1:14" x14ac:dyDescent="0.25">
      <c r="A315" s="18" t="s">
        <v>1674</v>
      </c>
      <c r="B315" s="28">
        <v>27.3</v>
      </c>
      <c r="C315" s="16" t="str">
        <f t="shared" si="30"/>
        <v>2005</v>
      </c>
      <c r="D315" t="str">
        <f t="shared" si="31"/>
        <v>51</v>
      </c>
      <c r="E315" s="21">
        <f t="shared" si="27"/>
        <v>38703</v>
      </c>
      <c r="F315" s="17" t="str">
        <f t="shared" si="28"/>
        <v>2005-12</v>
      </c>
      <c r="G315" s="25">
        <f t="shared" si="29"/>
        <v>27.717500000000001</v>
      </c>
      <c r="H315" s="4" t="s">
        <v>43</v>
      </c>
      <c r="I315" s="27">
        <v>46.063437037037083</v>
      </c>
      <c r="K315" s="18" t="s">
        <v>316</v>
      </c>
      <c r="L315" s="19">
        <v>63783</v>
      </c>
    </row>
    <row r="316" spans="1:14" x14ac:dyDescent="0.25">
      <c r="A316" s="18" t="s">
        <v>1673</v>
      </c>
      <c r="B316" s="28">
        <v>26.79</v>
      </c>
      <c r="C316" s="16" t="str">
        <f t="shared" si="30"/>
        <v>2005</v>
      </c>
      <c r="D316" t="str">
        <f t="shared" si="31"/>
        <v>52</v>
      </c>
      <c r="E316" s="21">
        <f t="shared" si="27"/>
        <v>38710</v>
      </c>
      <c r="F316" s="17" t="str">
        <f t="shared" si="28"/>
        <v>2005-12</v>
      </c>
      <c r="G316" s="25">
        <f t="shared" si="29"/>
        <v>27.717500000000001</v>
      </c>
      <c r="K316" s="18" t="s">
        <v>315</v>
      </c>
      <c r="L316" s="19">
        <v>70255</v>
      </c>
    </row>
    <row r="317" spans="1:14" x14ac:dyDescent="0.25">
      <c r="A317" s="18" t="s">
        <v>1672</v>
      </c>
      <c r="B317" s="28">
        <v>25.96</v>
      </c>
      <c r="C317" s="16" t="str">
        <f t="shared" si="30"/>
        <v>2006</v>
      </c>
      <c r="D317" t="str">
        <f t="shared" si="31"/>
        <v>01</v>
      </c>
      <c r="E317" s="21">
        <f t="shared" si="27"/>
        <v>38718</v>
      </c>
      <c r="F317" s="17" t="str">
        <f t="shared" si="28"/>
        <v>2006-01</v>
      </c>
      <c r="G317" s="25">
        <f t="shared" si="29"/>
        <v>26.79</v>
      </c>
      <c r="K317" s="18" t="s">
        <v>314</v>
      </c>
      <c r="L317" s="19">
        <v>61274</v>
      </c>
    </row>
    <row r="318" spans="1:14" x14ac:dyDescent="0.25">
      <c r="A318" s="18" t="s">
        <v>1671</v>
      </c>
      <c r="B318" s="28">
        <v>25.7</v>
      </c>
      <c r="C318" s="16" t="str">
        <f t="shared" si="30"/>
        <v>2006</v>
      </c>
      <c r="D318" t="str">
        <f t="shared" si="31"/>
        <v>02</v>
      </c>
      <c r="E318" s="21">
        <f t="shared" si="27"/>
        <v>38725</v>
      </c>
      <c r="F318" s="17" t="str">
        <f t="shared" si="28"/>
        <v>2006-01</v>
      </c>
      <c r="G318" s="25">
        <f t="shared" si="29"/>
        <v>26.79</v>
      </c>
      <c r="K318" s="18" t="s">
        <v>313</v>
      </c>
      <c r="L318" s="19">
        <v>72719</v>
      </c>
    </row>
    <row r="319" spans="1:14" x14ac:dyDescent="0.25">
      <c r="A319" s="18" t="s">
        <v>1670</v>
      </c>
      <c r="B319" s="28">
        <v>26.54</v>
      </c>
      <c r="C319" s="16" t="str">
        <f t="shared" si="30"/>
        <v>2006</v>
      </c>
      <c r="D319" t="str">
        <f t="shared" si="31"/>
        <v>03</v>
      </c>
      <c r="E319" s="21">
        <f t="shared" si="27"/>
        <v>38732</v>
      </c>
      <c r="F319" s="17" t="str">
        <f t="shared" si="28"/>
        <v>2006-01</v>
      </c>
      <c r="G319" s="25">
        <f t="shared" si="29"/>
        <v>26.79</v>
      </c>
      <c r="K319" s="18" t="s">
        <v>312</v>
      </c>
      <c r="L319" s="19">
        <v>62410</v>
      </c>
    </row>
    <row r="320" spans="1:14" x14ac:dyDescent="0.25">
      <c r="A320" s="18" t="s">
        <v>1669</v>
      </c>
      <c r="B320" s="28">
        <v>28.54</v>
      </c>
      <c r="C320" s="16" t="str">
        <f t="shared" si="30"/>
        <v>2006</v>
      </c>
      <c r="D320" t="str">
        <f t="shared" si="31"/>
        <v>04</v>
      </c>
      <c r="E320" s="21">
        <f t="shared" si="27"/>
        <v>38739</v>
      </c>
      <c r="F320" s="17" t="str">
        <f t="shared" si="28"/>
        <v>2006-01</v>
      </c>
      <c r="G320" s="25">
        <f t="shared" si="29"/>
        <v>26.79</v>
      </c>
      <c r="K320" s="18" t="s">
        <v>311</v>
      </c>
      <c r="L320" s="19">
        <v>62350</v>
      </c>
    </row>
    <row r="321" spans="1:12" x14ac:dyDescent="0.25">
      <c r="A321" s="18" t="s">
        <v>1668</v>
      </c>
      <c r="B321" s="28">
        <v>27.21</v>
      </c>
      <c r="C321" s="16" t="str">
        <f t="shared" si="30"/>
        <v>2006</v>
      </c>
      <c r="D321" t="str">
        <f t="shared" si="31"/>
        <v>05</v>
      </c>
      <c r="E321" s="21">
        <f t="shared" si="27"/>
        <v>38746</v>
      </c>
      <c r="F321" s="17" t="str">
        <f t="shared" si="28"/>
        <v>2006-01</v>
      </c>
      <c r="G321" s="25">
        <f t="shared" si="29"/>
        <v>26.79</v>
      </c>
      <c r="K321" s="18" t="s">
        <v>310</v>
      </c>
      <c r="L321" s="19">
        <v>65520</v>
      </c>
    </row>
    <row r="322" spans="1:12" x14ac:dyDescent="0.25">
      <c r="A322" s="18" t="s">
        <v>1667</v>
      </c>
      <c r="B322" s="28">
        <v>26.68</v>
      </c>
      <c r="C322" s="16" t="str">
        <f t="shared" si="30"/>
        <v>2006</v>
      </c>
      <c r="D322" t="str">
        <f t="shared" si="31"/>
        <v>06</v>
      </c>
      <c r="E322" s="21">
        <f t="shared" si="27"/>
        <v>38753</v>
      </c>
      <c r="F322" s="17" t="str">
        <f t="shared" si="28"/>
        <v>2006-02</v>
      </c>
      <c r="G322" s="25">
        <f t="shared" si="29"/>
        <v>27.355</v>
      </c>
      <c r="K322" s="18" t="s">
        <v>309</v>
      </c>
      <c r="L322" s="19">
        <v>62813</v>
      </c>
    </row>
    <row r="323" spans="1:12" x14ac:dyDescent="0.25">
      <c r="A323" s="18" t="s">
        <v>1666</v>
      </c>
      <c r="B323" s="28">
        <v>26.53</v>
      </c>
      <c r="C323" s="16" t="str">
        <f t="shared" si="30"/>
        <v>2006</v>
      </c>
      <c r="D323" t="str">
        <f t="shared" si="31"/>
        <v>07</v>
      </c>
      <c r="E323" s="21">
        <f t="shared" si="27"/>
        <v>38760</v>
      </c>
      <c r="F323" s="17" t="str">
        <f t="shared" si="28"/>
        <v>2006-02</v>
      </c>
      <c r="G323" s="25">
        <f t="shared" si="29"/>
        <v>27.355</v>
      </c>
      <c r="K323" s="18" t="s">
        <v>308</v>
      </c>
      <c r="L323" s="19">
        <v>65240</v>
      </c>
    </row>
    <row r="324" spans="1:12" x14ac:dyDescent="0.25">
      <c r="A324" s="18" t="s">
        <v>1665</v>
      </c>
      <c r="B324" s="28">
        <v>27.55</v>
      </c>
      <c r="C324" s="16" t="str">
        <f t="shared" si="30"/>
        <v>2006</v>
      </c>
      <c r="D324" t="str">
        <f t="shared" si="31"/>
        <v>08</v>
      </c>
      <c r="E324" s="21">
        <f t="shared" si="27"/>
        <v>38767</v>
      </c>
      <c r="F324" s="17" t="str">
        <f t="shared" si="28"/>
        <v>2006-02</v>
      </c>
      <c r="G324" s="25">
        <f t="shared" si="29"/>
        <v>27.355</v>
      </c>
      <c r="K324" s="18" t="s">
        <v>307</v>
      </c>
      <c r="L324" s="19">
        <v>60268</v>
      </c>
    </row>
    <row r="325" spans="1:12" x14ac:dyDescent="0.25">
      <c r="A325" s="18" t="s">
        <v>1664</v>
      </c>
      <c r="B325" s="28">
        <v>28.66</v>
      </c>
      <c r="C325" s="16" t="str">
        <f t="shared" si="30"/>
        <v>2006</v>
      </c>
      <c r="D325" t="str">
        <f t="shared" si="31"/>
        <v>09</v>
      </c>
      <c r="E325" s="21">
        <f t="shared" ref="E325:E388" si="32">DATE(C325,1,1)+(D325-1)*7</f>
        <v>38774</v>
      </c>
      <c r="F325" s="17" t="str">
        <f t="shared" ref="F325:F388" si="33">TEXT(E325,"éééé-hh")</f>
        <v>2006-02</v>
      </c>
      <c r="G325" s="25">
        <f t="shared" ref="G325:G388" si="34">AVERAGEIF($F$4:$F$1353,F325,$B$4:$B$1353)</f>
        <v>27.355</v>
      </c>
      <c r="K325" s="18" t="s">
        <v>306</v>
      </c>
      <c r="L325" s="19">
        <v>68745</v>
      </c>
    </row>
    <row r="326" spans="1:12" x14ac:dyDescent="0.25">
      <c r="A326" s="18" t="s">
        <v>1663</v>
      </c>
      <c r="B326" s="28">
        <v>29.78</v>
      </c>
      <c r="C326" s="16" t="str">
        <f t="shared" si="30"/>
        <v>2006</v>
      </c>
      <c r="D326" t="str">
        <f t="shared" si="31"/>
        <v>10</v>
      </c>
      <c r="E326" s="21">
        <f t="shared" si="32"/>
        <v>38781</v>
      </c>
      <c r="F326" s="17" t="str">
        <f t="shared" si="33"/>
        <v>2006-03</v>
      </c>
      <c r="G326" s="25">
        <f t="shared" si="34"/>
        <v>31.0625</v>
      </c>
      <c r="K326" s="18" t="s">
        <v>305</v>
      </c>
      <c r="L326" s="19">
        <v>67685</v>
      </c>
    </row>
    <row r="327" spans="1:12" x14ac:dyDescent="0.25">
      <c r="A327" s="18" t="s">
        <v>1662</v>
      </c>
      <c r="B327" s="28">
        <v>30.48</v>
      </c>
      <c r="C327" s="16" t="str">
        <f t="shared" si="30"/>
        <v>2006</v>
      </c>
      <c r="D327" t="str">
        <f t="shared" si="31"/>
        <v>11</v>
      </c>
      <c r="E327" s="21">
        <f t="shared" si="32"/>
        <v>38788</v>
      </c>
      <c r="F327" s="17" t="str">
        <f t="shared" si="33"/>
        <v>2006-03</v>
      </c>
      <c r="G327" s="25">
        <f t="shared" si="34"/>
        <v>31.0625</v>
      </c>
      <c r="K327" s="18" t="s">
        <v>304</v>
      </c>
      <c r="L327" s="19">
        <v>63664</v>
      </c>
    </row>
    <row r="328" spans="1:12" x14ac:dyDescent="0.25">
      <c r="A328" s="18" t="s">
        <v>1661</v>
      </c>
      <c r="B328" s="28">
        <v>31.18</v>
      </c>
      <c r="C328" s="16" t="str">
        <f t="shared" si="30"/>
        <v>2006</v>
      </c>
      <c r="D328" t="str">
        <f t="shared" si="31"/>
        <v>12</v>
      </c>
      <c r="E328" s="21">
        <f t="shared" si="32"/>
        <v>38795</v>
      </c>
      <c r="F328" s="17" t="str">
        <f t="shared" si="33"/>
        <v>2006-03</v>
      </c>
      <c r="G328" s="25">
        <f t="shared" si="34"/>
        <v>31.0625</v>
      </c>
      <c r="K328" s="18" t="s">
        <v>303</v>
      </c>
      <c r="L328" s="19">
        <v>67604</v>
      </c>
    </row>
    <row r="329" spans="1:12" x14ac:dyDescent="0.25">
      <c r="A329" s="18" t="s">
        <v>1660</v>
      </c>
      <c r="B329" s="28">
        <v>32.81</v>
      </c>
      <c r="C329" s="16" t="str">
        <f t="shared" si="30"/>
        <v>2006</v>
      </c>
      <c r="D329" t="str">
        <f t="shared" si="31"/>
        <v>13</v>
      </c>
      <c r="E329" s="21">
        <f t="shared" si="32"/>
        <v>38802</v>
      </c>
      <c r="F329" s="17" t="str">
        <f t="shared" si="33"/>
        <v>2006-03</v>
      </c>
      <c r="G329" s="25">
        <f t="shared" si="34"/>
        <v>31.0625</v>
      </c>
      <c r="K329" s="18" t="s">
        <v>302</v>
      </c>
      <c r="L329" s="19">
        <v>59469</v>
      </c>
    </row>
    <row r="330" spans="1:12" x14ac:dyDescent="0.25">
      <c r="A330" s="18" t="s">
        <v>1659</v>
      </c>
      <c r="B330" s="28">
        <v>34.82</v>
      </c>
      <c r="C330" s="16" t="str">
        <f t="shared" si="30"/>
        <v>2006</v>
      </c>
      <c r="D330" t="str">
        <f t="shared" si="31"/>
        <v>14</v>
      </c>
      <c r="E330" s="21">
        <f t="shared" si="32"/>
        <v>38809</v>
      </c>
      <c r="F330" s="17" t="str">
        <f t="shared" si="33"/>
        <v>2006-04</v>
      </c>
      <c r="G330" s="25">
        <f t="shared" si="34"/>
        <v>35.106000000000002</v>
      </c>
      <c r="K330" s="18" t="s">
        <v>301</v>
      </c>
      <c r="L330" s="19">
        <v>69119</v>
      </c>
    </row>
    <row r="331" spans="1:12" x14ac:dyDescent="0.25">
      <c r="A331" s="18" t="s">
        <v>1658</v>
      </c>
      <c r="B331" s="28">
        <v>34.68</v>
      </c>
      <c r="C331" s="16" t="str">
        <f t="shared" si="30"/>
        <v>2006</v>
      </c>
      <c r="D331" t="str">
        <f t="shared" si="31"/>
        <v>15</v>
      </c>
      <c r="E331" s="21">
        <f t="shared" si="32"/>
        <v>38816</v>
      </c>
      <c r="F331" s="17" t="str">
        <f t="shared" si="33"/>
        <v>2006-04</v>
      </c>
      <c r="G331" s="25">
        <f t="shared" si="34"/>
        <v>35.106000000000002</v>
      </c>
      <c r="K331" s="18" t="s">
        <v>300</v>
      </c>
      <c r="L331" s="19">
        <v>63304</v>
      </c>
    </row>
    <row r="332" spans="1:12" x14ac:dyDescent="0.25">
      <c r="A332" s="18" t="s">
        <v>1657</v>
      </c>
      <c r="B332" s="28">
        <v>34.58</v>
      </c>
      <c r="C332" s="16" t="str">
        <f t="shared" si="30"/>
        <v>2006</v>
      </c>
      <c r="D332" t="str">
        <f t="shared" si="31"/>
        <v>16</v>
      </c>
      <c r="E332" s="21">
        <f t="shared" si="32"/>
        <v>38823</v>
      </c>
      <c r="F332" s="17" t="str">
        <f t="shared" si="33"/>
        <v>2006-04</v>
      </c>
      <c r="G332" s="25">
        <f t="shared" si="34"/>
        <v>35.106000000000002</v>
      </c>
      <c r="K332" s="18" t="s">
        <v>299</v>
      </c>
      <c r="L332" s="19">
        <v>63610</v>
      </c>
    </row>
    <row r="333" spans="1:12" x14ac:dyDescent="0.25">
      <c r="A333" s="18" t="s">
        <v>1656</v>
      </c>
      <c r="B333" s="28">
        <v>34.97</v>
      </c>
      <c r="C333" s="16" t="str">
        <f t="shared" si="30"/>
        <v>2006</v>
      </c>
      <c r="D333" t="str">
        <f t="shared" si="31"/>
        <v>17</v>
      </c>
      <c r="E333" s="21">
        <f t="shared" si="32"/>
        <v>38830</v>
      </c>
      <c r="F333" s="17" t="str">
        <f t="shared" si="33"/>
        <v>2006-04</v>
      </c>
      <c r="G333" s="25">
        <f t="shared" si="34"/>
        <v>35.106000000000002</v>
      </c>
      <c r="K333" s="18" t="s">
        <v>298</v>
      </c>
      <c r="L333" s="19">
        <v>63367</v>
      </c>
    </row>
    <row r="334" spans="1:12" x14ac:dyDescent="0.25">
      <c r="A334" s="18" t="s">
        <v>1655</v>
      </c>
      <c r="B334" s="28">
        <v>36.479999999999997</v>
      </c>
      <c r="C334" s="16" t="str">
        <f t="shared" si="30"/>
        <v>2006</v>
      </c>
      <c r="D334" t="str">
        <f t="shared" si="31"/>
        <v>18</v>
      </c>
      <c r="E334" s="21">
        <f t="shared" si="32"/>
        <v>38837</v>
      </c>
      <c r="F334" s="17" t="str">
        <f t="shared" si="33"/>
        <v>2006-04</v>
      </c>
      <c r="G334" s="25">
        <f t="shared" si="34"/>
        <v>35.106000000000002</v>
      </c>
      <c r="K334" s="18" t="s">
        <v>297</v>
      </c>
      <c r="L334" s="19">
        <v>59884</v>
      </c>
    </row>
    <row r="335" spans="1:12" x14ac:dyDescent="0.25">
      <c r="A335" s="18" t="s">
        <v>1654</v>
      </c>
      <c r="B335" s="28">
        <v>36.28</v>
      </c>
      <c r="C335" s="16" t="str">
        <f t="shared" si="30"/>
        <v>2006</v>
      </c>
      <c r="D335" t="str">
        <f t="shared" si="31"/>
        <v>19</v>
      </c>
      <c r="E335" s="21">
        <f t="shared" si="32"/>
        <v>38844</v>
      </c>
      <c r="F335" s="17" t="str">
        <f t="shared" si="33"/>
        <v>2006-05</v>
      </c>
      <c r="G335" s="25">
        <f t="shared" si="34"/>
        <v>38.517499999999998</v>
      </c>
      <c r="K335" s="18" t="s">
        <v>296</v>
      </c>
      <c r="L335" s="19">
        <v>63448</v>
      </c>
    </row>
    <row r="336" spans="1:12" x14ac:dyDescent="0.25">
      <c r="A336" s="18" t="s">
        <v>1653</v>
      </c>
      <c r="B336" s="28">
        <v>37</v>
      </c>
      <c r="C336" s="16" t="str">
        <f t="shared" si="30"/>
        <v>2006</v>
      </c>
      <c r="D336" t="str">
        <f t="shared" si="31"/>
        <v>20</v>
      </c>
      <c r="E336" s="21">
        <f t="shared" si="32"/>
        <v>38851</v>
      </c>
      <c r="F336" s="17" t="str">
        <f t="shared" si="33"/>
        <v>2006-05</v>
      </c>
      <c r="G336" s="25">
        <f t="shared" si="34"/>
        <v>38.517499999999998</v>
      </c>
      <c r="K336" s="18" t="s">
        <v>295</v>
      </c>
      <c r="L336" s="19">
        <v>64319</v>
      </c>
    </row>
    <row r="337" spans="1:12" x14ac:dyDescent="0.25">
      <c r="A337" s="18" t="s">
        <v>1652</v>
      </c>
      <c r="B337" s="28">
        <v>40.03</v>
      </c>
      <c r="C337" s="16" t="str">
        <f t="shared" si="30"/>
        <v>2006</v>
      </c>
      <c r="D337" t="str">
        <f t="shared" si="31"/>
        <v>21</v>
      </c>
      <c r="E337" s="21">
        <f t="shared" si="32"/>
        <v>38858</v>
      </c>
      <c r="F337" s="17" t="str">
        <f t="shared" si="33"/>
        <v>2006-05</v>
      </c>
      <c r="G337" s="25">
        <f t="shared" si="34"/>
        <v>38.517499999999998</v>
      </c>
      <c r="K337" s="18" t="s">
        <v>294</v>
      </c>
      <c r="L337" s="19">
        <v>72463</v>
      </c>
    </row>
    <row r="338" spans="1:12" x14ac:dyDescent="0.25">
      <c r="A338" s="18" t="s">
        <v>1651</v>
      </c>
      <c r="B338" s="28">
        <v>40.76</v>
      </c>
      <c r="C338" s="16" t="str">
        <f t="shared" si="30"/>
        <v>2006</v>
      </c>
      <c r="D338" t="str">
        <f t="shared" si="31"/>
        <v>22</v>
      </c>
      <c r="E338" s="21">
        <f t="shared" si="32"/>
        <v>38865</v>
      </c>
      <c r="F338" s="17" t="str">
        <f t="shared" si="33"/>
        <v>2006-05</v>
      </c>
      <c r="G338" s="25">
        <f t="shared" si="34"/>
        <v>38.517499999999998</v>
      </c>
      <c r="K338" s="18" t="s">
        <v>293</v>
      </c>
      <c r="L338" s="19">
        <v>72748</v>
      </c>
    </row>
    <row r="339" spans="1:12" x14ac:dyDescent="0.25">
      <c r="A339" s="18" t="s">
        <v>1650</v>
      </c>
      <c r="B339" s="28">
        <v>40.5</v>
      </c>
      <c r="C339" s="16" t="str">
        <f t="shared" si="30"/>
        <v>2006</v>
      </c>
      <c r="D339" t="str">
        <f t="shared" si="31"/>
        <v>23</v>
      </c>
      <c r="E339" s="21">
        <f t="shared" si="32"/>
        <v>38872</v>
      </c>
      <c r="F339" s="17" t="str">
        <f t="shared" si="33"/>
        <v>2006-06</v>
      </c>
      <c r="G339" s="25">
        <f t="shared" si="34"/>
        <v>41.782499999999999</v>
      </c>
      <c r="K339" s="18" t="s">
        <v>292</v>
      </c>
      <c r="L339" s="19">
        <v>76030</v>
      </c>
    </row>
    <row r="340" spans="1:12" x14ac:dyDescent="0.25">
      <c r="A340" s="18" t="s">
        <v>1649</v>
      </c>
      <c r="B340" s="28">
        <v>41.07</v>
      </c>
      <c r="C340" s="16" t="str">
        <f t="shared" ref="C340:C403" si="35">LEFT(A340,4)</f>
        <v>2006</v>
      </c>
      <c r="D340" t="str">
        <f t="shared" ref="D340:D403" si="36">RIGHT(A340,2)</f>
        <v>24</v>
      </c>
      <c r="E340" s="21">
        <f t="shared" si="32"/>
        <v>38879</v>
      </c>
      <c r="F340" s="17" t="str">
        <f t="shared" si="33"/>
        <v>2006-06</v>
      </c>
      <c r="G340" s="25">
        <f t="shared" si="34"/>
        <v>41.782499999999999</v>
      </c>
      <c r="K340" s="18" t="s">
        <v>291</v>
      </c>
      <c r="L340" s="19">
        <v>78569</v>
      </c>
    </row>
    <row r="341" spans="1:12" x14ac:dyDescent="0.25">
      <c r="A341" s="18" t="s">
        <v>1648</v>
      </c>
      <c r="B341" s="28">
        <v>43.05</v>
      </c>
      <c r="C341" s="16" t="str">
        <f t="shared" si="35"/>
        <v>2006</v>
      </c>
      <c r="D341" t="str">
        <f t="shared" si="36"/>
        <v>25</v>
      </c>
      <c r="E341" s="21">
        <f t="shared" si="32"/>
        <v>38886</v>
      </c>
      <c r="F341" s="17" t="str">
        <f t="shared" si="33"/>
        <v>2006-06</v>
      </c>
      <c r="G341" s="25">
        <f t="shared" si="34"/>
        <v>41.782499999999999</v>
      </c>
      <c r="K341" s="18" t="s">
        <v>290</v>
      </c>
      <c r="L341" s="19">
        <v>79394</v>
      </c>
    </row>
    <row r="342" spans="1:12" x14ac:dyDescent="0.25">
      <c r="A342" s="18" t="s">
        <v>1647</v>
      </c>
      <c r="B342" s="28">
        <v>42.51</v>
      </c>
      <c r="C342" s="16" t="str">
        <f t="shared" si="35"/>
        <v>2006</v>
      </c>
      <c r="D342" t="str">
        <f t="shared" si="36"/>
        <v>26</v>
      </c>
      <c r="E342" s="21">
        <f t="shared" si="32"/>
        <v>38893</v>
      </c>
      <c r="F342" s="17" t="str">
        <f t="shared" si="33"/>
        <v>2006-06</v>
      </c>
      <c r="G342" s="25">
        <f t="shared" si="34"/>
        <v>41.782499999999999</v>
      </c>
      <c r="K342" s="18" t="s">
        <v>289</v>
      </c>
      <c r="L342" s="19">
        <v>78533</v>
      </c>
    </row>
    <row r="343" spans="1:12" x14ac:dyDescent="0.25">
      <c r="A343" s="18" t="s">
        <v>1646</v>
      </c>
      <c r="B343" s="28">
        <v>38.57</v>
      </c>
      <c r="C343" s="16" t="str">
        <f t="shared" si="35"/>
        <v>2006</v>
      </c>
      <c r="D343" t="str">
        <f t="shared" si="36"/>
        <v>27</v>
      </c>
      <c r="E343" s="21">
        <f t="shared" si="32"/>
        <v>38900</v>
      </c>
      <c r="F343" s="17" t="str">
        <f t="shared" si="33"/>
        <v>2006-07</v>
      </c>
      <c r="G343" s="25">
        <f t="shared" si="34"/>
        <v>38.291999999999994</v>
      </c>
      <c r="K343" s="18" t="s">
        <v>288</v>
      </c>
      <c r="L343" s="19">
        <v>85041</v>
      </c>
    </row>
    <row r="344" spans="1:12" x14ac:dyDescent="0.25">
      <c r="A344" s="18" t="s">
        <v>1645</v>
      </c>
      <c r="B344" s="28">
        <v>37.909999999999997</v>
      </c>
      <c r="C344" s="16" t="str">
        <f t="shared" si="35"/>
        <v>2006</v>
      </c>
      <c r="D344" t="str">
        <f t="shared" si="36"/>
        <v>28</v>
      </c>
      <c r="E344" s="21">
        <f t="shared" si="32"/>
        <v>38907</v>
      </c>
      <c r="F344" s="17" t="str">
        <f t="shared" si="33"/>
        <v>2006-07</v>
      </c>
      <c r="G344" s="25">
        <f t="shared" si="34"/>
        <v>38.291999999999994</v>
      </c>
      <c r="K344" s="18" t="s">
        <v>287</v>
      </c>
      <c r="L344" s="19">
        <v>82807</v>
      </c>
    </row>
    <row r="345" spans="1:12" x14ac:dyDescent="0.25">
      <c r="A345" s="18" t="s">
        <v>1644</v>
      </c>
      <c r="B345" s="28">
        <v>39</v>
      </c>
      <c r="C345" s="16" t="str">
        <f t="shared" si="35"/>
        <v>2006</v>
      </c>
      <c r="D345" t="str">
        <f t="shared" si="36"/>
        <v>29</v>
      </c>
      <c r="E345" s="21">
        <f t="shared" si="32"/>
        <v>38914</v>
      </c>
      <c r="F345" s="17" t="str">
        <f t="shared" si="33"/>
        <v>2006-07</v>
      </c>
      <c r="G345" s="25">
        <f t="shared" si="34"/>
        <v>38.291999999999994</v>
      </c>
      <c r="K345" s="18" t="s">
        <v>286</v>
      </c>
      <c r="L345" s="19">
        <v>81263</v>
      </c>
    </row>
    <row r="346" spans="1:12" x14ac:dyDescent="0.25">
      <c r="A346" s="18" t="s">
        <v>1643</v>
      </c>
      <c r="B346" s="28">
        <v>38.130000000000003</v>
      </c>
      <c r="C346" s="16" t="str">
        <f t="shared" si="35"/>
        <v>2006</v>
      </c>
      <c r="D346" t="str">
        <f t="shared" si="36"/>
        <v>30</v>
      </c>
      <c r="E346" s="21">
        <f t="shared" si="32"/>
        <v>38921</v>
      </c>
      <c r="F346" s="17" t="str">
        <f t="shared" si="33"/>
        <v>2006-07</v>
      </c>
      <c r="G346" s="25">
        <f t="shared" si="34"/>
        <v>38.291999999999994</v>
      </c>
      <c r="K346" s="18" t="s">
        <v>285</v>
      </c>
      <c r="L346" s="19">
        <v>81115</v>
      </c>
    </row>
    <row r="347" spans="1:12" x14ac:dyDescent="0.25">
      <c r="A347" s="18" t="s">
        <v>1642</v>
      </c>
      <c r="B347" s="28">
        <v>37.85</v>
      </c>
      <c r="C347" s="16" t="str">
        <f t="shared" si="35"/>
        <v>2006</v>
      </c>
      <c r="D347" t="str">
        <f t="shared" si="36"/>
        <v>31</v>
      </c>
      <c r="E347" s="21">
        <f t="shared" si="32"/>
        <v>38928</v>
      </c>
      <c r="F347" s="17" t="str">
        <f t="shared" si="33"/>
        <v>2006-07</v>
      </c>
      <c r="G347" s="25">
        <f t="shared" si="34"/>
        <v>38.291999999999994</v>
      </c>
      <c r="K347" s="18" t="s">
        <v>284</v>
      </c>
      <c r="L347" s="19">
        <v>78140</v>
      </c>
    </row>
    <row r="348" spans="1:12" x14ac:dyDescent="0.25">
      <c r="A348" s="18" t="s">
        <v>1641</v>
      </c>
      <c r="B348" s="28">
        <v>37.24</v>
      </c>
      <c r="C348" s="16" t="str">
        <f t="shared" si="35"/>
        <v>2006</v>
      </c>
      <c r="D348" t="str">
        <f t="shared" si="36"/>
        <v>32</v>
      </c>
      <c r="E348" s="21">
        <f t="shared" si="32"/>
        <v>38935</v>
      </c>
      <c r="F348" s="17" t="str">
        <f t="shared" si="33"/>
        <v>2006-08</v>
      </c>
      <c r="G348" s="25">
        <f t="shared" si="34"/>
        <v>35.862499999999997</v>
      </c>
      <c r="K348" s="18" t="s">
        <v>283</v>
      </c>
      <c r="L348" s="19">
        <v>74339</v>
      </c>
    </row>
    <row r="349" spans="1:12" x14ac:dyDescent="0.25">
      <c r="A349" s="18" t="s">
        <v>1640</v>
      </c>
      <c r="B349" s="28">
        <v>36.799999999999997</v>
      </c>
      <c r="C349" s="16" t="str">
        <f t="shared" si="35"/>
        <v>2006</v>
      </c>
      <c r="D349" t="str">
        <f t="shared" si="36"/>
        <v>33</v>
      </c>
      <c r="E349" s="21">
        <f t="shared" si="32"/>
        <v>38942</v>
      </c>
      <c r="F349" s="17" t="str">
        <f t="shared" si="33"/>
        <v>2006-08</v>
      </c>
      <c r="G349" s="25">
        <f t="shared" si="34"/>
        <v>35.862499999999997</v>
      </c>
      <c r="K349" s="18" t="s">
        <v>282</v>
      </c>
      <c r="L349" s="19">
        <v>83774</v>
      </c>
    </row>
    <row r="350" spans="1:12" x14ac:dyDescent="0.25">
      <c r="A350" s="18" t="s">
        <v>1639</v>
      </c>
      <c r="B350" s="28">
        <v>36.119999999999997</v>
      </c>
      <c r="C350" s="16" t="str">
        <f t="shared" si="35"/>
        <v>2006</v>
      </c>
      <c r="D350" t="str">
        <f t="shared" si="36"/>
        <v>34</v>
      </c>
      <c r="E350" s="21">
        <f t="shared" si="32"/>
        <v>38949</v>
      </c>
      <c r="F350" s="17" t="str">
        <f t="shared" si="33"/>
        <v>2006-08</v>
      </c>
      <c r="G350" s="25">
        <f t="shared" si="34"/>
        <v>35.862499999999997</v>
      </c>
      <c r="K350" s="18" t="s">
        <v>281</v>
      </c>
      <c r="L350" s="19">
        <v>77775</v>
      </c>
    </row>
    <row r="351" spans="1:12" x14ac:dyDescent="0.25">
      <c r="A351" s="18" t="s">
        <v>1638</v>
      </c>
      <c r="B351" s="28">
        <v>33.29</v>
      </c>
      <c r="C351" s="16" t="str">
        <f t="shared" si="35"/>
        <v>2006</v>
      </c>
      <c r="D351" t="str">
        <f t="shared" si="36"/>
        <v>35</v>
      </c>
      <c r="E351" s="21">
        <f t="shared" si="32"/>
        <v>38956</v>
      </c>
      <c r="F351" s="17" t="str">
        <f t="shared" si="33"/>
        <v>2006-08</v>
      </c>
      <c r="G351" s="25">
        <f t="shared" si="34"/>
        <v>35.862499999999997</v>
      </c>
      <c r="K351" s="18" t="s">
        <v>280</v>
      </c>
      <c r="L351" s="19">
        <v>72403</v>
      </c>
    </row>
    <row r="352" spans="1:12" x14ac:dyDescent="0.25">
      <c r="A352" s="18" t="s">
        <v>1637</v>
      </c>
      <c r="B352" s="28">
        <v>31.17</v>
      </c>
      <c r="C352" s="16" t="str">
        <f t="shared" si="35"/>
        <v>2006</v>
      </c>
      <c r="D352" t="str">
        <f t="shared" si="36"/>
        <v>36</v>
      </c>
      <c r="E352" s="21">
        <f t="shared" si="32"/>
        <v>38963</v>
      </c>
      <c r="F352" s="17" t="str">
        <f t="shared" si="33"/>
        <v>2006-09</v>
      </c>
      <c r="G352" s="25">
        <f t="shared" si="34"/>
        <v>30.557500000000001</v>
      </c>
      <c r="K352" s="18" t="s">
        <v>279</v>
      </c>
      <c r="L352" s="19">
        <v>68333</v>
      </c>
    </row>
    <row r="353" spans="1:12" x14ac:dyDescent="0.25">
      <c r="A353" s="18" t="s">
        <v>1636</v>
      </c>
      <c r="B353" s="28">
        <v>31.2</v>
      </c>
      <c r="C353" s="16" t="str">
        <f t="shared" si="35"/>
        <v>2006</v>
      </c>
      <c r="D353" t="str">
        <f t="shared" si="36"/>
        <v>37</v>
      </c>
      <c r="E353" s="21">
        <f t="shared" si="32"/>
        <v>38970</v>
      </c>
      <c r="F353" s="17" t="str">
        <f t="shared" si="33"/>
        <v>2006-09</v>
      </c>
      <c r="G353" s="25">
        <f t="shared" si="34"/>
        <v>30.557500000000001</v>
      </c>
      <c r="K353" s="18" t="s">
        <v>278</v>
      </c>
      <c r="L353" s="19">
        <v>65197</v>
      </c>
    </row>
    <row r="354" spans="1:12" x14ac:dyDescent="0.25">
      <c r="A354" s="18" t="s">
        <v>1635</v>
      </c>
      <c r="B354" s="28">
        <v>30.67</v>
      </c>
      <c r="C354" s="16" t="str">
        <f t="shared" si="35"/>
        <v>2006</v>
      </c>
      <c r="D354" t="str">
        <f t="shared" si="36"/>
        <v>38</v>
      </c>
      <c r="E354" s="21">
        <f t="shared" si="32"/>
        <v>38977</v>
      </c>
      <c r="F354" s="17" t="str">
        <f t="shared" si="33"/>
        <v>2006-09</v>
      </c>
      <c r="G354" s="25">
        <f t="shared" si="34"/>
        <v>30.557500000000001</v>
      </c>
      <c r="K354" s="18" t="s">
        <v>277</v>
      </c>
      <c r="L354" s="19">
        <v>69777</v>
      </c>
    </row>
    <row r="355" spans="1:12" x14ac:dyDescent="0.25">
      <c r="A355" s="18" t="s">
        <v>1634</v>
      </c>
      <c r="B355" s="28">
        <v>29.19</v>
      </c>
      <c r="C355" s="16" t="str">
        <f t="shared" si="35"/>
        <v>2006</v>
      </c>
      <c r="D355" t="str">
        <f t="shared" si="36"/>
        <v>39</v>
      </c>
      <c r="E355" s="21">
        <f t="shared" si="32"/>
        <v>38984</v>
      </c>
      <c r="F355" s="17" t="str">
        <f t="shared" si="33"/>
        <v>2006-09</v>
      </c>
      <c r="G355" s="25">
        <f t="shared" si="34"/>
        <v>30.557500000000001</v>
      </c>
      <c r="K355" s="18" t="s">
        <v>276</v>
      </c>
      <c r="L355" s="19">
        <v>55656</v>
      </c>
    </row>
    <row r="356" spans="1:12" x14ac:dyDescent="0.25">
      <c r="A356" s="18" t="s">
        <v>1633</v>
      </c>
      <c r="B356" s="28">
        <v>28.06</v>
      </c>
      <c r="C356" s="16" t="str">
        <f t="shared" si="35"/>
        <v>2006</v>
      </c>
      <c r="D356" t="str">
        <f t="shared" si="36"/>
        <v>40</v>
      </c>
      <c r="E356" s="21">
        <f t="shared" si="32"/>
        <v>38991</v>
      </c>
      <c r="F356" s="17" t="str">
        <f t="shared" si="33"/>
        <v>2006-10</v>
      </c>
      <c r="G356" s="25">
        <f t="shared" si="34"/>
        <v>28.421999999999997</v>
      </c>
      <c r="K356" s="18" t="s">
        <v>275</v>
      </c>
      <c r="L356" s="19">
        <v>53449</v>
      </c>
    </row>
    <row r="357" spans="1:12" x14ac:dyDescent="0.25">
      <c r="A357" s="18" t="s">
        <v>1632</v>
      </c>
      <c r="B357" s="28">
        <v>28.65</v>
      </c>
      <c r="C357" s="16" t="str">
        <f t="shared" si="35"/>
        <v>2006</v>
      </c>
      <c r="D357" t="str">
        <f t="shared" si="36"/>
        <v>41</v>
      </c>
      <c r="E357" s="21">
        <f t="shared" si="32"/>
        <v>38998</v>
      </c>
      <c r="F357" s="17" t="str">
        <f t="shared" si="33"/>
        <v>2006-10</v>
      </c>
      <c r="G357" s="25">
        <f t="shared" si="34"/>
        <v>28.421999999999997</v>
      </c>
      <c r="K357" s="18" t="s">
        <v>274</v>
      </c>
      <c r="L357" s="19">
        <v>56855</v>
      </c>
    </row>
    <row r="358" spans="1:12" x14ac:dyDescent="0.25">
      <c r="A358" s="18" t="s">
        <v>1631</v>
      </c>
      <c r="B358" s="28">
        <v>29.24</v>
      </c>
      <c r="C358" s="16" t="str">
        <f t="shared" si="35"/>
        <v>2006</v>
      </c>
      <c r="D358" t="str">
        <f t="shared" si="36"/>
        <v>42</v>
      </c>
      <c r="E358" s="21">
        <f t="shared" si="32"/>
        <v>39005</v>
      </c>
      <c r="F358" s="17" t="str">
        <f t="shared" si="33"/>
        <v>2006-10</v>
      </c>
      <c r="G358" s="25">
        <f t="shared" si="34"/>
        <v>28.421999999999997</v>
      </c>
      <c r="K358" s="18" t="s">
        <v>273</v>
      </c>
      <c r="L358" s="19">
        <v>60843</v>
      </c>
    </row>
    <row r="359" spans="1:12" x14ac:dyDescent="0.25">
      <c r="A359" s="18" t="s">
        <v>1630</v>
      </c>
      <c r="B359" s="28">
        <v>28.59</v>
      </c>
      <c r="C359" s="16" t="str">
        <f t="shared" si="35"/>
        <v>2006</v>
      </c>
      <c r="D359" t="str">
        <f t="shared" si="36"/>
        <v>43</v>
      </c>
      <c r="E359" s="21">
        <f t="shared" si="32"/>
        <v>39012</v>
      </c>
      <c r="F359" s="17" t="str">
        <f t="shared" si="33"/>
        <v>2006-10</v>
      </c>
      <c r="G359" s="25">
        <f t="shared" si="34"/>
        <v>28.421999999999997</v>
      </c>
      <c r="K359" s="18" t="s">
        <v>272</v>
      </c>
      <c r="L359" s="19">
        <v>54873</v>
      </c>
    </row>
    <row r="360" spans="1:12" x14ac:dyDescent="0.25">
      <c r="A360" s="18" t="s">
        <v>1629</v>
      </c>
      <c r="B360" s="28">
        <v>27.57</v>
      </c>
      <c r="C360" s="16" t="str">
        <f t="shared" si="35"/>
        <v>2006</v>
      </c>
      <c r="D360" t="str">
        <f t="shared" si="36"/>
        <v>44</v>
      </c>
      <c r="E360" s="21">
        <f t="shared" si="32"/>
        <v>39019</v>
      </c>
      <c r="F360" s="17" t="str">
        <f t="shared" si="33"/>
        <v>2006-10</v>
      </c>
      <c r="G360" s="25">
        <f t="shared" si="34"/>
        <v>28.421999999999997</v>
      </c>
      <c r="K360" s="18" t="s">
        <v>271</v>
      </c>
      <c r="L360" s="19">
        <v>57493</v>
      </c>
    </row>
    <row r="361" spans="1:12" x14ac:dyDescent="0.25">
      <c r="A361" s="18" t="s">
        <v>1628</v>
      </c>
      <c r="B361" s="28">
        <v>27.02</v>
      </c>
      <c r="C361" s="16" t="str">
        <f t="shared" si="35"/>
        <v>2006</v>
      </c>
      <c r="D361" t="str">
        <f t="shared" si="36"/>
        <v>45</v>
      </c>
      <c r="E361" s="21">
        <f t="shared" si="32"/>
        <v>39026</v>
      </c>
      <c r="F361" s="17" t="str">
        <f t="shared" si="33"/>
        <v>2006-11</v>
      </c>
      <c r="G361" s="25">
        <f t="shared" si="34"/>
        <v>27.697500000000002</v>
      </c>
      <c r="K361" s="18" t="s">
        <v>270</v>
      </c>
      <c r="L361" s="19">
        <v>63117</v>
      </c>
    </row>
    <row r="362" spans="1:12" x14ac:dyDescent="0.25">
      <c r="A362" s="18" t="s">
        <v>1627</v>
      </c>
      <c r="B362" s="28">
        <v>26.85</v>
      </c>
      <c r="C362" s="16" t="str">
        <f t="shared" si="35"/>
        <v>2006</v>
      </c>
      <c r="D362" t="str">
        <f t="shared" si="36"/>
        <v>46</v>
      </c>
      <c r="E362" s="21">
        <f t="shared" si="32"/>
        <v>39033</v>
      </c>
      <c r="F362" s="17" t="str">
        <f t="shared" si="33"/>
        <v>2006-11</v>
      </c>
      <c r="G362" s="25">
        <f t="shared" si="34"/>
        <v>27.697500000000002</v>
      </c>
      <c r="K362" s="18" t="s">
        <v>269</v>
      </c>
      <c r="L362" s="19">
        <v>63890</v>
      </c>
    </row>
    <row r="363" spans="1:12" x14ac:dyDescent="0.25">
      <c r="A363" s="18" t="s">
        <v>1626</v>
      </c>
      <c r="B363" s="28">
        <v>28.19</v>
      </c>
      <c r="C363" s="16" t="str">
        <f t="shared" si="35"/>
        <v>2006</v>
      </c>
      <c r="D363" t="str">
        <f t="shared" si="36"/>
        <v>47</v>
      </c>
      <c r="E363" s="21">
        <f t="shared" si="32"/>
        <v>39040</v>
      </c>
      <c r="F363" s="17" t="str">
        <f t="shared" si="33"/>
        <v>2006-11</v>
      </c>
      <c r="G363" s="25">
        <f t="shared" si="34"/>
        <v>27.697500000000002</v>
      </c>
      <c r="K363" s="18" t="s">
        <v>268</v>
      </c>
      <c r="L363" s="19">
        <v>61823</v>
      </c>
    </row>
    <row r="364" spans="1:12" x14ac:dyDescent="0.25">
      <c r="A364" s="18" t="s">
        <v>1625</v>
      </c>
      <c r="B364" s="28">
        <v>28.73</v>
      </c>
      <c r="C364" s="16" t="str">
        <f t="shared" si="35"/>
        <v>2006</v>
      </c>
      <c r="D364" t="str">
        <f t="shared" si="36"/>
        <v>48</v>
      </c>
      <c r="E364" s="21">
        <f t="shared" si="32"/>
        <v>39047</v>
      </c>
      <c r="F364" s="17" t="str">
        <f t="shared" si="33"/>
        <v>2006-11</v>
      </c>
      <c r="G364" s="25">
        <f t="shared" si="34"/>
        <v>27.697500000000002</v>
      </c>
      <c r="K364" s="18" t="s">
        <v>267</v>
      </c>
      <c r="L364" s="19">
        <v>63909</v>
      </c>
    </row>
    <row r="365" spans="1:12" x14ac:dyDescent="0.25">
      <c r="A365" s="18" t="s">
        <v>1624</v>
      </c>
      <c r="B365" s="28">
        <v>28.04</v>
      </c>
      <c r="C365" s="16" t="str">
        <f t="shared" si="35"/>
        <v>2006</v>
      </c>
      <c r="D365" t="str">
        <f t="shared" si="36"/>
        <v>49</v>
      </c>
      <c r="E365" s="21">
        <f t="shared" si="32"/>
        <v>39054</v>
      </c>
      <c r="F365" s="17" t="str">
        <f t="shared" si="33"/>
        <v>2006-12</v>
      </c>
      <c r="G365" s="25">
        <f t="shared" si="34"/>
        <v>27.740000000000002</v>
      </c>
      <c r="K365" s="18" t="s">
        <v>266</v>
      </c>
      <c r="L365" s="19">
        <v>66175</v>
      </c>
    </row>
    <row r="366" spans="1:12" x14ac:dyDescent="0.25">
      <c r="A366" s="18" t="s">
        <v>1623</v>
      </c>
      <c r="B366" s="28">
        <v>27.55</v>
      </c>
      <c r="C366" s="16" t="str">
        <f t="shared" si="35"/>
        <v>2006</v>
      </c>
      <c r="D366" t="str">
        <f t="shared" si="36"/>
        <v>50</v>
      </c>
      <c r="E366" s="21">
        <f t="shared" si="32"/>
        <v>39061</v>
      </c>
      <c r="F366" s="17" t="str">
        <f t="shared" si="33"/>
        <v>2006-12</v>
      </c>
      <c r="G366" s="25">
        <f t="shared" si="34"/>
        <v>27.740000000000002</v>
      </c>
      <c r="K366" s="18" t="s">
        <v>265</v>
      </c>
      <c r="L366" s="19">
        <v>71130</v>
      </c>
    </row>
    <row r="367" spans="1:12" x14ac:dyDescent="0.25">
      <c r="A367" s="18" t="s">
        <v>1622</v>
      </c>
      <c r="B367" s="28">
        <v>27.11</v>
      </c>
      <c r="C367" s="16" t="str">
        <f t="shared" si="35"/>
        <v>2006</v>
      </c>
      <c r="D367" t="str">
        <f t="shared" si="36"/>
        <v>51</v>
      </c>
      <c r="E367" s="21">
        <f t="shared" si="32"/>
        <v>39068</v>
      </c>
      <c r="F367" s="17" t="str">
        <f t="shared" si="33"/>
        <v>2006-12</v>
      </c>
      <c r="G367" s="25">
        <f t="shared" si="34"/>
        <v>27.740000000000002</v>
      </c>
      <c r="K367" s="18" t="s">
        <v>264</v>
      </c>
      <c r="L367" s="19">
        <v>63015</v>
      </c>
    </row>
    <row r="368" spans="1:12" x14ac:dyDescent="0.25">
      <c r="A368" s="18" t="s">
        <v>1621</v>
      </c>
      <c r="B368" s="28">
        <v>28.26</v>
      </c>
      <c r="C368" s="16" t="str">
        <f t="shared" si="35"/>
        <v>2006</v>
      </c>
      <c r="D368" t="str">
        <f t="shared" si="36"/>
        <v>52</v>
      </c>
      <c r="E368" s="21">
        <f t="shared" si="32"/>
        <v>39075</v>
      </c>
      <c r="F368" s="17" t="str">
        <f t="shared" si="33"/>
        <v>2006-12</v>
      </c>
      <c r="G368" s="25">
        <f t="shared" si="34"/>
        <v>27.740000000000002</v>
      </c>
      <c r="K368" s="18" t="s">
        <v>263</v>
      </c>
      <c r="L368" s="19">
        <v>59043</v>
      </c>
    </row>
    <row r="369" spans="1:12" x14ac:dyDescent="0.25">
      <c r="A369" s="18" t="s">
        <v>1620</v>
      </c>
      <c r="B369" s="28">
        <v>28.37</v>
      </c>
      <c r="C369" s="16" t="str">
        <f t="shared" si="35"/>
        <v>2007</v>
      </c>
      <c r="D369" t="str">
        <f t="shared" si="36"/>
        <v>01</v>
      </c>
      <c r="E369" s="21">
        <f t="shared" si="32"/>
        <v>39083</v>
      </c>
      <c r="F369" s="17" t="str">
        <f t="shared" si="33"/>
        <v>2007-01</v>
      </c>
      <c r="G369" s="25">
        <f t="shared" si="34"/>
        <v>28.341999999999995</v>
      </c>
      <c r="K369" s="18" t="s">
        <v>262</v>
      </c>
      <c r="L369" s="19">
        <v>66522</v>
      </c>
    </row>
    <row r="370" spans="1:12" x14ac:dyDescent="0.25">
      <c r="A370" s="18" t="s">
        <v>1619</v>
      </c>
      <c r="B370" s="28">
        <v>28.38</v>
      </c>
      <c r="C370" s="16" t="str">
        <f t="shared" si="35"/>
        <v>2007</v>
      </c>
      <c r="D370" t="str">
        <f t="shared" si="36"/>
        <v>02</v>
      </c>
      <c r="E370" s="21">
        <f t="shared" si="32"/>
        <v>39090</v>
      </c>
      <c r="F370" s="17" t="str">
        <f t="shared" si="33"/>
        <v>2007-01</v>
      </c>
      <c r="G370" s="25">
        <f t="shared" si="34"/>
        <v>28.341999999999995</v>
      </c>
      <c r="K370" s="18" t="s">
        <v>261</v>
      </c>
      <c r="L370" s="19">
        <v>60853</v>
      </c>
    </row>
    <row r="371" spans="1:12" x14ac:dyDescent="0.25">
      <c r="A371" s="18" t="s">
        <v>1618</v>
      </c>
      <c r="B371" s="28">
        <v>29.13</v>
      </c>
      <c r="C371" s="16" t="str">
        <f t="shared" si="35"/>
        <v>2007</v>
      </c>
      <c r="D371" t="str">
        <f t="shared" si="36"/>
        <v>03</v>
      </c>
      <c r="E371" s="21">
        <f t="shared" si="32"/>
        <v>39097</v>
      </c>
      <c r="F371" s="17" t="str">
        <f t="shared" si="33"/>
        <v>2007-01</v>
      </c>
      <c r="G371" s="25">
        <f t="shared" si="34"/>
        <v>28.341999999999995</v>
      </c>
      <c r="K371" s="18" t="s">
        <v>260</v>
      </c>
      <c r="L371" s="19">
        <v>56488</v>
      </c>
    </row>
    <row r="372" spans="1:12" x14ac:dyDescent="0.25">
      <c r="A372" s="18" t="s">
        <v>1617</v>
      </c>
      <c r="B372" s="28">
        <v>28.33</v>
      </c>
      <c r="C372" s="16" t="str">
        <f t="shared" si="35"/>
        <v>2007</v>
      </c>
      <c r="D372" t="str">
        <f t="shared" si="36"/>
        <v>04</v>
      </c>
      <c r="E372" s="21">
        <f t="shared" si="32"/>
        <v>39104</v>
      </c>
      <c r="F372" s="17" t="str">
        <f t="shared" si="33"/>
        <v>2007-01</v>
      </c>
      <c r="G372" s="25">
        <f t="shared" si="34"/>
        <v>28.341999999999995</v>
      </c>
      <c r="K372" s="18" t="s">
        <v>259</v>
      </c>
      <c r="L372" s="19">
        <v>63770</v>
      </c>
    </row>
    <row r="373" spans="1:12" x14ac:dyDescent="0.25">
      <c r="A373" s="18" t="s">
        <v>1616</v>
      </c>
      <c r="B373" s="28">
        <v>27.5</v>
      </c>
      <c r="C373" s="16" t="str">
        <f t="shared" si="35"/>
        <v>2007</v>
      </c>
      <c r="D373" t="str">
        <f t="shared" si="36"/>
        <v>05</v>
      </c>
      <c r="E373" s="21">
        <f t="shared" si="32"/>
        <v>39111</v>
      </c>
      <c r="F373" s="17" t="str">
        <f t="shared" si="33"/>
        <v>2007-01</v>
      </c>
      <c r="G373" s="25">
        <f t="shared" si="34"/>
        <v>28.341999999999995</v>
      </c>
      <c r="K373" s="18" t="s">
        <v>258</v>
      </c>
      <c r="L373" s="19">
        <v>66955</v>
      </c>
    </row>
    <row r="374" spans="1:12" x14ac:dyDescent="0.25">
      <c r="A374" s="18" t="s">
        <v>1615</v>
      </c>
      <c r="B374" s="28">
        <v>27.19</v>
      </c>
      <c r="C374" s="16" t="str">
        <f t="shared" si="35"/>
        <v>2007</v>
      </c>
      <c r="D374" t="str">
        <f t="shared" si="36"/>
        <v>06</v>
      </c>
      <c r="E374" s="21">
        <f t="shared" si="32"/>
        <v>39118</v>
      </c>
      <c r="F374" s="17" t="str">
        <f t="shared" si="33"/>
        <v>2007-02</v>
      </c>
      <c r="G374" s="25">
        <f t="shared" si="34"/>
        <v>28.754999999999999</v>
      </c>
      <c r="K374" s="18" t="s">
        <v>257</v>
      </c>
      <c r="L374" s="19">
        <v>73166</v>
      </c>
    </row>
    <row r="375" spans="1:12" x14ac:dyDescent="0.25">
      <c r="A375" s="18" t="s">
        <v>1614</v>
      </c>
      <c r="B375" s="28">
        <v>28.91</v>
      </c>
      <c r="C375" s="16" t="str">
        <f t="shared" si="35"/>
        <v>2007</v>
      </c>
      <c r="D375" t="str">
        <f t="shared" si="36"/>
        <v>07</v>
      </c>
      <c r="E375" s="21">
        <f t="shared" si="32"/>
        <v>39125</v>
      </c>
      <c r="F375" s="17" t="str">
        <f t="shared" si="33"/>
        <v>2007-02</v>
      </c>
      <c r="G375" s="25">
        <f t="shared" si="34"/>
        <v>28.754999999999999</v>
      </c>
      <c r="K375" s="18" t="s">
        <v>256</v>
      </c>
      <c r="L375" s="19">
        <v>77093</v>
      </c>
    </row>
    <row r="376" spans="1:12" x14ac:dyDescent="0.25">
      <c r="A376" s="18" t="s">
        <v>1613</v>
      </c>
      <c r="B376" s="28">
        <v>30.62</v>
      </c>
      <c r="C376" s="16" t="str">
        <f t="shared" si="35"/>
        <v>2007</v>
      </c>
      <c r="D376" t="str">
        <f t="shared" si="36"/>
        <v>08</v>
      </c>
      <c r="E376" s="21">
        <f t="shared" si="32"/>
        <v>39132</v>
      </c>
      <c r="F376" s="17" t="str">
        <f t="shared" si="33"/>
        <v>2007-02</v>
      </c>
      <c r="G376" s="25">
        <f t="shared" si="34"/>
        <v>28.754999999999999</v>
      </c>
      <c r="K376" s="18" t="s">
        <v>255</v>
      </c>
      <c r="L376" s="19">
        <v>76393</v>
      </c>
    </row>
    <row r="377" spans="1:12" x14ac:dyDescent="0.25">
      <c r="A377" s="18" t="s">
        <v>1612</v>
      </c>
      <c r="B377" s="28">
        <v>28.3</v>
      </c>
      <c r="C377" s="16" t="str">
        <f t="shared" si="35"/>
        <v>2007</v>
      </c>
      <c r="D377" t="str">
        <f t="shared" si="36"/>
        <v>09</v>
      </c>
      <c r="E377" s="21">
        <f t="shared" si="32"/>
        <v>39139</v>
      </c>
      <c r="F377" s="17" t="str">
        <f t="shared" si="33"/>
        <v>2007-02</v>
      </c>
      <c r="G377" s="25">
        <f t="shared" si="34"/>
        <v>28.754999999999999</v>
      </c>
      <c r="K377" s="18" t="s">
        <v>254</v>
      </c>
      <c r="L377" s="19">
        <v>71457</v>
      </c>
    </row>
    <row r="378" spans="1:12" x14ac:dyDescent="0.25">
      <c r="A378" s="18" t="s">
        <v>1611</v>
      </c>
      <c r="B378" s="28">
        <v>28.22</v>
      </c>
      <c r="C378" s="16" t="str">
        <f t="shared" si="35"/>
        <v>2007</v>
      </c>
      <c r="D378" t="str">
        <f t="shared" si="36"/>
        <v>10</v>
      </c>
      <c r="E378" s="21">
        <f t="shared" si="32"/>
        <v>39146</v>
      </c>
      <c r="F378" s="17" t="str">
        <f t="shared" si="33"/>
        <v>2007-03</v>
      </c>
      <c r="G378" s="25">
        <f t="shared" si="34"/>
        <v>28.932500000000001</v>
      </c>
      <c r="K378" s="18" t="s">
        <v>253</v>
      </c>
      <c r="L378" s="19">
        <v>82203</v>
      </c>
    </row>
    <row r="379" spans="1:12" x14ac:dyDescent="0.25">
      <c r="A379" s="18" t="s">
        <v>1610</v>
      </c>
      <c r="B379" s="28">
        <v>29.56</v>
      </c>
      <c r="C379" s="16" t="str">
        <f t="shared" si="35"/>
        <v>2007</v>
      </c>
      <c r="D379" t="str">
        <f t="shared" si="36"/>
        <v>11</v>
      </c>
      <c r="E379" s="21">
        <f t="shared" si="32"/>
        <v>39153</v>
      </c>
      <c r="F379" s="17" t="str">
        <f t="shared" si="33"/>
        <v>2007-03</v>
      </c>
      <c r="G379" s="25">
        <f t="shared" si="34"/>
        <v>28.932500000000001</v>
      </c>
      <c r="K379" s="18" t="s">
        <v>252</v>
      </c>
      <c r="L379" s="19">
        <v>78141</v>
      </c>
    </row>
    <row r="380" spans="1:12" x14ac:dyDescent="0.25">
      <c r="A380" s="18" t="s">
        <v>1609</v>
      </c>
      <c r="B380" s="28">
        <v>29.17</v>
      </c>
      <c r="C380" s="16" t="str">
        <f t="shared" si="35"/>
        <v>2007</v>
      </c>
      <c r="D380" t="str">
        <f t="shared" si="36"/>
        <v>12</v>
      </c>
      <c r="E380" s="21">
        <f t="shared" si="32"/>
        <v>39160</v>
      </c>
      <c r="F380" s="17" t="str">
        <f t="shared" si="33"/>
        <v>2007-03</v>
      </c>
      <c r="G380" s="25">
        <f t="shared" si="34"/>
        <v>28.932500000000001</v>
      </c>
      <c r="K380" s="18" t="s">
        <v>251</v>
      </c>
      <c r="L380" s="19">
        <v>69312</v>
      </c>
    </row>
    <row r="381" spans="1:12" x14ac:dyDescent="0.25">
      <c r="A381" s="18" t="s">
        <v>1608</v>
      </c>
      <c r="B381" s="28">
        <v>28.78</v>
      </c>
      <c r="C381" s="16" t="str">
        <f t="shared" si="35"/>
        <v>2007</v>
      </c>
      <c r="D381" t="str">
        <f t="shared" si="36"/>
        <v>13</v>
      </c>
      <c r="E381" s="21">
        <f t="shared" si="32"/>
        <v>39167</v>
      </c>
      <c r="F381" s="17" t="str">
        <f t="shared" si="33"/>
        <v>2007-03</v>
      </c>
      <c r="G381" s="25">
        <f t="shared" si="34"/>
        <v>28.932500000000001</v>
      </c>
      <c r="K381" s="18" t="s">
        <v>250</v>
      </c>
      <c r="L381" s="19">
        <v>67057</v>
      </c>
    </row>
    <row r="382" spans="1:12" x14ac:dyDescent="0.25">
      <c r="A382" s="18" t="s">
        <v>1607</v>
      </c>
      <c r="B382" s="28">
        <v>29.22</v>
      </c>
      <c r="C382" s="16" t="str">
        <f t="shared" si="35"/>
        <v>2007</v>
      </c>
      <c r="D382" t="str">
        <f t="shared" si="36"/>
        <v>14</v>
      </c>
      <c r="E382" s="21">
        <f t="shared" si="32"/>
        <v>39174</v>
      </c>
      <c r="F382" s="17" t="str">
        <f t="shared" si="33"/>
        <v>2007-04</v>
      </c>
      <c r="G382" s="25">
        <f t="shared" si="34"/>
        <v>28.49</v>
      </c>
      <c r="K382" s="18" t="s">
        <v>249</v>
      </c>
      <c r="L382" s="19">
        <v>71986</v>
      </c>
    </row>
    <row r="383" spans="1:12" x14ac:dyDescent="0.25">
      <c r="A383" s="18" t="s">
        <v>1606</v>
      </c>
      <c r="B383" s="28">
        <v>29.82</v>
      </c>
      <c r="C383" s="16" t="str">
        <f t="shared" si="35"/>
        <v>2007</v>
      </c>
      <c r="D383" t="str">
        <f t="shared" si="36"/>
        <v>15</v>
      </c>
      <c r="E383" s="21">
        <f t="shared" si="32"/>
        <v>39181</v>
      </c>
      <c r="F383" s="17" t="str">
        <f t="shared" si="33"/>
        <v>2007-04</v>
      </c>
      <c r="G383" s="25">
        <f t="shared" si="34"/>
        <v>28.49</v>
      </c>
      <c r="K383" s="18" t="s">
        <v>248</v>
      </c>
      <c r="L383" s="19">
        <v>71827</v>
      </c>
    </row>
    <row r="384" spans="1:12" x14ac:dyDescent="0.25">
      <c r="A384" s="18" t="s">
        <v>1605</v>
      </c>
      <c r="B384" s="28">
        <v>28.76</v>
      </c>
      <c r="C384" s="16" t="str">
        <f t="shared" si="35"/>
        <v>2007</v>
      </c>
      <c r="D384" t="str">
        <f t="shared" si="36"/>
        <v>16</v>
      </c>
      <c r="E384" s="21">
        <f t="shared" si="32"/>
        <v>39188</v>
      </c>
      <c r="F384" s="17" t="str">
        <f t="shared" si="33"/>
        <v>2007-04</v>
      </c>
      <c r="G384" s="25">
        <f t="shared" si="34"/>
        <v>28.49</v>
      </c>
      <c r="K384" s="18" t="s">
        <v>247</v>
      </c>
      <c r="L384" s="19">
        <v>74834</v>
      </c>
    </row>
    <row r="385" spans="1:12" x14ac:dyDescent="0.25">
      <c r="A385" s="18" t="s">
        <v>1604</v>
      </c>
      <c r="B385" s="28">
        <v>27.32</v>
      </c>
      <c r="C385" s="16" t="str">
        <f t="shared" si="35"/>
        <v>2007</v>
      </c>
      <c r="D385" t="str">
        <f t="shared" si="36"/>
        <v>17</v>
      </c>
      <c r="E385" s="21">
        <f t="shared" si="32"/>
        <v>39195</v>
      </c>
      <c r="F385" s="17" t="str">
        <f t="shared" si="33"/>
        <v>2007-04</v>
      </c>
      <c r="G385" s="25">
        <f t="shared" si="34"/>
        <v>28.49</v>
      </c>
      <c r="K385" s="18" t="s">
        <v>246</v>
      </c>
      <c r="L385" s="19">
        <v>72089</v>
      </c>
    </row>
    <row r="386" spans="1:12" x14ac:dyDescent="0.25">
      <c r="A386" s="18" t="s">
        <v>1603</v>
      </c>
      <c r="B386" s="28">
        <v>27.33</v>
      </c>
      <c r="C386" s="16" t="str">
        <f t="shared" si="35"/>
        <v>2007</v>
      </c>
      <c r="D386" t="str">
        <f t="shared" si="36"/>
        <v>18</v>
      </c>
      <c r="E386" s="21">
        <f t="shared" si="32"/>
        <v>39202</v>
      </c>
      <c r="F386" s="17" t="str">
        <f t="shared" si="33"/>
        <v>2007-04</v>
      </c>
      <c r="G386" s="25">
        <f t="shared" si="34"/>
        <v>28.49</v>
      </c>
      <c r="K386" s="18" t="s">
        <v>245</v>
      </c>
      <c r="L386" s="19">
        <v>81756</v>
      </c>
    </row>
    <row r="387" spans="1:12" x14ac:dyDescent="0.25">
      <c r="A387" s="18" t="s">
        <v>1602</v>
      </c>
      <c r="B387" s="28">
        <v>26.99</v>
      </c>
      <c r="C387" s="16" t="str">
        <f t="shared" si="35"/>
        <v>2007</v>
      </c>
      <c r="D387" t="str">
        <f t="shared" si="36"/>
        <v>19</v>
      </c>
      <c r="E387" s="21">
        <f t="shared" si="32"/>
        <v>39209</v>
      </c>
      <c r="F387" s="17" t="str">
        <f t="shared" si="33"/>
        <v>2007-05</v>
      </c>
      <c r="G387" s="25">
        <f t="shared" si="34"/>
        <v>26.467500000000001</v>
      </c>
      <c r="K387" s="18" t="s">
        <v>244</v>
      </c>
      <c r="L387" s="19">
        <v>81538</v>
      </c>
    </row>
    <row r="388" spans="1:12" x14ac:dyDescent="0.25">
      <c r="A388" s="18" t="s">
        <v>1601</v>
      </c>
      <c r="B388" s="28">
        <v>26.54</v>
      </c>
      <c r="C388" s="16" t="str">
        <f t="shared" si="35"/>
        <v>2007</v>
      </c>
      <c r="D388" t="str">
        <f t="shared" si="36"/>
        <v>20</v>
      </c>
      <c r="E388" s="21">
        <f t="shared" si="32"/>
        <v>39216</v>
      </c>
      <c r="F388" s="17" t="str">
        <f t="shared" si="33"/>
        <v>2007-05</v>
      </c>
      <c r="G388" s="25">
        <f t="shared" si="34"/>
        <v>26.467500000000001</v>
      </c>
      <c r="K388" s="18" t="s">
        <v>243</v>
      </c>
      <c r="L388" s="19">
        <v>83196</v>
      </c>
    </row>
    <row r="389" spans="1:12" x14ac:dyDescent="0.25">
      <c r="A389" s="18" t="s">
        <v>1600</v>
      </c>
      <c r="B389" s="28">
        <v>26.17</v>
      </c>
      <c r="C389" s="16" t="str">
        <f t="shared" si="35"/>
        <v>2007</v>
      </c>
      <c r="D389" t="str">
        <f t="shared" si="36"/>
        <v>21</v>
      </c>
      <c r="E389" s="21">
        <f t="shared" ref="E389:E452" si="37">DATE(C389,1,1)+(D389-1)*7</f>
        <v>39223</v>
      </c>
      <c r="F389" s="17" t="str">
        <f t="shared" ref="F389:F452" si="38">TEXT(E389,"éééé-hh")</f>
        <v>2007-05</v>
      </c>
      <c r="G389" s="25">
        <f t="shared" ref="G389:G452" si="39">AVERAGEIF($F$4:$F$1353,F389,$B$4:$B$1353)</f>
        <v>26.467500000000001</v>
      </c>
      <c r="K389" s="18" t="s">
        <v>242</v>
      </c>
      <c r="L389" s="19">
        <v>86488</v>
      </c>
    </row>
    <row r="390" spans="1:12" x14ac:dyDescent="0.25">
      <c r="A390" s="18" t="s">
        <v>1599</v>
      </c>
      <c r="B390" s="28">
        <v>26.17</v>
      </c>
      <c r="C390" s="16" t="str">
        <f t="shared" si="35"/>
        <v>2007</v>
      </c>
      <c r="D390" t="str">
        <f t="shared" si="36"/>
        <v>22</v>
      </c>
      <c r="E390" s="21">
        <f t="shared" si="37"/>
        <v>39230</v>
      </c>
      <c r="F390" s="17" t="str">
        <f t="shared" si="38"/>
        <v>2007-05</v>
      </c>
      <c r="G390" s="25">
        <f t="shared" si="39"/>
        <v>26.467500000000001</v>
      </c>
      <c r="K390" s="18" t="s">
        <v>241</v>
      </c>
      <c r="L390" s="19">
        <v>90991</v>
      </c>
    </row>
    <row r="391" spans="1:12" x14ac:dyDescent="0.25">
      <c r="A391" s="18" t="s">
        <v>1598</v>
      </c>
      <c r="B391" s="28">
        <v>25.83</v>
      </c>
      <c r="C391" s="16" t="str">
        <f t="shared" si="35"/>
        <v>2007</v>
      </c>
      <c r="D391" t="str">
        <f t="shared" si="36"/>
        <v>23</v>
      </c>
      <c r="E391" s="21">
        <f t="shared" si="37"/>
        <v>39237</v>
      </c>
      <c r="F391" s="17" t="str">
        <f t="shared" si="38"/>
        <v>2007-06</v>
      </c>
      <c r="G391" s="25">
        <f t="shared" si="39"/>
        <v>25.285</v>
      </c>
      <c r="K391" s="18" t="s">
        <v>240</v>
      </c>
      <c r="L391" s="19">
        <v>75882</v>
      </c>
    </row>
    <row r="392" spans="1:12" x14ac:dyDescent="0.25">
      <c r="A392" s="18" t="s">
        <v>1597</v>
      </c>
      <c r="B392" s="28">
        <v>25.33</v>
      </c>
      <c r="C392" s="16" t="str">
        <f t="shared" si="35"/>
        <v>2007</v>
      </c>
      <c r="D392" t="str">
        <f t="shared" si="36"/>
        <v>24</v>
      </c>
      <c r="E392" s="21">
        <f t="shared" si="37"/>
        <v>39244</v>
      </c>
      <c r="F392" s="17" t="str">
        <f t="shared" si="38"/>
        <v>2007-06</v>
      </c>
      <c r="G392" s="25">
        <f t="shared" si="39"/>
        <v>25.285</v>
      </c>
      <c r="K392" s="18" t="s">
        <v>239</v>
      </c>
      <c r="L392" s="19">
        <v>81901</v>
      </c>
    </row>
    <row r="393" spans="1:12" x14ac:dyDescent="0.25">
      <c r="A393" s="18" t="s">
        <v>1596</v>
      </c>
      <c r="B393" s="28">
        <v>25.21</v>
      </c>
      <c r="C393" s="16" t="str">
        <f t="shared" si="35"/>
        <v>2007</v>
      </c>
      <c r="D393" t="str">
        <f t="shared" si="36"/>
        <v>25</v>
      </c>
      <c r="E393" s="21">
        <f t="shared" si="37"/>
        <v>39251</v>
      </c>
      <c r="F393" s="17" t="str">
        <f t="shared" si="38"/>
        <v>2007-06</v>
      </c>
      <c r="G393" s="25">
        <f t="shared" si="39"/>
        <v>25.285</v>
      </c>
      <c r="K393" s="18" t="s">
        <v>238</v>
      </c>
      <c r="L393" s="19">
        <v>71807</v>
      </c>
    </row>
    <row r="394" spans="1:12" x14ac:dyDescent="0.25">
      <c r="A394" s="18" t="s">
        <v>1595</v>
      </c>
      <c r="B394" s="28">
        <v>24.77</v>
      </c>
      <c r="C394" s="16" t="str">
        <f t="shared" si="35"/>
        <v>2007</v>
      </c>
      <c r="D394" t="str">
        <f t="shared" si="36"/>
        <v>26</v>
      </c>
      <c r="E394" s="21">
        <f t="shared" si="37"/>
        <v>39258</v>
      </c>
      <c r="F394" s="17" t="str">
        <f t="shared" si="38"/>
        <v>2007-06</v>
      </c>
      <c r="G394" s="25">
        <f t="shared" si="39"/>
        <v>25.285</v>
      </c>
      <c r="K394" s="18" t="s">
        <v>237</v>
      </c>
      <c r="L394" s="19">
        <v>71952</v>
      </c>
    </row>
    <row r="395" spans="1:12" x14ac:dyDescent="0.25">
      <c r="A395" s="18" t="s">
        <v>1594</v>
      </c>
      <c r="B395" s="28">
        <v>24.53</v>
      </c>
      <c r="C395" s="16" t="str">
        <f t="shared" si="35"/>
        <v>2007</v>
      </c>
      <c r="D395" t="str">
        <f t="shared" si="36"/>
        <v>27</v>
      </c>
      <c r="E395" s="21">
        <f t="shared" si="37"/>
        <v>39265</v>
      </c>
      <c r="F395" s="17" t="str">
        <f t="shared" si="38"/>
        <v>2007-07</v>
      </c>
      <c r="G395" s="25">
        <f t="shared" si="39"/>
        <v>25.404000000000003</v>
      </c>
      <c r="K395" s="18" t="s">
        <v>236</v>
      </c>
      <c r="L395" s="19">
        <v>74038</v>
      </c>
    </row>
    <row r="396" spans="1:12" x14ac:dyDescent="0.25">
      <c r="A396" s="18" t="s">
        <v>1593</v>
      </c>
      <c r="B396" s="28">
        <v>24.87</v>
      </c>
      <c r="C396" s="16" t="str">
        <f t="shared" si="35"/>
        <v>2007</v>
      </c>
      <c r="D396" t="str">
        <f t="shared" si="36"/>
        <v>28</v>
      </c>
      <c r="E396" s="21">
        <f t="shared" si="37"/>
        <v>39272</v>
      </c>
      <c r="F396" s="17" t="str">
        <f t="shared" si="38"/>
        <v>2007-07</v>
      </c>
      <c r="G396" s="25">
        <f t="shared" si="39"/>
        <v>25.404000000000003</v>
      </c>
      <c r="K396" s="18" t="s">
        <v>235</v>
      </c>
      <c r="L396" s="19">
        <v>65114</v>
      </c>
    </row>
    <row r="397" spans="1:12" x14ac:dyDescent="0.25">
      <c r="A397" s="18" t="s">
        <v>1592</v>
      </c>
      <c r="B397" s="28">
        <v>25.56</v>
      </c>
      <c r="C397" s="16" t="str">
        <f t="shared" si="35"/>
        <v>2007</v>
      </c>
      <c r="D397" t="str">
        <f t="shared" si="36"/>
        <v>29</v>
      </c>
      <c r="E397" s="21">
        <f t="shared" si="37"/>
        <v>39279</v>
      </c>
      <c r="F397" s="17" t="str">
        <f t="shared" si="38"/>
        <v>2007-07</v>
      </c>
      <c r="G397" s="25">
        <f t="shared" si="39"/>
        <v>25.404000000000003</v>
      </c>
      <c r="K397" s="18" t="s">
        <v>234</v>
      </c>
      <c r="L397" s="19">
        <v>82047</v>
      </c>
    </row>
    <row r="398" spans="1:12" x14ac:dyDescent="0.25">
      <c r="A398" s="18" t="s">
        <v>1591</v>
      </c>
      <c r="B398" s="28">
        <v>25.73</v>
      </c>
      <c r="C398" s="16" t="str">
        <f t="shared" si="35"/>
        <v>2007</v>
      </c>
      <c r="D398" t="str">
        <f t="shared" si="36"/>
        <v>30</v>
      </c>
      <c r="E398" s="21">
        <f t="shared" si="37"/>
        <v>39286</v>
      </c>
      <c r="F398" s="17" t="str">
        <f t="shared" si="38"/>
        <v>2007-07</v>
      </c>
      <c r="G398" s="25">
        <f t="shared" si="39"/>
        <v>25.404000000000003</v>
      </c>
      <c r="K398" s="18" t="s">
        <v>233</v>
      </c>
      <c r="L398" s="19">
        <v>77207</v>
      </c>
    </row>
    <row r="399" spans="1:12" x14ac:dyDescent="0.25">
      <c r="A399" s="18" t="s">
        <v>1590</v>
      </c>
      <c r="B399" s="28">
        <v>26.33</v>
      </c>
      <c r="C399" s="16" t="str">
        <f t="shared" si="35"/>
        <v>2007</v>
      </c>
      <c r="D399" t="str">
        <f t="shared" si="36"/>
        <v>31</v>
      </c>
      <c r="E399" s="21">
        <f t="shared" si="37"/>
        <v>39293</v>
      </c>
      <c r="F399" s="17" t="str">
        <f t="shared" si="38"/>
        <v>2007-07</v>
      </c>
      <c r="G399" s="25">
        <f t="shared" si="39"/>
        <v>25.404000000000003</v>
      </c>
      <c r="K399" s="18" t="s">
        <v>232</v>
      </c>
      <c r="L399" s="19">
        <v>74666</v>
      </c>
    </row>
    <row r="400" spans="1:12" x14ac:dyDescent="0.25">
      <c r="A400" s="18" t="s">
        <v>1589</v>
      </c>
      <c r="B400" s="28">
        <v>28.11</v>
      </c>
      <c r="C400" s="16" t="str">
        <f t="shared" si="35"/>
        <v>2007</v>
      </c>
      <c r="D400" t="str">
        <f t="shared" si="36"/>
        <v>32</v>
      </c>
      <c r="E400" s="21">
        <f t="shared" si="37"/>
        <v>39300</v>
      </c>
      <c r="F400" s="17" t="str">
        <f t="shared" si="38"/>
        <v>2007-08</v>
      </c>
      <c r="G400" s="25">
        <f t="shared" si="39"/>
        <v>27.884999999999998</v>
      </c>
      <c r="K400" s="18" t="s">
        <v>231</v>
      </c>
      <c r="L400" s="19">
        <v>76693</v>
      </c>
    </row>
    <row r="401" spans="1:12" x14ac:dyDescent="0.25">
      <c r="A401" s="18" t="s">
        <v>1588</v>
      </c>
      <c r="B401" s="28">
        <v>28.95</v>
      </c>
      <c r="C401" s="16" t="str">
        <f t="shared" si="35"/>
        <v>2007</v>
      </c>
      <c r="D401" t="str">
        <f t="shared" si="36"/>
        <v>33</v>
      </c>
      <c r="E401" s="21">
        <f t="shared" si="37"/>
        <v>39307</v>
      </c>
      <c r="F401" s="17" t="str">
        <f t="shared" si="38"/>
        <v>2007-08</v>
      </c>
      <c r="G401" s="25">
        <f t="shared" si="39"/>
        <v>27.884999999999998</v>
      </c>
      <c r="K401" s="18" t="s">
        <v>230</v>
      </c>
      <c r="L401" s="19">
        <v>74643</v>
      </c>
    </row>
    <row r="402" spans="1:12" x14ac:dyDescent="0.25">
      <c r="A402" s="18" t="s">
        <v>1587</v>
      </c>
      <c r="B402" s="28">
        <v>27.52</v>
      </c>
      <c r="C402" s="16" t="str">
        <f t="shared" si="35"/>
        <v>2007</v>
      </c>
      <c r="D402" t="str">
        <f t="shared" si="36"/>
        <v>34</v>
      </c>
      <c r="E402" s="21">
        <f t="shared" si="37"/>
        <v>39314</v>
      </c>
      <c r="F402" s="17" t="str">
        <f t="shared" si="38"/>
        <v>2007-08</v>
      </c>
      <c r="G402" s="25">
        <f t="shared" si="39"/>
        <v>27.884999999999998</v>
      </c>
      <c r="K402" s="18" t="s">
        <v>229</v>
      </c>
      <c r="L402" s="19">
        <v>77107</v>
      </c>
    </row>
    <row r="403" spans="1:12" x14ac:dyDescent="0.25">
      <c r="A403" s="18" t="s">
        <v>1586</v>
      </c>
      <c r="B403" s="28">
        <v>26.96</v>
      </c>
      <c r="C403" s="16" t="str">
        <f t="shared" si="35"/>
        <v>2007</v>
      </c>
      <c r="D403" t="str">
        <f t="shared" si="36"/>
        <v>35</v>
      </c>
      <c r="E403" s="21">
        <f t="shared" si="37"/>
        <v>39321</v>
      </c>
      <c r="F403" s="17" t="str">
        <f t="shared" si="38"/>
        <v>2007-08</v>
      </c>
      <c r="G403" s="25">
        <f t="shared" si="39"/>
        <v>27.884999999999998</v>
      </c>
      <c r="K403" s="18" t="s">
        <v>228</v>
      </c>
      <c r="L403" s="19">
        <v>70404</v>
      </c>
    </row>
    <row r="404" spans="1:12" x14ac:dyDescent="0.25">
      <c r="A404" s="18" t="s">
        <v>1585</v>
      </c>
      <c r="B404" s="28">
        <v>26.95</v>
      </c>
      <c r="C404" s="16" t="str">
        <f t="shared" ref="C404:C467" si="40">LEFT(A404,4)</f>
        <v>2007</v>
      </c>
      <c r="D404" t="str">
        <f t="shared" ref="D404:D467" si="41">RIGHT(A404,2)</f>
        <v>36</v>
      </c>
      <c r="E404" s="21">
        <f t="shared" si="37"/>
        <v>39328</v>
      </c>
      <c r="F404" s="17" t="str">
        <f t="shared" si="38"/>
        <v>2007-09</v>
      </c>
      <c r="G404" s="25">
        <f t="shared" si="39"/>
        <v>25.807499999999997</v>
      </c>
      <c r="K404" s="18" t="s">
        <v>227</v>
      </c>
      <c r="L404" s="19">
        <v>73201</v>
      </c>
    </row>
    <row r="405" spans="1:12" x14ac:dyDescent="0.25">
      <c r="A405" s="18" t="s">
        <v>1584</v>
      </c>
      <c r="B405" s="28">
        <v>26.43</v>
      </c>
      <c r="C405" s="16" t="str">
        <f t="shared" si="40"/>
        <v>2007</v>
      </c>
      <c r="D405" t="str">
        <f t="shared" si="41"/>
        <v>37</v>
      </c>
      <c r="E405" s="21">
        <f t="shared" si="37"/>
        <v>39335</v>
      </c>
      <c r="F405" s="17" t="str">
        <f t="shared" si="38"/>
        <v>2007-09</v>
      </c>
      <c r="G405" s="25">
        <f t="shared" si="39"/>
        <v>25.807499999999997</v>
      </c>
      <c r="K405" s="18" t="s">
        <v>226</v>
      </c>
      <c r="L405" s="19">
        <v>74301</v>
      </c>
    </row>
    <row r="406" spans="1:12" x14ac:dyDescent="0.25">
      <c r="A406" s="18" t="s">
        <v>1583</v>
      </c>
      <c r="B406" s="28">
        <v>25.36</v>
      </c>
      <c r="C406" s="16" t="str">
        <f t="shared" si="40"/>
        <v>2007</v>
      </c>
      <c r="D406" t="str">
        <f t="shared" si="41"/>
        <v>38</v>
      </c>
      <c r="E406" s="21">
        <f t="shared" si="37"/>
        <v>39342</v>
      </c>
      <c r="F406" s="17" t="str">
        <f t="shared" si="38"/>
        <v>2007-09</v>
      </c>
      <c r="G406" s="25">
        <f t="shared" si="39"/>
        <v>25.807499999999997</v>
      </c>
      <c r="K406" s="18" t="s">
        <v>225</v>
      </c>
      <c r="L406" s="19">
        <v>79687</v>
      </c>
    </row>
    <row r="407" spans="1:12" x14ac:dyDescent="0.25">
      <c r="A407" s="18" t="s">
        <v>1582</v>
      </c>
      <c r="B407" s="28">
        <v>24.49</v>
      </c>
      <c r="C407" s="16" t="str">
        <f t="shared" si="40"/>
        <v>2007</v>
      </c>
      <c r="D407" t="str">
        <f t="shared" si="41"/>
        <v>39</v>
      </c>
      <c r="E407" s="21">
        <f t="shared" si="37"/>
        <v>39349</v>
      </c>
      <c r="F407" s="17" t="str">
        <f t="shared" si="38"/>
        <v>2007-09</v>
      </c>
      <c r="G407" s="25">
        <f t="shared" si="39"/>
        <v>25.807499999999997</v>
      </c>
      <c r="K407" s="18" t="s">
        <v>224</v>
      </c>
      <c r="L407" s="19">
        <v>73242</v>
      </c>
    </row>
    <row r="408" spans="1:12" x14ac:dyDescent="0.25">
      <c r="A408" s="18" t="s">
        <v>1581</v>
      </c>
      <c r="B408" s="28">
        <v>24.77</v>
      </c>
      <c r="C408" s="16" t="str">
        <f t="shared" si="40"/>
        <v>2007</v>
      </c>
      <c r="D408" t="str">
        <f t="shared" si="41"/>
        <v>40</v>
      </c>
      <c r="E408" s="21">
        <f t="shared" si="37"/>
        <v>39356</v>
      </c>
      <c r="F408" s="17" t="str">
        <f t="shared" si="38"/>
        <v>2007-10</v>
      </c>
      <c r="G408" s="25">
        <f t="shared" si="39"/>
        <v>24.147999999999996</v>
      </c>
      <c r="K408" s="18" t="s">
        <v>223</v>
      </c>
      <c r="L408" s="19">
        <v>67502</v>
      </c>
    </row>
    <row r="409" spans="1:12" x14ac:dyDescent="0.25">
      <c r="A409" s="18" t="s">
        <v>1580</v>
      </c>
      <c r="B409" s="28">
        <v>24.39</v>
      </c>
      <c r="C409" s="16" t="str">
        <f t="shared" si="40"/>
        <v>2007</v>
      </c>
      <c r="D409" t="str">
        <f t="shared" si="41"/>
        <v>41</v>
      </c>
      <c r="E409" s="21">
        <f t="shared" si="37"/>
        <v>39363</v>
      </c>
      <c r="F409" s="17" t="str">
        <f t="shared" si="38"/>
        <v>2007-10</v>
      </c>
      <c r="G409" s="25">
        <f t="shared" si="39"/>
        <v>24.147999999999996</v>
      </c>
      <c r="K409" s="18" t="s">
        <v>222</v>
      </c>
      <c r="L409" s="19">
        <v>80411</v>
      </c>
    </row>
    <row r="410" spans="1:12" x14ac:dyDescent="0.25">
      <c r="A410" s="18" t="s">
        <v>1579</v>
      </c>
      <c r="B410" s="28">
        <v>23.99</v>
      </c>
      <c r="C410" s="16" t="str">
        <f t="shared" si="40"/>
        <v>2007</v>
      </c>
      <c r="D410" t="str">
        <f t="shared" si="41"/>
        <v>42</v>
      </c>
      <c r="E410" s="21">
        <f t="shared" si="37"/>
        <v>39370</v>
      </c>
      <c r="F410" s="17" t="str">
        <f t="shared" si="38"/>
        <v>2007-10</v>
      </c>
      <c r="G410" s="25">
        <f t="shared" si="39"/>
        <v>24.147999999999996</v>
      </c>
      <c r="K410" s="18" t="s">
        <v>221</v>
      </c>
      <c r="L410" s="19">
        <v>87227</v>
      </c>
    </row>
    <row r="411" spans="1:12" x14ac:dyDescent="0.25">
      <c r="A411" s="18" t="s">
        <v>1578</v>
      </c>
      <c r="B411" s="28">
        <v>23.69</v>
      </c>
      <c r="C411" s="16" t="str">
        <f t="shared" si="40"/>
        <v>2007</v>
      </c>
      <c r="D411" t="str">
        <f t="shared" si="41"/>
        <v>43</v>
      </c>
      <c r="E411" s="21">
        <f t="shared" si="37"/>
        <v>39377</v>
      </c>
      <c r="F411" s="17" t="str">
        <f t="shared" si="38"/>
        <v>2007-10</v>
      </c>
      <c r="G411" s="25">
        <f t="shared" si="39"/>
        <v>24.147999999999996</v>
      </c>
      <c r="K411" s="18" t="s">
        <v>220</v>
      </c>
      <c r="L411" s="19">
        <v>82114</v>
      </c>
    </row>
    <row r="412" spans="1:12" x14ac:dyDescent="0.25">
      <c r="A412" s="18" t="s">
        <v>1577</v>
      </c>
      <c r="B412" s="28">
        <v>23.9</v>
      </c>
      <c r="C412" s="16" t="str">
        <f t="shared" si="40"/>
        <v>2007</v>
      </c>
      <c r="D412" t="str">
        <f t="shared" si="41"/>
        <v>44</v>
      </c>
      <c r="E412" s="21">
        <f t="shared" si="37"/>
        <v>39384</v>
      </c>
      <c r="F412" s="17" t="str">
        <f t="shared" si="38"/>
        <v>2007-10</v>
      </c>
      <c r="G412" s="25">
        <f t="shared" si="39"/>
        <v>24.147999999999996</v>
      </c>
      <c r="K412" s="18" t="s">
        <v>219</v>
      </c>
      <c r="L412" s="19">
        <v>91187</v>
      </c>
    </row>
    <row r="413" spans="1:12" x14ac:dyDescent="0.25">
      <c r="A413" s="18" t="s">
        <v>1576</v>
      </c>
      <c r="B413" s="28">
        <v>23.7</v>
      </c>
      <c r="C413" s="16" t="str">
        <f t="shared" si="40"/>
        <v>2007</v>
      </c>
      <c r="D413" t="str">
        <f t="shared" si="41"/>
        <v>45</v>
      </c>
      <c r="E413" s="21">
        <f t="shared" si="37"/>
        <v>39391</v>
      </c>
      <c r="F413" s="17" t="str">
        <f t="shared" si="38"/>
        <v>2007-11</v>
      </c>
      <c r="G413" s="25">
        <f t="shared" si="39"/>
        <v>24.487500000000001</v>
      </c>
      <c r="K413" s="18" t="s">
        <v>218</v>
      </c>
      <c r="L413" s="19">
        <v>78110</v>
      </c>
    </row>
    <row r="414" spans="1:12" x14ac:dyDescent="0.25">
      <c r="A414" s="18" t="s">
        <v>1575</v>
      </c>
      <c r="B414" s="28">
        <v>24.22</v>
      </c>
      <c r="C414" s="16" t="str">
        <f t="shared" si="40"/>
        <v>2007</v>
      </c>
      <c r="D414" t="str">
        <f t="shared" si="41"/>
        <v>46</v>
      </c>
      <c r="E414" s="21">
        <f t="shared" si="37"/>
        <v>39398</v>
      </c>
      <c r="F414" s="17" t="str">
        <f t="shared" si="38"/>
        <v>2007-11</v>
      </c>
      <c r="G414" s="25">
        <f t="shared" si="39"/>
        <v>24.487500000000001</v>
      </c>
      <c r="K414" s="18" t="s">
        <v>217</v>
      </c>
      <c r="L414" s="19">
        <v>82088</v>
      </c>
    </row>
    <row r="415" spans="1:12" x14ac:dyDescent="0.25">
      <c r="A415" s="18" t="s">
        <v>1574</v>
      </c>
      <c r="B415" s="28">
        <v>24.89</v>
      </c>
      <c r="C415" s="16" t="str">
        <f t="shared" si="40"/>
        <v>2007</v>
      </c>
      <c r="D415" t="str">
        <f t="shared" si="41"/>
        <v>47</v>
      </c>
      <c r="E415" s="21">
        <f t="shared" si="37"/>
        <v>39405</v>
      </c>
      <c r="F415" s="17" t="str">
        <f t="shared" si="38"/>
        <v>2007-11</v>
      </c>
      <c r="G415" s="25">
        <f t="shared" si="39"/>
        <v>24.487500000000001</v>
      </c>
      <c r="K415" s="18" t="s">
        <v>216</v>
      </c>
      <c r="L415" s="19">
        <v>75421</v>
      </c>
    </row>
    <row r="416" spans="1:12" x14ac:dyDescent="0.25">
      <c r="A416" s="18" t="s">
        <v>1573</v>
      </c>
      <c r="B416" s="28">
        <v>25.14</v>
      </c>
      <c r="C416" s="16" t="str">
        <f t="shared" si="40"/>
        <v>2007</v>
      </c>
      <c r="D416" t="str">
        <f t="shared" si="41"/>
        <v>48</v>
      </c>
      <c r="E416" s="21">
        <f t="shared" si="37"/>
        <v>39412</v>
      </c>
      <c r="F416" s="17" t="str">
        <f t="shared" si="38"/>
        <v>2007-11</v>
      </c>
      <c r="G416" s="25">
        <f t="shared" si="39"/>
        <v>24.487500000000001</v>
      </c>
      <c r="K416" s="18" t="s">
        <v>215</v>
      </c>
      <c r="L416" s="19">
        <v>71842</v>
      </c>
    </row>
    <row r="417" spans="1:12" x14ac:dyDescent="0.25">
      <c r="A417" s="18" t="s">
        <v>1572</v>
      </c>
      <c r="B417" s="28">
        <v>25.17</v>
      </c>
      <c r="C417" s="16" t="str">
        <f t="shared" si="40"/>
        <v>2007</v>
      </c>
      <c r="D417" t="str">
        <f t="shared" si="41"/>
        <v>49</v>
      </c>
      <c r="E417" s="21">
        <f t="shared" si="37"/>
        <v>39419</v>
      </c>
      <c r="F417" s="17" t="str">
        <f t="shared" si="38"/>
        <v>2007-12</v>
      </c>
      <c r="G417" s="25">
        <f t="shared" si="39"/>
        <v>26.287500000000001</v>
      </c>
      <c r="K417" s="18" t="s">
        <v>214</v>
      </c>
      <c r="L417" s="19">
        <v>65991</v>
      </c>
    </row>
    <row r="418" spans="1:12" x14ac:dyDescent="0.25">
      <c r="A418" s="18" t="s">
        <v>1571</v>
      </c>
      <c r="B418" s="28">
        <v>25.21</v>
      </c>
      <c r="C418" s="16" t="str">
        <f t="shared" si="40"/>
        <v>2007</v>
      </c>
      <c r="D418" t="str">
        <f t="shared" si="41"/>
        <v>50</v>
      </c>
      <c r="E418" s="21">
        <f t="shared" si="37"/>
        <v>39426</v>
      </c>
      <c r="F418" s="17" t="str">
        <f t="shared" si="38"/>
        <v>2007-12</v>
      </c>
      <c r="G418" s="25">
        <f t="shared" si="39"/>
        <v>26.287500000000001</v>
      </c>
      <c r="K418" s="18" t="s">
        <v>213</v>
      </c>
      <c r="L418" s="19">
        <v>69932</v>
      </c>
    </row>
    <row r="419" spans="1:12" x14ac:dyDescent="0.25">
      <c r="A419" s="18" t="s">
        <v>1570</v>
      </c>
      <c r="B419" s="28">
        <v>25.98</v>
      </c>
      <c r="C419" s="16" t="str">
        <f t="shared" si="40"/>
        <v>2007</v>
      </c>
      <c r="D419" t="str">
        <f t="shared" si="41"/>
        <v>51</v>
      </c>
      <c r="E419" s="21">
        <f t="shared" si="37"/>
        <v>39433</v>
      </c>
      <c r="F419" s="17" t="str">
        <f t="shared" si="38"/>
        <v>2007-12</v>
      </c>
      <c r="G419" s="25">
        <f t="shared" si="39"/>
        <v>26.287500000000001</v>
      </c>
      <c r="K419" s="18" t="s">
        <v>212</v>
      </c>
      <c r="L419" s="19">
        <v>67751</v>
      </c>
    </row>
    <row r="420" spans="1:12" x14ac:dyDescent="0.25">
      <c r="A420" s="18" t="s">
        <v>1569</v>
      </c>
      <c r="B420" s="28">
        <v>28.79</v>
      </c>
      <c r="C420" s="16" t="str">
        <f t="shared" si="40"/>
        <v>2007</v>
      </c>
      <c r="D420" t="str">
        <f t="shared" si="41"/>
        <v>52</v>
      </c>
      <c r="E420" s="21">
        <f t="shared" si="37"/>
        <v>39440</v>
      </c>
      <c r="F420" s="17" t="str">
        <f t="shared" si="38"/>
        <v>2007-12</v>
      </c>
      <c r="G420" s="25">
        <f t="shared" si="39"/>
        <v>26.287500000000001</v>
      </c>
      <c r="K420" s="18" t="s">
        <v>211</v>
      </c>
      <c r="L420" s="19">
        <v>71657</v>
      </c>
    </row>
    <row r="421" spans="1:12" x14ac:dyDescent="0.25">
      <c r="A421" s="18" t="s">
        <v>1568</v>
      </c>
      <c r="B421" s="28">
        <v>29</v>
      </c>
      <c r="C421" s="16" t="str">
        <f t="shared" si="40"/>
        <v>2008</v>
      </c>
      <c r="D421" t="str">
        <f t="shared" si="41"/>
        <v>01</v>
      </c>
      <c r="E421" s="21">
        <f t="shared" si="37"/>
        <v>39448</v>
      </c>
      <c r="F421" s="17" t="str">
        <f t="shared" si="38"/>
        <v>2008-01</v>
      </c>
      <c r="G421" s="25">
        <f t="shared" si="39"/>
        <v>26.142000000000003</v>
      </c>
      <c r="K421" s="18" t="s">
        <v>210</v>
      </c>
      <c r="L421" s="19">
        <v>85631</v>
      </c>
    </row>
    <row r="422" spans="1:12" x14ac:dyDescent="0.25">
      <c r="A422" s="18" t="s">
        <v>1567</v>
      </c>
      <c r="B422" s="28">
        <v>26.77</v>
      </c>
      <c r="C422" s="16" t="str">
        <f t="shared" si="40"/>
        <v>2008</v>
      </c>
      <c r="D422" t="str">
        <f t="shared" si="41"/>
        <v>02</v>
      </c>
      <c r="E422" s="21">
        <f t="shared" si="37"/>
        <v>39455</v>
      </c>
      <c r="F422" s="17" t="str">
        <f t="shared" si="38"/>
        <v>2008-01</v>
      </c>
      <c r="G422" s="25">
        <f t="shared" si="39"/>
        <v>26.142000000000003</v>
      </c>
      <c r="K422" s="18" t="s">
        <v>209</v>
      </c>
      <c r="L422" s="19">
        <v>73269</v>
      </c>
    </row>
    <row r="423" spans="1:12" x14ac:dyDescent="0.25">
      <c r="A423" s="18" t="s">
        <v>1566</v>
      </c>
      <c r="B423" s="28">
        <v>25.07</v>
      </c>
      <c r="C423" s="16" t="str">
        <f t="shared" si="40"/>
        <v>2008</v>
      </c>
      <c r="D423" t="str">
        <f t="shared" si="41"/>
        <v>03</v>
      </c>
      <c r="E423" s="21">
        <f t="shared" si="37"/>
        <v>39462</v>
      </c>
      <c r="F423" s="17" t="str">
        <f t="shared" si="38"/>
        <v>2008-01</v>
      </c>
      <c r="G423" s="25">
        <f t="shared" si="39"/>
        <v>26.142000000000003</v>
      </c>
      <c r="K423" s="18" t="s">
        <v>208</v>
      </c>
      <c r="L423" s="19">
        <v>76157</v>
      </c>
    </row>
    <row r="424" spans="1:12" x14ac:dyDescent="0.25">
      <c r="A424" s="18" t="s">
        <v>1565</v>
      </c>
      <c r="B424" s="28">
        <v>24.69</v>
      </c>
      <c r="C424" s="16" t="str">
        <f t="shared" si="40"/>
        <v>2008</v>
      </c>
      <c r="D424" t="str">
        <f t="shared" si="41"/>
        <v>04</v>
      </c>
      <c r="E424" s="21">
        <f t="shared" si="37"/>
        <v>39469</v>
      </c>
      <c r="F424" s="17" t="str">
        <f t="shared" si="38"/>
        <v>2008-01</v>
      </c>
      <c r="G424" s="25">
        <f t="shared" si="39"/>
        <v>26.142000000000003</v>
      </c>
      <c r="K424" s="18" t="s">
        <v>207</v>
      </c>
      <c r="L424" s="19">
        <v>70017</v>
      </c>
    </row>
    <row r="425" spans="1:12" x14ac:dyDescent="0.25">
      <c r="A425" s="18" t="s">
        <v>1564</v>
      </c>
      <c r="B425" s="28">
        <v>25.18</v>
      </c>
      <c r="C425" s="16" t="str">
        <f t="shared" si="40"/>
        <v>2008</v>
      </c>
      <c r="D425" t="str">
        <f t="shared" si="41"/>
        <v>05</v>
      </c>
      <c r="E425" s="21">
        <f t="shared" si="37"/>
        <v>39476</v>
      </c>
      <c r="F425" s="17" t="str">
        <f t="shared" si="38"/>
        <v>2008-01</v>
      </c>
      <c r="G425" s="25">
        <f t="shared" si="39"/>
        <v>26.142000000000003</v>
      </c>
      <c r="K425" s="18" t="s">
        <v>206</v>
      </c>
      <c r="L425" s="19">
        <v>68878</v>
      </c>
    </row>
    <row r="426" spans="1:12" x14ac:dyDescent="0.25">
      <c r="A426" s="18" t="s">
        <v>1563</v>
      </c>
      <c r="B426" s="28">
        <v>25.35</v>
      </c>
      <c r="C426" s="16" t="str">
        <f t="shared" si="40"/>
        <v>2008</v>
      </c>
      <c r="D426" t="str">
        <f t="shared" si="41"/>
        <v>06</v>
      </c>
      <c r="E426" s="21">
        <f t="shared" si="37"/>
        <v>39483</v>
      </c>
      <c r="F426" s="17" t="str">
        <f t="shared" si="38"/>
        <v>2008-02</v>
      </c>
      <c r="G426" s="25">
        <f t="shared" si="39"/>
        <v>25.587499999999999</v>
      </c>
      <c r="K426" s="18" t="s">
        <v>205</v>
      </c>
      <c r="L426" s="19">
        <v>79138</v>
      </c>
    </row>
    <row r="427" spans="1:12" x14ac:dyDescent="0.25">
      <c r="A427" s="18" t="s">
        <v>1562</v>
      </c>
      <c r="B427" s="28">
        <v>26.14</v>
      </c>
      <c r="C427" s="16" t="str">
        <f t="shared" si="40"/>
        <v>2008</v>
      </c>
      <c r="D427" t="str">
        <f t="shared" si="41"/>
        <v>07</v>
      </c>
      <c r="E427" s="21">
        <f t="shared" si="37"/>
        <v>39490</v>
      </c>
      <c r="F427" s="17" t="str">
        <f t="shared" si="38"/>
        <v>2008-02</v>
      </c>
      <c r="G427" s="25">
        <f t="shared" si="39"/>
        <v>25.587499999999999</v>
      </c>
      <c r="K427" s="18" t="s">
        <v>204</v>
      </c>
      <c r="L427" s="19">
        <v>65801</v>
      </c>
    </row>
    <row r="428" spans="1:12" x14ac:dyDescent="0.25">
      <c r="A428" s="18" t="s">
        <v>1561</v>
      </c>
      <c r="B428" s="28">
        <v>25.92</v>
      </c>
      <c r="C428" s="16" t="str">
        <f t="shared" si="40"/>
        <v>2008</v>
      </c>
      <c r="D428" t="str">
        <f t="shared" si="41"/>
        <v>08</v>
      </c>
      <c r="E428" s="21">
        <f t="shared" si="37"/>
        <v>39497</v>
      </c>
      <c r="F428" s="17" t="str">
        <f t="shared" si="38"/>
        <v>2008-02</v>
      </c>
      <c r="G428" s="25">
        <f t="shared" si="39"/>
        <v>25.587499999999999</v>
      </c>
      <c r="K428" s="18" t="s">
        <v>203</v>
      </c>
      <c r="L428" s="19">
        <v>67375</v>
      </c>
    </row>
    <row r="429" spans="1:12" x14ac:dyDescent="0.25">
      <c r="A429" s="18" t="s">
        <v>1560</v>
      </c>
      <c r="B429" s="28">
        <v>24.94</v>
      </c>
      <c r="C429" s="16" t="str">
        <f t="shared" si="40"/>
        <v>2008</v>
      </c>
      <c r="D429" t="str">
        <f t="shared" si="41"/>
        <v>09</v>
      </c>
      <c r="E429" s="21">
        <f t="shared" si="37"/>
        <v>39504</v>
      </c>
      <c r="F429" s="17" t="str">
        <f t="shared" si="38"/>
        <v>2008-02</v>
      </c>
      <c r="G429" s="25">
        <f t="shared" si="39"/>
        <v>25.587499999999999</v>
      </c>
      <c r="K429" s="18" t="s">
        <v>202</v>
      </c>
      <c r="L429" s="19">
        <v>70453</v>
      </c>
    </row>
    <row r="430" spans="1:12" x14ac:dyDescent="0.25">
      <c r="A430" s="18" t="s">
        <v>1559</v>
      </c>
      <c r="B430" s="28">
        <v>25.71</v>
      </c>
      <c r="C430" s="16" t="str">
        <f t="shared" si="40"/>
        <v>2008</v>
      </c>
      <c r="D430" t="str">
        <f t="shared" si="41"/>
        <v>10</v>
      </c>
      <c r="E430" s="21">
        <f t="shared" si="37"/>
        <v>39511</v>
      </c>
      <c r="F430" s="17" t="str">
        <f t="shared" si="38"/>
        <v>2008-03</v>
      </c>
      <c r="G430" s="25">
        <f t="shared" si="39"/>
        <v>26.977499999999999</v>
      </c>
      <c r="K430" s="18" t="s">
        <v>201</v>
      </c>
      <c r="L430" s="19">
        <v>69719</v>
      </c>
    </row>
    <row r="431" spans="1:12" x14ac:dyDescent="0.25">
      <c r="A431" s="18" t="s">
        <v>1558</v>
      </c>
      <c r="B431" s="28">
        <v>26.96</v>
      </c>
      <c r="C431" s="16" t="str">
        <f t="shared" si="40"/>
        <v>2008</v>
      </c>
      <c r="D431" t="str">
        <f t="shared" si="41"/>
        <v>11</v>
      </c>
      <c r="E431" s="21">
        <f t="shared" si="37"/>
        <v>39518</v>
      </c>
      <c r="F431" s="17" t="str">
        <f t="shared" si="38"/>
        <v>2008-03</v>
      </c>
      <c r="G431" s="25">
        <f t="shared" si="39"/>
        <v>26.977499999999999</v>
      </c>
      <c r="K431" s="18" t="s">
        <v>200</v>
      </c>
      <c r="L431" s="19">
        <v>67656</v>
      </c>
    </row>
    <row r="432" spans="1:12" x14ac:dyDescent="0.25">
      <c r="A432" s="18" t="s">
        <v>1557</v>
      </c>
      <c r="B432" s="28">
        <v>28.03</v>
      </c>
      <c r="C432" s="16" t="str">
        <f t="shared" si="40"/>
        <v>2008</v>
      </c>
      <c r="D432" t="str">
        <f t="shared" si="41"/>
        <v>12</v>
      </c>
      <c r="E432" s="21">
        <f t="shared" si="37"/>
        <v>39525</v>
      </c>
      <c r="F432" s="17" t="str">
        <f t="shared" si="38"/>
        <v>2008-03</v>
      </c>
      <c r="G432" s="25">
        <f t="shared" si="39"/>
        <v>26.977499999999999</v>
      </c>
      <c r="K432" s="18" t="s">
        <v>199</v>
      </c>
      <c r="L432" s="19">
        <v>68336</v>
      </c>
    </row>
    <row r="433" spans="1:12" x14ac:dyDescent="0.25">
      <c r="A433" s="18" t="s">
        <v>1556</v>
      </c>
      <c r="B433" s="28">
        <v>27.21</v>
      </c>
      <c r="C433" s="16" t="str">
        <f t="shared" si="40"/>
        <v>2008</v>
      </c>
      <c r="D433" t="str">
        <f t="shared" si="41"/>
        <v>13</v>
      </c>
      <c r="E433" s="21">
        <f t="shared" si="37"/>
        <v>39532</v>
      </c>
      <c r="F433" s="17" t="str">
        <f t="shared" si="38"/>
        <v>2008-03</v>
      </c>
      <c r="G433" s="25">
        <f t="shared" si="39"/>
        <v>26.977499999999999</v>
      </c>
      <c r="K433" s="18" t="s">
        <v>198</v>
      </c>
      <c r="L433" s="19">
        <v>73823</v>
      </c>
    </row>
    <row r="434" spans="1:12" x14ac:dyDescent="0.25">
      <c r="A434" s="18" t="s">
        <v>1555</v>
      </c>
      <c r="B434" s="28">
        <v>26.41</v>
      </c>
      <c r="C434" s="16" t="str">
        <f t="shared" si="40"/>
        <v>2008</v>
      </c>
      <c r="D434" t="str">
        <f t="shared" si="41"/>
        <v>14</v>
      </c>
      <c r="E434" s="21">
        <f t="shared" si="37"/>
        <v>39539</v>
      </c>
      <c r="F434" s="17" t="str">
        <f t="shared" si="38"/>
        <v>2008-04</v>
      </c>
      <c r="G434" s="25">
        <f t="shared" si="39"/>
        <v>26.095999999999997</v>
      </c>
      <c r="K434" s="18" t="s">
        <v>197</v>
      </c>
      <c r="L434" s="19">
        <v>67229</v>
      </c>
    </row>
    <row r="435" spans="1:12" x14ac:dyDescent="0.25">
      <c r="A435" s="18" t="s">
        <v>1554</v>
      </c>
      <c r="B435" s="28">
        <v>26.13</v>
      </c>
      <c r="C435" s="16" t="str">
        <f t="shared" si="40"/>
        <v>2008</v>
      </c>
      <c r="D435" t="str">
        <f t="shared" si="41"/>
        <v>15</v>
      </c>
      <c r="E435" s="21">
        <f t="shared" si="37"/>
        <v>39546</v>
      </c>
      <c r="F435" s="17" t="str">
        <f t="shared" si="38"/>
        <v>2008-04</v>
      </c>
      <c r="G435" s="25">
        <f t="shared" si="39"/>
        <v>26.095999999999997</v>
      </c>
      <c r="K435" s="18" t="s">
        <v>196</v>
      </c>
      <c r="L435" s="19">
        <v>66841</v>
      </c>
    </row>
    <row r="436" spans="1:12" x14ac:dyDescent="0.25">
      <c r="A436" s="18" t="s">
        <v>1553</v>
      </c>
      <c r="B436" s="28">
        <v>25.6</v>
      </c>
      <c r="C436" s="16" t="str">
        <f t="shared" si="40"/>
        <v>2008</v>
      </c>
      <c r="D436" t="str">
        <f t="shared" si="41"/>
        <v>16</v>
      </c>
      <c r="E436" s="21">
        <f t="shared" si="37"/>
        <v>39553</v>
      </c>
      <c r="F436" s="17" t="str">
        <f t="shared" si="38"/>
        <v>2008-04</v>
      </c>
      <c r="G436" s="25">
        <f t="shared" si="39"/>
        <v>26.095999999999997</v>
      </c>
      <c r="K436" s="18" t="s">
        <v>195</v>
      </c>
      <c r="L436" s="19">
        <v>60686</v>
      </c>
    </row>
    <row r="437" spans="1:12" x14ac:dyDescent="0.25">
      <c r="A437" s="18" t="s">
        <v>1552</v>
      </c>
      <c r="B437" s="28">
        <v>25.47</v>
      </c>
      <c r="C437" s="16" t="str">
        <f t="shared" si="40"/>
        <v>2008</v>
      </c>
      <c r="D437" t="str">
        <f t="shared" si="41"/>
        <v>17</v>
      </c>
      <c r="E437" s="21">
        <f t="shared" si="37"/>
        <v>39560</v>
      </c>
      <c r="F437" s="17" t="str">
        <f t="shared" si="38"/>
        <v>2008-04</v>
      </c>
      <c r="G437" s="25">
        <f t="shared" si="39"/>
        <v>26.095999999999997</v>
      </c>
      <c r="K437" s="18" t="s">
        <v>194</v>
      </c>
      <c r="L437" s="19">
        <v>60392</v>
      </c>
    </row>
    <row r="438" spans="1:12" x14ac:dyDescent="0.25">
      <c r="A438" s="18" t="s">
        <v>1551</v>
      </c>
      <c r="B438" s="28">
        <v>26.87</v>
      </c>
      <c r="C438" s="16" t="str">
        <f t="shared" si="40"/>
        <v>2008</v>
      </c>
      <c r="D438" t="str">
        <f t="shared" si="41"/>
        <v>18</v>
      </c>
      <c r="E438" s="21">
        <f t="shared" si="37"/>
        <v>39567</v>
      </c>
      <c r="F438" s="17" t="str">
        <f t="shared" si="38"/>
        <v>2008-04</v>
      </c>
      <c r="G438" s="25">
        <f t="shared" si="39"/>
        <v>26.095999999999997</v>
      </c>
      <c r="K438" s="18" t="s">
        <v>193</v>
      </c>
      <c r="L438" s="19">
        <v>61908</v>
      </c>
    </row>
    <row r="439" spans="1:12" x14ac:dyDescent="0.25">
      <c r="A439" s="18" t="s">
        <v>1550</v>
      </c>
      <c r="B439" s="28">
        <v>28.61</v>
      </c>
      <c r="C439" s="16" t="str">
        <f t="shared" si="40"/>
        <v>2008</v>
      </c>
      <c r="D439" t="str">
        <f t="shared" si="41"/>
        <v>19</v>
      </c>
      <c r="E439" s="21">
        <f t="shared" si="37"/>
        <v>39574</v>
      </c>
      <c r="F439" s="17" t="str">
        <f t="shared" si="38"/>
        <v>2008-05</v>
      </c>
      <c r="G439" s="25">
        <f t="shared" si="39"/>
        <v>26.787500000000001</v>
      </c>
      <c r="K439" s="18" t="s">
        <v>192</v>
      </c>
      <c r="L439" s="19">
        <v>61521</v>
      </c>
    </row>
    <row r="440" spans="1:12" x14ac:dyDescent="0.25">
      <c r="A440" s="18" t="s">
        <v>1549</v>
      </c>
      <c r="B440" s="28">
        <v>27.35</v>
      </c>
      <c r="C440" s="16" t="str">
        <f t="shared" si="40"/>
        <v>2008</v>
      </c>
      <c r="D440" t="str">
        <f t="shared" si="41"/>
        <v>20</v>
      </c>
      <c r="E440" s="21">
        <f t="shared" si="37"/>
        <v>39581</v>
      </c>
      <c r="F440" s="17" t="str">
        <f t="shared" si="38"/>
        <v>2008-05</v>
      </c>
      <c r="G440" s="25">
        <f t="shared" si="39"/>
        <v>26.787500000000001</v>
      </c>
      <c r="K440" s="18" t="s">
        <v>191</v>
      </c>
      <c r="L440" s="19">
        <v>58402</v>
      </c>
    </row>
    <row r="441" spans="1:12" x14ac:dyDescent="0.25">
      <c r="A441" s="18" t="s">
        <v>1548</v>
      </c>
      <c r="B441" s="28">
        <v>25.96</v>
      </c>
      <c r="C441" s="16" t="str">
        <f t="shared" si="40"/>
        <v>2008</v>
      </c>
      <c r="D441" t="str">
        <f t="shared" si="41"/>
        <v>21</v>
      </c>
      <c r="E441" s="21">
        <f t="shared" si="37"/>
        <v>39588</v>
      </c>
      <c r="F441" s="17" t="str">
        <f t="shared" si="38"/>
        <v>2008-05</v>
      </c>
      <c r="G441" s="25">
        <f t="shared" si="39"/>
        <v>26.787500000000001</v>
      </c>
      <c r="K441" s="18" t="s">
        <v>190</v>
      </c>
      <c r="L441" s="19">
        <v>60356</v>
      </c>
    </row>
    <row r="442" spans="1:12" x14ac:dyDescent="0.25">
      <c r="A442" s="18" t="s">
        <v>1547</v>
      </c>
      <c r="B442" s="28">
        <v>25.23</v>
      </c>
      <c r="C442" s="16" t="str">
        <f t="shared" si="40"/>
        <v>2008</v>
      </c>
      <c r="D442" t="str">
        <f t="shared" si="41"/>
        <v>22</v>
      </c>
      <c r="E442" s="21">
        <f t="shared" si="37"/>
        <v>39595</v>
      </c>
      <c r="F442" s="17" t="str">
        <f t="shared" si="38"/>
        <v>2008-05</v>
      </c>
      <c r="G442" s="25">
        <f t="shared" si="39"/>
        <v>26.787500000000001</v>
      </c>
      <c r="K442" s="18" t="s">
        <v>189</v>
      </c>
      <c r="L442" s="19">
        <v>59394</v>
      </c>
    </row>
    <row r="443" spans="1:12" x14ac:dyDescent="0.25">
      <c r="A443" s="18" t="s">
        <v>1546</v>
      </c>
      <c r="B443" s="28">
        <v>25.33</v>
      </c>
      <c r="C443" s="16" t="str">
        <f t="shared" si="40"/>
        <v>2008</v>
      </c>
      <c r="D443" t="str">
        <f t="shared" si="41"/>
        <v>23</v>
      </c>
      <c r="E443" s="21">
        <f t="shared" si="37"/>
        <v>39602</v>
      </c>
      <c r="F443" s="17" t="str">
        <f t="shared" si="38"/>
        <v>2008-06</v>
      </c>
      <c r="G443" s="25">
        <f t="shared" si="39"/>
        <v>26.442499999999999</v>
      </c>
      <c r="K443" s="18" t="s">
        <v>188</v>
      </c>
      <c r="L443" s="19">
        <v>59569</v>
      </c>
    </row>
    <row r="444" spans="1:12" x14ac:dyDescent="0.25">
      <c r="A444" s="18" t="s">
        <v>1545</v>
      </c>
      <c r="B444" s="28">
        <v>27.28</v>
      </c>
      <c r="C444" s="16" t="str">
        <f t="shared" si="40"/>
        <v>2008</v>
      </c>
      <c r="D444" t="str">
        <f t="shared" si="41"/>
        <v>24</v>
      </c>
      <c r="E444" s="21">
        <f t="shared" si="37"/>
        <v>39609</v>
      </c>
      <c r="F444" s="17" t="str">
        <f t="shared" si="38"/>
        <v>2008-06</v>
      </c>
      <c r="G444" s="25">
        <f t="shared" si="39"/>
        <v>26.442499999999999</v>
      </c>
      <c r="K444" s="18" t="s">
        <v>187</v>
      </c>
      <c r="L444" s="19">
        <v>57479</v>
      </c>
    </row>
    <row r="445" spans="1:12" x14ac:dyDescent="0.25">
      <c r="A445" s="18" t="s">
        <v>1544</v>
      </c>
      <c r="B445" s="28">
        <v>27.18</v>
      </c>
      <c r="C445" s="16" t="str">
        <f t="shared" si="40"/>
        <v>2008</v>
      </c>
      <c r="D445" t="str">
        <f t="shared" si="41"/>
        <v>25</v>
      </c>
      <c r="E445" s="21">
        <f t="shared" si="37"/>
        <v>39616</v>
      </c>
      <c r="F445" s="17" t="str">
        <f t="shared" si="38"/>
        <v>2008-06</v>
      </c>
      <c r="G445" s="25">
        <f t="shared" si="39"/>
        <v>26.442499999999999</v>
      </c>
      <c r="K445" s="18" t="s">
        <v>186</v>
      </c>
      <c r="L445" s="19">
        <v>68955</v>
      </c>
    </row>
    <row r="446" spans="1:12" x14ac:dyDescent="0.25">
      <c r="A446" s="18" t="s">
        <v>1543</v>
      </c>
      <c r="B446" s="28">
        <v>25.98</v>
      </c>
      <c r="C446" s="16" t="str">
        <f t="shared" si="40"/>
        <v>2008</v>
      </c>
      <c r="D446" t="str">
        <f t="shared" si="41"/>
        <v>26</v>
      </c>
      <c r="E446" s="21">
        <f t="shared" si="37"/>
        <v>39623</v>
      </c>
      <c r="F446" s="17" t="str">
        <f t="shared" si="38"/>
        <v>2008-06</v>
      </c>
      <c r="G446" s="25">
        <f t="shared" si="39"/>
        <v>26.442499999999999</v>
      </c>
      <c r="K446" s="18" t="s">
        <v>185</v>
      </c>
      <c r="L446" s="19">
        <v>70550</v>
      </c>
    </row>
    <row r="447" spans="1:12" x14ac:dyDescent="0.25">
      <c r="A447" s="18" t="s">
        <v>1542</v>
      </c>
      <c r="B447" s="28">
        <v>26.49</v>
      </c>
      <c r="C447" s="16" t="str">
        <f t="shared" si="40"/>
        <v>2008</v>
      </c>
      <c r="D447" t="str">
        <f t="shared" si="41"/>
        <v>27</v>
      </c>
      <c r="E447" s="21">
        <f t="shared" si="37"/>
        <v>39630</v>
      </c>
      <c r="F447" s="17" t="str">
        <f t="shared" si="38"/>
        <v>2008-07</v>
      </c>
      <c r="G447" s="25">
        <f t="shared" si="39"/>
        <v>28.669999999999998</v>
      </c>
      <c r="K447" s="18" t="s">
        <v>184</v>
      </c>
      <c r="L447" s="19">
        <v>72371</v>
      </c>
    </row>
    <row r="448" spans="1:12" x14ac:dyDescent="0.25">
      <c r="A448" s="18" t="s">
        <v>1541</v>
      </c>
      <c r="B448" s="28">
        <v>29.05</v>
      </c>
      <c r="C448" s="16" t="str">
        <f t="shared" si="40"/>
        <v>2008</v>
      </c>
      <c r="D448" t="str">
        <f t="shared" si="41"/>
        <v>28</v>
      </c>
      <c r="E448" s="21">
        <f t="shared" si="37"/>
        <v>39637</v>
      </c>
      <c r="F448" s="17" t="str">
        <f t="shared" si="38"/>
        <v>2008-07</v>
      </c>
      <c r="G448" s="25">
        <f t="shared" si="39"/>
        <v>28.669999999999998</v>
      </c>
      <c r="K448" s="18" t="s">
        <v>183</v>
      </c>
      <c r="L448" s="19">
        <v>77510</v>
      </c>
    </row>
    <row r="449" spans="1:12" x14ac:dyDescent="0.25">
      <c r="A449" s="18" t="s">
        <v>1540</v>
      </c>
      <c r="B449" s="28">
        <v>29.81</v>
      </c>
      <c r="C449" s="16" t="str">
        <f t="shared" si="40"/>
        <v>2008</v>
      </c>
      <c r="D449" t="str">
        <f t="shared" si="41"/>
        <v>29</v>
      </c>
      <c r="E449" s="21">
        <f t="shared" si="37"/>
        <v>39644</v>
      </c>
      <c r="F449" s="17" t="str">
        <f t="shared" si="38"/>
        <v>2008-07</v>
      </c>
      <c r="G449" s="25">
        <f t="shared" si="39"/>
        <v>28.669999999999998</v>
      </c>
      <c r="K449" s="18" t="s">
        <v>182</v>
      </c>
      <c r="L449" s="19">
        <v>70981</v>
      </c>
    </row>
    <row r="450" spans="1:12" x14ac:dyDescent="0.25">
      <c r="A450" s="18" t="s">
        <v>1539</v>
      </c>
      <c r="B450" s="28">
        <v>29.41</v>
      </c>
      <c r="C450" s="16" t="str">
        <f t="shared" si="40"/>
        <v>2008</v>
      </c>
      <c r="D450" t="str">
        <f t="shared" si="41"/>
        <v>30</v>
      </c>
      <c r="E450" s="21">
        <f t="shared" si="37"/>
        <v>39651</v>
      </c>
      <c r="F450" s="17" t="str">
        <f t="shared" si="38"/>
        <v>2008-07</v>
      </c>
      <c r="G450" s="25">
        <f t="shared" si="39"/>
        <v>28.669999999999998</v>
      </c>
      <c r="K450" s="18" t="s">
        <v>181</v>
      </c>
      <c r="L450" s="19">
        <v>78230</v>
      </c>
    </row>
    <row r="451" spans="1:12" x14ac:dyDescent="0.25">
      <c r="A451" s="18" t="s">
        <v>1538</v>
      </c>
      <c r="B451" s="28">
        <v>28.59</v>
      </c>
      <c r="C451" s="16" t="str">
        <f t="shared" si="40"/>
        <v>2008</v>
      </c>
      <c r="D451" t="str">
        <f t="shared" si="41"/>
        <v>31</v>
      </c>
      <c r="E451" s="21">
        <f t="shared" si="37"/>
        <v>39658</v>
      </c>
      <c r="F451" s="17" t="str">
        <f t="shared" si="38"/>
        <v>2008-07</v>
      </c>
      <c r="G451" s="25">
        <f t="shared" si="39"/>
        <v>28.669999999999998</v>
      </c>
      <c r="K451" s="18" t="s">
        <v>180</v>
      </c>
      <c r="L451" s="19">
        <v>68595</v>
      </c>
    </row>
    <row r="452" spans="1:12" x14ac:dyDescent="0.25">
      <c r="A452" s="18" t="s">
        <v>1537</v>
      </c>
      <c r="B452" s="28">
        <v>29.85</v>
      </c>
      <c r="C452" s="16" t="str">
        <f t="shared" si="40"/>
        <v>2008</v>
      </c>
      <c r="D452" t="str">
        <f t="shared" si="41"/>
        <v>32</v>
      </c>
      <c r="E452" s="21">
        <f t="shared" si="37"/>
        <v>39665</v>
      </c>
      <c r="F452" s="17" t="str">
        <f t="shared" si="38"/>
        <v>2008-08</v>
      </c>
      <c r="G452" s="25">
        <f t="shared" si="39"/>
        <v>28.6525</v>
      </c>
      <c r="K452" s="18" t="s">
        <v>179</v>
      </c>
      <c r="L452" s="19">
        <v>68881</v>
      </c>
    </row>
    <row r="453" spans="1:12" x14ac:dyDescent="0.25">
      <c r="A453" s="18" t="s">
        <v>1536</v>
      </c>
      <c r="B453" s="28">
        <v>30.21</v>
      </c>
      <c r="C453" s="16" t="str">
        <f t="shared" si="40"/>
        <v>2008</v>
      </c>
      <c r="D453" t="str">
        <f t="shared" si="41"/>
        <v>33</v>
      </c>
      <c r="E453" s="21">
        <f t="shared" ref="E453:E516" si="42">DATE(C453,1,1)+(D453-1)*7</f>
        <v>39672</v>
      </c>
      <c r="F453" s="17" t="str">
        <f t="shared" ref="F453:F516" si="43">TEXT(E453,"éééé-hh")</f>
        <v>2008-08</v>
      </c>
      <c r="G453" s="25">
        <f t="shared" ref="G453:G516" si="44">AVERAGEIF($F$4:$F$1353,F453,$B$4:$B$1353)</f>
        <v>28.6525</v>
      </c>
      <c r="K453" s="18" t="s">
        <v>178</v>
      </c>
      <c r="L453" s="19">
        <v>68955</v>
      </c>
    </row>
    <row r="454" spans="1:12" x14ac:dyDescent="0.25">
      <c r="A454" s="18" t="s">
        <v>1535</v>
      </c>
      <c r="B454" s="28">
        <v>28.1</v>
      </c>
      <c r="C454" s="16" t="str">
        <f t="shared" si="40"/>
        <v>2008</v>
      </c>
      <c r="D454" t="str">
        <f t="shared" si="41"/>
        <v>34</v>
      </c>
      <c r="E454" s="21">
        <f t="shared" si="42"/>
        <v>39679</v>
      </c>
      <c r="F454" s="17" t="str">
        <f t="shared" si="43"/>
        <v>2008-08</v>
      </c>
      <c r="G454" s="25">
        <f t="shared" si="44"/>
        <v>28.6525</v>
      </c>
      <c r="K454" s="18" t="s">
        <v>177</v>
      </c>
      <c r="L454" s="19">
        <v>62930</v>
      </c>
    </row>
    <row r="455" spans="1:12" x14ac:dyDescent="0.25">
      <c r="A455" s="18" t="s">
        <v>1534</v>
      </c>
      <c r="B455" s="28">
        <v>26.45</v>
      </c>
      <c r="C455" s="16" t="str">
        <f t="shared" si="40"/>
        <v>2008</v>
      </c>
      <c r="D455" t="str">
        <f t="shared" si="41"/>
        <v>35</v>
      </c>
      <c r="E455" s="21">
        <f t="shared" si="42"/>
        <v>39686</v>
      </c>
      <c r="F455" s="17" t="str">
        <f t="shared" si="43"/>
        <v>2008-08</v>
      </c>
      <c r="G455" s="25">
        <f t="shared" si="44"/>
        <v>28.6525</v>
      </c>
      <c r="K455" s="18" t="s">
        <v>176</v>
      </c>
      <c r="L455" s="19">
        <v>68710</v>
      </c>
    </row>
    <row r="456" spans="1:12" x14ac:dyDescent="0.25">
      <c r="A456" s="18" t="s">
        <v>1533</v>
      </c>
      <c r="B456" s="28">
        <v>27.99</v>
      </c>
      <c r="C456" s="16" t="str">
        <f t="shared" si="40"/>
        <v>2008</v>
      </c>
      <c r="D456" t="str">
        <f t="shared" si="41"/>
        <v>36</v>
      </c>
      <c r="E456" s="21">
        <f t="shared" si="42"/>
        <v>39693</v>
      </c>
      <c r="F456" s="17" t="str">
        <f t="shared" si="43"/>
        <v>2008-09</v>
      </c>
      <c r="G456" s="25">
        <f t="shared" si="44"/>
        <v>27.866000000000003</v>
      </c>
      <c r="K456" s="18" t="s">
        <v>175</v>
      </c>
      <c r="L456" s="19">
        <v>66519</v>
      </c>
    </row>
    <row r="457" spans="1:12" x14ac:dyDescent="0.25">
      <c r="A457" s="18" t="s">
        <v>1532</v>
      </c>
      <c r="B457" s="28">
        <v>29.94</v>
      </c>
      <c r="C457" s="16" t="str">
        <f t="shared" si="40"/>
        <v>2008</v>
      </c>
      <c r="D457" t="str">
        <f t="shared" si="41"/>
        <v>37</v>
      </c>
      <c r="E457" s="21">
        <f t="shared" si="42"/>
        <v>39700</v>
      </c>
      <c r="F457" s="17" t="str">
        <f t="shared" si="43"/>
        <v>2008-09</v>
      </c>
      <c r="G457" s="25">
        <f t="shared" si="44"/>
        <v>27.866000000000003</v>
      </c>
      <c r="K457" s="18" t="s">
        <v>174</v>
      </c>
      <c r="L457" s="19">
        <v>75292</v>
      </c>
    </row>
    <row r="458" spans="1:12" x14ac:dyDescent="0.25">
      <c r="A458" s="18" t="s">
        <v>1531</v>
      </c>
      <c r="B458" s="28">
        <v>28.1</v>
      </c>
      <c r="C458" s="16" t="str">
        <f t="shared" si="40"/>
        <v>2008</v>
      </c>
      <c r="D458" t="str">
        <f t="shared" si="41"/>
        <v>38</v>
      </c>
      <c r="E458" s="21">
        <f t="shared" si="42"/>
        <v>39707</v>
      </c>
      <c r="F458" s="17" t="str">
        <f t="shared" si="43"/>
        <v>2008-09</v>
      </c>
      <c r="G458" s="25">
        <f t="shared" si="44"/>
        <v>27.866000000000003</v>
      </c>
      <c r="K458" s="18" t="s">
        <v>173</v>
      </c>
      <c r="L458" s="19">
        <v>78886</v>
      </c>
    </row>
    <row r="459" spans="1:12" x14ac:dyDescent="0.25">
      <c r="A459" s="18" t="s">
        <v>1530</v>
      </c>
      <c r="B459" s="28">
        <v>26.98</v>
      </c>
      <c r="C459" s="16" t="str">
        <f t="shared" si="40"/>
        <v>2008</v>
      </c>
      <c r="D459" t="str">
        <f t="shared" si="41"/>
        <v>39</v>
      </c>
      <c r="E459" s="21">
        <f t="shared" si="42"/>
        <v>39714</v>
      </c>
      <c r="F459" s="17" t="str">
        <f t="shared" si="43"/>
        <v>2008-09</v>
      </c>
      <c r="G459" s="25">
        <f t="shared" si="44"/>
        <v>27.866000000000003</v>
      </c>
      <c r="K459" s="18" t="s">
        <v>172</v>
      </c>
      <c r="L459" s="19">
        <v>78134</v>
      </c>
    </row>
    <row r="460" spans="1:12" x14ac:dyDescent="0.25">
      <c r="A460" s="18" t="s">
        <v>1529</v>
      </c>
      <c r="B460" s="28">
        <v>26.32</v>
      </c>
      <c r="C460" s="16" t="str">
        <f t="shared" si="40"/>
        <v>2008</v>
      </c>
      <c r="D460" t="str">
        <f t="shared" si="41"/>
        <v>40</v>
      </c>
      <c r="E460" s="21">
        <f t="shared" si="42"/>
        <v>39721</v>
      </c>
      <c r="F460" s="17" t="str">
        <f t="shared" si="43"/>
        <v>2008-09</v>
      </c>
      <c r="G460" s="25">
        <f t="shared" si="44"/>
        <v>27.866000000000003</v>
      </c>
      <c r="K460" s="18" t="s">
        <v>171</v>
      </c>
      <c r="L460" s="19">
        <v>85602</v>
      </c>
    </row>
    <row r="461" spans="1:12" x14ac:dyDescent="0.25">
      <c r="A461" s="18" t="s">
        <v>1528</v>
      </c>
      <c r="B461" s="28">
        <v>26.79</v>
      </c>
      <c r="C461" s="16" t="str">
        <f t="shared" si="40"/>
        <v>2008</v>
      </c>
      <c r="D461" t="str">
        <f t="shared" si="41"/>
        <v>41</v>
      </c>
      <c r="E461" s="21">
        <f t="shared" si="42"/>
        <v>39728</v>
      </c>
      <c r="F461" s="17" t="str">
        <f t="shared" si="43"/>
        <v>2008-10</v>
      </c>
      <c r="G461" s="25">
        <f t="shared" si="44"/>
        <v>27.002499999999998</v>
      </c>
      <c r="K461" s="18" t="s">
        <v>170</v>
      </c>
      <c r="L461" s="19">
        <v>75891</v>
      </c>
    </row>
    <row r="462" spans="1:12" x14ac:dyDescent="0.25">
      <c r="A462" s="18" t="s">
        <v>1527</v>
      </c>
      <c r="B462" s="28">
        <v>27.15</v>
      </c>
      <c r="C462" s="16" t="str">
        <f t="shared" si="40"/>
        <v>2008</v>
      </c>
      <c r="D462" t="str">
        <f t="shared" si="41"/>
        <v>42</v>
      </c>
      <c r="E462" s="21">
        <f t="shared" si="42"/>
        <v>39735</v>
      </c>
      <c r="F462" s="17" t="str">
        <f t="shared" si="43"/>
        <v>2008-10</v>
      </c>
      <c r="G462" s="25">
        <f t="shared" si="44"/>
        <v>27.002499999999998</v>
      </c>
      <c r="K462" s="18" t="s">
        <v>169</v>
      </c>
      <c r="L462" s="19">
        <v>82132</v>
      </c>
    </row>
    <row r="463" spans="1:12" x14ac:dyDescent="0.25">
      <c r="A463" s="18" t="s">
        <v>1526</v>
      </c>
      <c r="B463" s="28">
        <v>26.61</v>
      </c>
      <c r="C463" s="16" t="str">
        <f t="shared" si="40"/>
        <v>2008</v>
      </c>
      <c r="D463" t="str">
        <f t="shared" si="41"/>
        <v>43</v>
      </c>
      <c r="E463" s="21">
        <f t="shared" si="42"/>
        <v>39742</v>
      </c>
      <c r="F463" s="17" t="str">
        <f t="shared" si="43"/>
        <v>2008-10</v>
      </c>
      <c r="G463" s="25">
        <f t="shared" si="44"/>
        <v>27.002499999999998</v>
      </c>
      <c r="K463" s="18" t="s">
        <v>168</v>
      </c>
      <c r="L463" s="19">
        <v>80395</v>
      </c>
    </row>
    <row r="464" spans="1:12" x14ac:dyDescent="0.25">
      <c r="A464" s="18" t="s">
        <v>1525</v>
      </c>
      <c r="B464" s="28">
        <v>27.46</v>
      </c>
      <c r="C464" s="16" t="str">
        <f t="shared" si="40"/>
        <v>2008</v>
      </c>
      <c r="D464" t="str">
        <f t="shared" si="41"/>
        <v>44</v>
      </c>
      <c r="E464" s="21">
        <f t="shared" si="42"/>
        <v>39749</v>
      </c>
      <c r="F464" s="17" t="str">
        <f t="shared" si="43"/>
        <v>2008-10</v>
      </c>
      <c r="G464" s="25">
        <f t="shared" si="44"/>
        <v>27.002499999999998</v>
      </c>
      <c r="K464" s="18" t="s">
        <v>167</v>
      </c>
      <c r="L464" s="19">
        <v>80627</v>
      </c>
    </row>
    <row r="465" spans="1:12" x14ac:dyDescent="0.25">
      <c r="A465" s="18" t="s">
        <v>1524</v>
      </c>
      <c r="B465" s="28">
        <v>26.06</v>
      </c>
      <c r="C465" s="16" t="str">
        <f t="shared" si="40"/>
        <v>2008</v>
      </c>
      <c r="D465" t="str">
        <f t="shared" si="41"/>
        <v>45</v>
      </c>
      <c r="E465" s="21">
        <f t="shared" si="42"/>
        <v>39756</v>
      </c>
      <c r="F465" s="17" t="str">
        <f t="shared" si="43"/>
        <v>2008-11</v>
      </c>
      <c r="G465" s="25">
        <f t="shared" si="44"/>
        <v>26.34</v>
      </c>
      <c r="K465" s="18" t="s">
        <v>166</v>
      </c>
      <c r="L465" s="19">
        <v>79849</v>
      </c>
    </row>
    <row r="466" spans="1:12" x14ac:dyDescent="0.25">
      <c r="A466" s="18" t="s">
        <v>1523</v>
      </c>
      <c r="B466" s="28">
        <v>25.24</v>
      </c>
      <c r="C466" s="16" t="str">
        <f t="shared" si="40"/>
        <v>2008</v>
      </c>
      <c r="D466" t="str">
        <f t="shared" si="41"/>
        <v>46</v>
      </c>
      <c r="E466" s="21">
        <f t="shared" si="42"/>
        <v>39763</v>
      </c>
      <c r="F466" s="17" t="str">
        <f t="shared" si="43"/>
        <v>2008-11</v>
      </c>
      <c r="G466" s="25">
        <f t="shared" si="44"/>
        <v>26.34</v>
      </c>
      <c r="K466" s="18" t="s">
        <v>165</v>
      </c>
      <c r="L466" s="19">
        <v>82053</v>
      </c>
    </row>
    <row r="467" spans="1:12" x14ac:dyDescent="0.25">
      <c r="A467" s="18" t="s">
        <v>1522</v>
      </c>
      <c r="B467" s="28">
        <v>26.05</v>
      </c>
      <c r="C467" s="16" t="str">
        <f t="shared" si="40"/>
        <v>2008</v>
      </c>
      <c r="D467" t="str">
        <f t="shared" si="41"/>
        <v>47</v>
      </c>
      <c r="E467" s="21">
        <f t="shared" si="42"/>
        <v>39770</v>
      </c>
      <c r="F467" s="17" t="str">
        <f t="shared" si="43"/>
        <v>2008-11</v>
      </c>
      <c r="G467" s="25">
        <f t="shared" si="44"/>
        <v>26.34</v>
      </c>
      <c r="K467" s="18" t="s">
        <v>164</v>
      </c>
      <c r="L467" s="19">
        <v>87097</v>
      </c>
    </row>
    <row r="468" spans="1:12" x14ac:dyDescent="0.25">
      <c r="A468" s="18" t="s">
        <v>1521</v>
      </c>
      <c r="B468" s="28">
        <v>28.01</v>
      </c>
      <c r="C468" s="16" t="str">
        <f t="shared" ref="C468:C531" si="45">LEFT(A468,4)</f>
        <v>2008</v>
      </c>
      <c r="D468" t="str">
        <f t="shared" ref="D468:D531" si="46">RIGHT(A468,2)</f>
        <v>48</v>
      </c>
      <c r="E468" s="21">
        <f t="shared" si="42"/>
        <v>39777</v>
      </c>
      <c r="F468" s="17" t="str">
        <f t="shared" si="43"/>
        <v>2008-11</v>
      </c>
      <c r="G468" s="25">
        <f t="shared" si="44"/>
        <v>26.34</v>
      </c>
      <c r="K468" s="18" t="s">
        <v>163</v>
      </c>
      <c r="L468" s="19">
        <v>81689</v>
      </c>
    </row>
    <row r="469" spans="1:12" x14ac:dyDescent="0.25">
      <c r="A469" s="18" t="s">
        <v>1520</v>
      </c>
      <c r="B469" s="28">
        <v>27.37</v>
      </c>
      <c r="C469" s="16" t="str">
        <f t="shared" si="45"/>
        <v>2008</v>
      </c>
      <c r="D469" t="str">
        <f t="shared" si="46"/>
        <v>49</v>
      </c>
      <c r="E469" s="21">
        <f t="shared" si="42"/>
        <v>39784</v>
      </c>
      <c r="F469" s="17" t="str">
        <f t="shared" si="43"/>
        <v>2008-12</v>
      </c>
      <c r="G469" s="25">
        <f t="shared" si="44"/>
        <v>27.557500000000001</v>
      </c>
      <c r="K469" s="18" t="s">
        <v>162</v>
      </c>
      <c r="L469" s="19">
        <v>98281</v>
      </c>
    </row>
    <row r="470" spans="1:12" x14ac:dyDescent="0.25">
      <c r="A470" s="18" t="s">
        <v>1519</v>
      </c>
      <c r="B470" s="28">
        <v>26.08</v>
      </c>
      <c r="C470" s="16" t="str">
        <f t="shared" si="45"/>
        <v>2008</v>
      </c>
      <c r="D470" t="str">
        <f t="shared" si="46"/>
        <v>50</v>
      </c>
      <c r="E470" s="21">
        <f t="shared" si="42"/>
        <v>39791</v>
      </c>
      <c r="F470" s="17" t="str">
        <f t="shared" si="43"/>
        <v>2008-12</v>
      </c>
      <c r="G470" s="25">
        <f t="shared" si="44"/>
        <v>27.557500000000001</v>
      </c>
      <c r="K470" s="18" t="s">
        <v>161</v>
      </c>
      <c r="L470" s="19">
        <v>86960</v>
      </c>
    </row>
    <row r="471" spans="1:12" x14ac:dyDescent="0.25">
      <c r="A471" s="18" t="s">
        <v>1518</v>
      </c>
      <c r="B471" s="28">
        <v>26.83</v>
      </c>
      <c r="C471" s="16" t="str">
        <f t="shared" si="45"/>
        <v>2008</v>
      </c>
      <c r="D471" t="str">
        <f t="shared" si="46"/>
        <v>51</v>
      </c>
      <c r="E471" s="21">
        <f t="shared" si="42"/>
        <v>39798</v>
      </c>
      <c r="F471" s="17" t="str">
        <f t="shared" si="43"/>
        <v>2008-12</v>
      </c>
      <c r="G471" s="25">
        <f t="shared" si="44"/>
        <v>27.557500000000001</v>
      </c>
      <c r="K471" s="18" t="s">
        <v>160</v>
      </c>
      <c r="L471" s="19">
        <v>79696</v>
      </c>
    </row>
    <row r="472" spans="1:12" x14ac:dyDescent="0.25">
      <c r="A472" s="18" t="s">
        <v>1517</v>
      </c>
      <c r="B472" s="28">
        <v>29.95</v>
      </c>
      <c r="C472" s="16" t="str">
        <f t="shared" si="45"/>
        <v>2008</v>
      </c>
      <c r="D472" t="str">
        <f t="shared" si="46"/>
        <v>52</v>
      </c>
      <c r="E472" s="21">
        <f t="shared" si="42"/>
        <v>39805</v>
      </c>
      <c r="F472" s="17" t="str">
        <f t="shared" si="43"/>
        <v>2008-12</v>
      </c>
      <c r="G472" s="25">
        <f t="shared" si="44"/>
        <v>27.557500000000001</v>
      </c>
      <c r="K472" s="18" t="s">
        <v>159</v>
      </c>
      <c r="L472" s="19">
        <v>86774</v>
      </c>
    </row>
    <row r="473" spans="1:12" x14ac:dyDescent="0.25">
      <c r="A473" s="18" t="s">
        <v>1516</v>
      </c>
      <c r="B473" s="28">
        <v>31.42</v>
      </c>
      <c r="C473" s="16" t="str">
        <f t="shared" si="45"/>
        <v>2009</v>
      </c>
      <c r="D473" t="str">
        <f t="shared" si="46"/>
        <v>01</v>
      </c>
      <c r="E473" s="21">
        <f t="shared" si="42"/>
        <v>39814</v>
      </c>
      <c r="F473" s="17" t="str">
        <f t="shared" si="43"/>
        <v>2009-01</v>
      </c>
      <c r="G473" s="25">
        <f t="shared" si="44"/>
        <v>29.004000000000001</v>
      </c>
      <c r="K473" s="18" t="s">
        <v>158</v>
      </c>
      <c r="L473" s="19">
        <v>76606</v>
      </c>
    </row>
    <row r="474" spans="1:12" x14ac:dyDescent="0.25">
      <c r="A474" s="18" t="s">
        <v>1515</v>
      </c>
      <c r="B474" s="28">
        <v>29.64</v>
      </c>
      <c r="C474" s="16" t="str">
        <f t="shared" si="45"/>
        <v>2009</v>
      </c>
      <c r="D474" t="str">
        <f t="shared" si="46"/>
        <v>02</v>
      </c>
      <c r="E474" s="21">
        <f t="shared" si="42"/>
        <v>39821</v>
      </c>
      <c r="F474" s="17" t="str">
        <f t="shared" si="43"/>
        <v>2009-01</v>
      </c>
      <c r="G474" s="25">
        <f t="shared" si="44"/>
        <v>29.004000000000001</v>
      </c>
      <c r="K474" s="18" t="s">
        <v>157</v>
      </c>
      <c r="L474" s="19">
        <v>85077</v>
      </c>
    </row>
    <row r="475" spans="1:12" x14ac:dyDescent="0.25">
      <c r="A475" s="18" t="s">
        <v>1514</v>
      </c>
      <c r="B475" s="28">
        <v>27.44</v>
      </c>
      <c r="C475" s="16" t="str">
        <f t="shared" si="45"/>
        <v>2009</v>
      </c>
      <c r="D475" t="str">
        <f t="shared" si="46"/>
        <v>03</v>
      </c>
      <c r="E475" s="21">
        <f t="shared" si="42"/>
        <v>39828</v>
      </c>
      <c r="F475" s="17" t="str">
        <f t="shared" si="43"/>
        <v>2009-01</v>
      </c>
      <c r="G475" s="25">
        <f t="shared" si="44"/>
        <v>29.004000000000001</v>
      </c>
      <c r="K475" s="18" t="s">
        <v>156</v>
      </c>
      <c r="L475" s="19">
        <v>77719</v>
      </c>
    </row>
    <row r="476" spans="1:12" x14ac:dyDescent="0.25">
      <c r="A476" s="18" t="s">
        <v>1513</v>
      </c>
      <c r="B476" s="28">
        <v>27.92</v>
      </c>
      <c r="C476" s="16" t="str">
        <f t="shared" si="45"/>
        <v>2009</v>
      </c>
      <c r="D476" t="str">
        <f t="shared" si="46"/>
        <v>04</v>
      </c>
      <c r="E476" s="21">
        <f t="shared" si="42"/>
        <v>39835</v>
      </c>
      <c r="F476" s="17" t="str">
        <f t="shared" si="43"/>
        <v>2009-01</v>
      </c>
      <c r="G476" s="25">
        <f t="shared" si="44"/>
        <v>29.004000000000001</v>
      </c>
      <c r="K476" s="18" t="s">
        <v>155</v>
      </c>
      <c r="L476" s="19">
        <v>76345</v>
      </c>
    </row>
    <row r="477" spans="1:12" x14ac:dyDescent="0.25">
      <c r="A477" s="18" t="s">
        <v>1512</v>
      </c>
      <c r="B477" s="28">
        <v>28.6</v>
      </c>
      <c r="C477" s="16" t="str">
        <f t="shared" si="45"/>
        <v>2009</v>
      </c>
      <c r="D477" t="str">
        <f t="shared" si="46"/>
        <v>05</v>
      </c>
      <c r="E477" s="21">
        <f t="shared" si="42"/>
        <v>39842</v>
      </c>
      <c r="F477" s="17" t="str">
        <f t="shared" si="43"/>
        <v>2009-01</v>
      </c>
      <c r="G477" s="25">
        <f t="shared" si="44"/>
        <v>29.004000000000001</v>
      </c>
      <c r="K477" s="18" t="s">
        <v>154</v>
      </c>
      <c r="L477" s="19">
        <v>66113</v>
      </c>
    </row>
    <row r="478" spans="1:12" x14ac:dyDescent="0.25">
      <c r="A478" s="18" t="s">
        <v>1511</v>
      </c>
      <c r="B478" s="28">
        <v>28.16</v>
      </c>
      <c r="C478" s="16" t="str">
        <f t="shared" si="45"/>
        <v>2009</v>
      </c>
      <c r="D478" t="str">
        <f t="shared" si="46"/>
        <v>06</v>
      </c>
      <c r="E478" s="21">
        <f t="shared" si="42"/>
        <v>39849</v>
      </c>
      <c r="F478" s="17" t="str">
        <f t="shared" si="43"/>
        <v>2009-02</v>
      </c>
      <c r="G478" s="25">
        <f t="shared" si="44"/>
        <v>28.272500000000001</v>
      </c>
      <c r="K478" s="18" t="s">
        <v>153</v>
      </c>
      <c r="L478" s="19">
        <v>67059</v>
      </c>
    </row>
    <row r="479" spans="1:12" x14ac:dyDescent="0.25">
      <c r="A479" s="18" t="s">
        <v>1510</v>
      </c>
      <c r="B479" s="28">
        <v>27.65</v>
      </c>
      <c r="C479" s="16" t="str">
        <f t="shared" si="45"/>
        <v>2009</v>
      </c>
      <c r="D479" t="str">
        <f t="shared" si="46"/>
        <v>07</v>
      </c>
      <c r="E479" s="21">
        <f t="shared" si="42"/>
        <v>39856</v>
      </c>
      <c r="F479" s="17" t="str">
        <f t="shared" si="43"/>
        <v>2009-02</v>
      </c>
      <c r="G479" s="25">
        <f t="shared" si="44"/>
        <v>28.272500000000001</v>
      </c>
      <c r="K479" s="18" t="s">
        <v>152</v>
      </c>
      <c r="L479" s="19">
        <v>65693</v>
      </c>
    </row>
    <row r="480" spans="1:12" x14ac:dyDescent="0.25">
      <c r="A480" s="18" t="s">
        <v>1509</v>
      </c>
      <c r="B480" s="28">
        <v>27.49</v>
      </c>
      <c r="C480" s="16" t="str">
        <f t="shared" si="45"/>
        <v>2009</v>
      </c>
      <c r="D480" t="str">
        <f t="shared" si="46"/>
        <v>08</v>
      </c>
      <c r="E480" s="21">
        <f t="shared" si="42"/>
        <v>39863</v>
      </c>
      <c r="F480" s="17" t="str">
        <f t="shared" si="43"/>
        <v>2009-02</v>
      </c>
      <c r="G480" s="25">
        <f t="shared" si="44"/>
        <v>28.272500000000001</v>
      </c>
      <c r="K480" s="18" t="s">
        <v>151</v>
      </c>
      <c r="L480" s="19">
        <v>66204</v>
      </c>
    </row>
    <row r="481" spans="1:12" x14ac:dyDescent="0.25">
      <c r="A481" s="18" t="s">
        <v>1508</v>
      </c>
      <c r="B481" s="28">
        <v>29.79</v>
      </c>
      <c r="C481" s="16" t="str">
        <f t="shared" si="45"/>
        <v>2009</v>
      </c>
      <c r="D481" t="str">
        <f t="shared" si="46"/>
        <v>09</v>
      </c>
      <c r="E481" s="21">
        <f t="shared" si="42"/>
        <v>39870</v>
      </c>
      <c r="F481" s="17" t="str">
        <f t="shared" si="43"/>
        <v>2009-02</v>
      </c>
      <c r="G481" s="25">
        <f t="shared" si="44"/>
        <v>28.272500000000001</v>
      </c>
      <c r="K481" s="18" t="s">
        <v>150</v>
      </c>
      <c r="L481" s="19">
        <v>76900</v>
      </c>
    </row>
    <row r="482" spans="1:12" x14ac:dyDescent="0.25">
      <c r="A482" s="18" t="s">
        <v>1507</v>
      </c>
      <c r="B482" s="28">
        <v>29.08</v>
      </c>
      <c r="C482" s="16" t="str">
        <f t="shared" si="45"/>
        <v>2009</v>
      </c>
      <c r="D482" t="str">
        <f t="shared" si="46"/>
        <v>10</v>
      </c>
      <c r="E482" s="21">
        <f t="shared" si="42"/>
        <v>39877</v>
      </c>
      <c r="F482" s="17" t="str">
        <f t="shared" si="43"/>
        <v>2009-03</v>
      </c>
      <c r="G482" s="25">
        <f t="shared" si="44"/>
        <v>30.35</v>
      </c>
      <c r="K482" s="18" t="s">
        <v>149</v>
      </c>
      <c r="L482" s="19">
        <v>86115</v>
      </c>
    </row>
    <row r="483" spans="1:12" x14ac:dyDescent="0.25">
      <c r="A483" s="18" t="s">
        <v>1506</v>
      </c>
      <c r="B483" s="28">
        <v>30.94</v>
      </c>
      <c r="C483" s="16" t="str">
        <f t="shared" si="45"/>
        <v>2009</v>
      </c>
      <c r="D483" t="str">
        <f t="shared" si="46"/>
        <v>11</v>
      </c>
      <c r="E483" s="21">
        <f t="shared" si="42"/>
        <v>39884</v>
      </c>
      <c r="F483" s="17" t="str">
        <f t="shared" si="43"/>
        <v>2009-03</v>
      </c>
      <c r="G483" s="25">
        <f t="shared" si="44"/>
        <v>30.35</v>
      </c>
      <c r="K483" s="18" t="s">
        <v>148</v>
      </c>
      <c r="L483" s="19">
        <v>84891</v>
      </c>
    </row>
    <row r="484" spans="1:12" x14ac:dyDescent="0.25">
      <c r="A484" s="18" t="s">
        <v>1505</v>
      </c>
      <c r="B484" s="28">
        <v>31.28</v>
      </c>
      <c r="C484" s="16" t="str">
        <f t="shared" si="45"/>
        <v>2009</v>
      </c>
      <c r="D484" t="str">
        <f t="shared" si="46"/>
        <v>12</v>
      </c>
      <c r="E484" s="21">
        <f t="shared" si="42"/>
        <v>39891</v>
      </c>
      <c r="F484" s="17" t="str">
        <f t="shared" si="43"/>
        <v>2009-03</v>
      </c>
      <c r="G484" s="25">
        <f t="shared" si="44"/>
        <v>30.35</v>
      </c>
      <c r="K484" s="18" t="s">
        <v>147</v>
      </c>
      <c r="L484" s="19">
        <v>78453</v>
      </c>
    </row>
    <row r="485" spans="1:12" x14ac:dyDescent="0.25">
      <c r="A485" s="18" t="s">
        <v>1504</v>
      </c>
      <c r="B485" s="28">
        <v>30.1</v>
      </c>
      <c r="C485" s="16" t="str">
        <f t="shared" si="45"/>
        <v>2009</v>
      </c>
      <c r="D485" t="str">
        <f t="shared" si="46"/>
        <v>13</v>
      </c>
      <c r="E485" s="21">
        <f t="shared" si="42"/>
        <v>39898</v>
      </c>
      <c r="F485" s="17" t="str">
        <f t="shared" si="43"/>
        <v>2009-03</v>
      </c>
      <c r="G485" s="25">
        <f t="shared" si="44"/>
        <v>30.35</v>
      </c>
      <c r="K485" s="18" t="s">
        <v>146</v>
      </c>
      <c r="L485" s="19">
        <v>74067</v>
      </c>
    </row>
    <row r="486" spans="1:12" x14ac:dyDescent="0.25">
      <c r="A486" s="18" t="s">
        <v>1503</v>
      </c>
      <c r="B486" s="28">
        <v>30.05</v>
      </c>
      <c r="C486" s="16" t="str">
        <f t="shared" si="45"/>
        <v>2009</v>
      </c>
      <c r="D486" t="str">
        <f t="shared" si="46"/>
        <v>14</v>
      </c>
      <c r="E486" s="21">
        <f t="shared" si="42"/>
        <v>39905</v>
      </c>
      <c r="F486" s="17" t="str">
        <f t="shared" si="43"/>
        <v>2009-04</v>
      </c>
      <c r="G486" s="25">
        <f t="shared" si="44"/>
        <v>32.066000000000003</v>
      </c>
      <c r="K486" s="18" t="s">
        <v>145</v>
      </c>
      <c r="L486" s="19">
        <v>66463</v>
      </c>
    </row>
    <row r="487" spans="1:12" x14ac:dyDescent="0.25">
      <c r="A487" s="18" t="s">
        <v>1502</v>
      </c>
      <c r="B487" s="28">
        <v>33.700000000000003</v>
      </c>
      <c r="C487" s="16" t="str">
        <f t="shared" si="45"/>
        <v>2009</v>
      </c>
      <c r="D487" t="str">
        <f t="shared" si="46"/>
        <v>15</v>
      </c>
      <c r="E487" s="21">
        <f t="shared" si="42"/>
        <v>39912</v>
      </c>
      <c r="F487" s="17" t="str">
        <f t="shared" si="43"/>
        <v>2009-04</v>
      </c>
      <c r="G487" s="25">
        <f t="shared" si="44"/>
        <v>32.066000000000003</v>
      </c>
      <c r="K487" s="18" t="s">
        <v>144</v>
      </c>
      <c r="L487" s="19">
        <v>52480</v>
      </c>
    </row>
    <row r="488" spans="1:12" x14ac:dyDescent="0.25">
      <c r="A488" s="18" t="s">
        <v>1501</v>
      </c>
      <c r="B488" s="28">
        <v>32.4</v>
      </c>
      <c r="C488" s="16" t="str">
        <f t="shared" si="45"/>
        <v>2009</v>
      </c>
      <c r="D488" t="str">
        <f t="shared" si="46"/>
        <v>16</v>
      </c>
      <c r="E488" s="21">
        <f t="shared" si="42"/>
        <v>39919</v>
      </c>
      <c r="F488" s="17" t="str">
        <f t="shared" si="43"/>
        <v>2009-04</v>
      </c>
      <c r="G488" s="25">
        <f t="shared" si="44"/>
        <v>32.066000000000003</v>
      </c>
      <c r="K488" s="18" t="s">
        <v>143</v>
      </c>
      <c r="L488" s="19">
        <v>51278</v>
      </c>
    </row>
    <row r="489" spans="1:12" x14ac:dyDescent="0.25">
      <c r="A489" s="18" t="s">
        <v>1500</v>
      </c>
      <c r="B489" s="28">
        <v>31.56</v>
      </c>
      <c r="C489" s="16" t="str">
        <f t="shared" si="45"/>
        <v>2009</v>
      </c>
      <c r="D489" t="str">
        <f t="shared" si="46"/>
        <v>17</v>
      </c>
      <c r="E489" s="21">
        <f t="shared" si="42"/>
        <v>39926</v>
      </c>
      <c r="F489" s="17" t="str">
        <f t="shared" si="43"/>
        <v>2009-04</v>
      </c>
      <c r="G489" s="25">
        <f t="shared" si="44"/>
        <v>32.066000000000003</v>
      </c>
      <c r="K489" s="18" t="s">
        <v>142</v>
      </c>
      <c r="L489" s="19">
        <v>56920</v>
      </c>
    </row>
    <row r="490" spans="1:12" x14ac:dyDescent="0.25">
      <c r="A490" s="18" t="s">
        <v>1499</v>
      </c>
      <c r="B490" s="28">
        <v>32.619999999999997</v>
      </c>
      <c r="C490" s="16" t="str">
        <f t="shared" si="45"/>
        <v>2009</v>
      </c>
      <c r="D490" t="str">
        <f t="shared" si="46"/>
        <v>18</v>
      </c>
      <c r="E490" s="21">
        <f t="shared" si="42"/>
        <v>39933</v>
      </c>
      <c r="F490" s="17" t="str">
        <f t="shared" si="43"/>
        <v>2009-04</v>
      </c>
      <c r="G490" s="25">
        <f t="shared" si="44"/>
        <v>32.066000000000003</v>
      </c>
      <c r="K490" s="18" t="s">
        <v>141</v>
      </c>
      <c r="L490" s="19">
        <v>58975</v>
      </c>
    </row>
    <row r="491" spans="1:12" x14ac:dyDescent="0.25">
      <c r="A491" s="18" t="s">
        <v>1498</v>
      </c>
      <c r="B491" s="28">
        <v>33.700000000000003</v>
      </c>
      <c r="C491" s="16" t="str">
        <f t="shared" si="45"/>
        <v>2009</v>
      </c>
      <c r="D491" t="str">
        <f t="shared" si="46"/>
        <v>19</v>
      </c>
      <c r="E491" s="21">
        <f t="shared" si="42"/>
        <v>39940</v>
      </c>
      <c r="F491" s="17" t="str">
        <f t="shared" si="43"/>
        <v>2009-05</v>
      </c>
      <c r="G491" s="25">
        <f t="shared" si="44"/>
        <v>35.1875</v>
      </c>
      <c r="K491" s="18" t="s">
        <v>140</v>
      </c>
      <c r="L491" s="19">
        <v>58503</v>
      </c>
    </row>
    <row r="492" spans="1:12" x14ac:dyDescent="0.25">
      <c r="A492" s="18" t="s">
        <v>1497</v>
      </c>
      <c r="B492" s="28">
        <v>34.159999999999997</v>
      </c>
      <c r="C492" s="16" t="str">
        <f t="shared" si="45"/>
        <v>2009</v>
      </c>
      <c r="D492" t="str">
        <f t="shared" si="46"/>
        <v>20</v>
      </c>
      <c r="E492" s="21">
        <f t="shared" si="42"/>
        <v>39947</v>
      </c>
      <c r="F492" s="17" t="str">
        <f t="shared" si="43"/>
        <v>2009-05</v>
      </c>
      <c r="G492" s="25">
        <f t="shared" si="44"/>
        <v>35.1875</v>
      </c>
      <c r="K492" s="18" t="s">
        <v>139</v>
      </c>
      <c r="L492" s="19">
        <v>61831</v>
      </c>
    </row>
    <row r="493" spans="1:12" x14ac:dyDescent="0.25">
      <c r="A493" s="18" t="s">
        <v>1496</v>
      </c>
      <c r="B493" s="28">
        <v>37.340000000000003</v>
      </c>
      <c r="C493" s="16" t="str">
        <f t="shared" si="45"/>
        <v>2009</v>
      </c>
      <c r="D493" t="str">
        <f t="shared" si="46"/>
        <v>21</v>
      </c>
      <c r="E493" s="21">
        <f t="shared" si="42"/>
        <v>39954</v>
      </c>
      <c r="F493" s="17" t="str">
        <f t="shared" si="43"/>
        <v>2009-05</v>
      </c>
      <c r="G493" s="25">
        <f t="shared" si="44"/>
        <v>35.1875</v>
      </c>
      <c r="K493" s="18" t="s">
        <v>138</v>
      </c>
      <c r="L493" s="19">
        <v>71986</v>
      </c>
    </row>
    <row r="494" spans="1:12" x14ac:dyDescent="0.25">
      <c r="A494" s="18" t="s">
        <v>1495</v>
      </c>
      <c r="B494" s="28">
        <v>35.549999999999997</v>
      </c>
      <c r="C494" s="16" t="str">
        <f t="shared" si="45"/>
        <v>2009</v>
      </c>
      <c r="D494" t="str">
        <f t="shared" si="46"/>
        <v>22</v>
      </c>
      <c r="E494" s="21">
        <f t="shared" si="42"/>
        <v>39961</v>
      </c>
      <c r="F494" s="17" t="str">
        <f t="shared" si="43"/>
        <v>2009-05</v>
      </c>
      <c r="G494" s="25">
        <f t="shared" si="44"/>
        <v>35.1875</v>
      </c>
      <c r="K494" s="18" t="s">
        <v>137</v>
      </c>
      <c r="L494" s="19">
        <v>70126</v>
      </c>
    </row>
    <row r="495" spans="1:12" x14ac:dyDescent="0.25">
      <c r="A495" s="18" t="s">
        <v>1494</v>
      </c>
      <c r="B495" s="28">
        <v>33.15</v>
      </c>
      <c r="C495" s="16" t="str">
        <f t="shared" si="45"/>
        <v>2009</v>
      </c>
      <c r="D495" t="str">
        <f t="shared" si="46"/>
        <v>23</v>
      </c>
      <c r="E495" s="21">
        <f t="shared" si="42"/>
        <v>39968</v>
      </c>
      <c r="F495" s="17" t="str">
        <f t="shared" si="43"/>
        <v>2009-06</v>
      </c>
      <c r="G495" s="25">
        <f t="shared" si="44"/>
        <v>35.167499999999997</v>
      </c>
      <c r="K495" s="18" t="s">
        <v>136</v>
      </c>
      <c r="L495" s="19">
        <v>78372</v>
      </c>
    </row>
    <row r="496" spans="1:12" x14ac:dyDescent="0.25">
      <c r="A496" s="18" t="s">
        <v>1493</v>
      </c>
      <c r="B496" s="28">
        <v>35.03</v>
      </c>
      <c r="C496" s="16" t="str">
        <f t="shared" si="45"/>
        <v>2009</v>
      </c>
      <c r="D496" t="str">
        <f t="shared" si="46"/>
        <v>24</v>
      </c>
      <c r="E496" s="21">
        <f t="shared" si="42"/>
        <v>39975</v>
      </c>
      <c r="F496" s="17" t="str">
        <f t="shared" si="43"/>
        <v>2009-06</v>
      </c>
      <c r="G496" s="25">
        <f t="shared" si="44"/>
        <v>35.167499999999997</v>
      </c>
      <c r="K496" s="18" t="s">
        <v>135</v>
      </c>
      <c r="L496" s="19">
        <v>84092</v>
      </c>
    </row>
    <row r="497" spans="1:12" x14ac:dyDescent="0.25">
      <c r="A497" s="18" t="s">
        <v>1492</v>
      </c>
      <c r="B497" s="28">
        <v>36.76</v>
      </c>
      <c r="C497" s="16" t="str">
        <f t="shared" si="45"/>
        <v>2009</v>
      </c>
      <c r="D497" t="str">
        <f t="shared" si="46"/>
        <v>25</v>
      </c>
      <c r="E497" s="21">
        <f t="shared" si="42"/>
        <v>39982</v>
      </c>
      <c r="F497" s="17" t="str">
        <f t="shared" si="43"/>
        <v>2009-06</v>
      </c>
      <c r="G497" s="25">
        <f t="shared" si="44"/>
        <v>35.167499999999997</v>
      </c>
      <c r="K497" s="18" t="s">
        <v>134</v>
      </c>
      <c r="L497" s="19">
        <v>79762</v>
      </c>
    </row>
    <row r="498" spans="1:12" x14ac:dyDescent="0.25">
      <c r="A498" s="18" t="s">
        <v>1491</v>
      </c>
      <c r="B498" s="28">
        <v>35.729999999999997</v>
      </c>
      <c r="C498" s="16" t="str">
        <f t="shared" si="45"/>
        <v>2009</v>
      </c>
      <c r="D498" t="str">
        <f t="shared" si="46"/>
        <v>26</v>
      </c>
      <c r="E498" s="21">
        <f t="shared" si="42"/>
        <v>39989</v>
      </c>
      <c r="F498" s="17" t="str">
        <f t="shared" si="43"/>
        <v>2009-06</v>
      </c>
      <c r="G498" s="25">
        <f t="shared" si="44"/>
        <v>35.167499999999997</v>
      </c>
      <c r="K498" s="18" t="s">
        <v>133</v>
      </c>
      <c r="L498" s="19">
        <v>94603</v>
      </c>
    </row>
    <row r="499" spans="1:12" x14ac:dyDescent="0.25">
      <c r="A499" s="18" t="s">
        <v>1490</v>
      </c>
      <c r="B499" s="28">
        <v>36.1</v>
      </c>
      <c r="C499" s="16" t="str">
        <f t="shared" si="45"/>
        <v>2009</v>
      </c>
      <c r="D499" t="str">
        <f t="shared" si="46"/>
        <v>27</v>
      </c>
      <c r="E499" s="21">
        <f t="shared" si="42"/>
        <v>39996</v>
      </c>
      <c r="F499" s="17" t="str">
        <f t="shared" si="43"/>
        <v>2009-07</v>
      </c>
      <c r="G499" s="25">
        <f t="shared" si="44"/>
        <v>36.658000000000001</v>
      </c>
      <c r="K499" s="18" t="s">
        <v>132</v>
      </c>
      <c r="L499" s="19">
        <v>85400</v>
      </c>
    </row>
    <row r="500" spans="1:12" x14ac:dyDescent="0.25">
      <c r="A500" s="18" t="s">
        <v>1489</v>
      </c>
      <c r="B500" s="28">
        <v>36.65</v>
      </c>
      <c r="C500" s="16" t="str">
        <f t="shared" si="45"/>
        <v>2009</v>
      </c>
      <c r="D500" t="str">
        <f t="shared" si="46"/>
        <v>28</v>
      </c>
      <c r="E500" s="21">
        <f t="shared" si="42"/>
        <v>40003</v>
      </c>
      <c r="F500" s="17" t="str">
        <f t="shared" si="43"/>
        <v>2009-07</v>
      </c>
      <c r="G500" s="25">
        <f t="shared" si="44"/>
        <v>36.658000000000001</v>
      </c>
      <c r="K500" s="18" t="s">
        <v>131</v>
      </c>
      <c r="L500" s="19">
        <v>90824</v>
      </c>
    </row>
    <row r="501" spans="1:12" x14ac:dyDescent="0.25">
      <c r="A501" s="18" t="s">
        <v>1488</v>
      </c>
      <c r="B501" s="28">
        <v>38.36</v>
      </c>
      <c r="C501" s="16" t="str">
        <f t="shared" si="45"/>
        <v>2009</v>
      </c>
      <c r="D501" t="str">
        <f t="shared" si="46"/>
        <v>29</v>
      </c>
      <c r="E501" s="21">
        <f t="shared" si="42"/>
        <v>40010</v>
      </c>
      <c r="F501" s="17" t="str">
        <f t="shared" si="43"/>
        <v>2009-07</v>
      </c>
      <c r="G501" s="25">
        <f t="shared" si="44"/>
        <v>36.658000000000001</v>
      </c>
      <c r="K501" s="18" t="s">
        <v>130</v>
      </c>
      <c r="L501" s="19">
        <v>100083</v>
      </c>
    </row>
    <row r="502" spans="1:12" x14ac:dyDescent="0.25">
      <c r="A502" s="18" t="s">
        <v>1487</v>
      </c>
      <c r="B502" s="28">
        <v>37.97</v>
      </c>
      <c r="C502" s="16" t="str">
        <f t="shared" si="45"/>
        <v>2009</v>
      </c>
      <c r="D502" t="str">
        <f t="shared" si="46"/>
        <v>30</v>
      </c>
      <c r="E502" s="21">
        <f t="shared" si="42"/>
        <v>40017</v>
      </c>
      <c r="F502" s="17" t="str">
        <f t="shared" si="43"/>
        <v>2009-07</v>
      </c>
      <c r="G502" s="25">
        <f t="shared" si="44"/>
        <v>36.658000000000001</v>
      </c>
      <c r="K502" s="18" t="s">
        <v>129</v>
      </c>
      <c r="L502" s="19">
        <v>113955</v>
      </c>
    </row>
    <row r="503" spans="1:12" x14ac:dyDescent="0.25">
      <c r="A503" s="18" t="s">
        <v>1486</v>
      </c>
      <c r="B503" s="28">
        <v>34.21</v>
      </c>
      <c r="C503" s="16" t="str">
        <f t="shared" si="45"/>
        <v>2009</v>
      </c>
      <c r="D503" t="str">
        <f t="shared" si="46"/>
        <v>31</v>
      </c>
      <c r="E503" s="21">
        <f t="shared" si="42"/>
        <v>40024</v>
      </c>
      <c r="F503" s="17" t="str">
        <f t="shared" si="43"/>
        <v>2009-07</v>
      </c>
      <c r="G503" s="25">
        <f t="shared" si="44"/>
        <v>36.658000000000001</v>
      </c>
      <c r="K503" s="18" t="s">
        <v>128</v>
      </c>
      <c r="L503" s="19">
        <v>124303</v>
      </c>
    </row>
    <row r="504" spans="1:12" x14ac:dyDescent="0.25">
      <c r="A504" s="18" t="s">
        <v>1485</v>
      </c>
      <c r="B504" s="28">
        <v>31.32</v>
      </c>
      <c r="C504" s="16" t="str">
        <f t="shared" si="45"/>
        <v>2009</v>
      </c>
      <c r="D504" t="str">
        <f t="shared" si="46"/>
        <v>32</v>
      </c>
      <c r="E504" s="21">
        <f t="shared" si="42"/>
        <v>40031</v>
      </c>
      <c r="F504" s="17" t="str">
        <f t="shared" si="43"/>
        <v>2009-08</v>
      </c>
      <c r="G504" s="25">
        <f t="shared" si="44"/>
        <v>30.295000000000002</v>
      </c>
      <c r="K504" s="18" t="s">
        <v>127</v>
      </c>
      <c r="L504" s="19">
        <v>140098</v>
      </c>
    </row>
    <row r="505" spans="1:12" x14ac:dyDescent="0.25">
      <c r="A505" s="18" t="s">
        <v>1484</v>
      </c>
      <c r="B505" s="28">
        <v>30.44</v>
      </c>
      <c r="C505" s="16" t="str">
        <f t="shared" si="45"/>
        <v>2009</v>
      </c>
      <c r="D505" t="str">
        <f t="shared" si="46"/>
        <v>33</v>
      </c>
      <c r="E505" s="21">
        <f t="shared" si="42"/>
        <v>40038</v>
      </c>
      <c r="F505" s="17" t="str">
        <f t="shared" si="43"/>
        <v>2009-08</v>
      </c>
      <c r="G505" s="25">
        <f t="shared" si="44"/>
        <v>30.295000000000002</v>
      </c>
      <c r="K505" s="18" t="s">
        <v>126</v>
      </c>
      <c r="L505" s="19">
        <v>178636</v>
      </c>
    </row>
    <row r="506" spans="1:12" x14ac:dyDescent="0.25">
      <c r="A506" s="18" t="s">
        <v>1483</v>
      </c>
      <c r="B506" s="28">
        <v>30.32</v>
      </c>
      <c r="C506" s="16" t="str">
        <f t="shared" si="45"/>
        <v>2009</v>
      </c>
      <c r="D506" t="str">
        <f t="shared" si="46"/>
        <v>34</v>
      </c>
      <c r="E506" s="21">
        <f t="shared" si="42"/>
        <v>40045</v>
      </c>
      <c r="F506" s="17" t="str">
        <f t="shared" si="43"/>
        <v>2009-08</v>
      </c>
      <c r="G506" s="25">
        <f t="shared" si="44"/>
        <v>30.295000000000002</v>
      </c>
      <c r="K506" s="18" t="s">
        <v>125</v>
      </c>
      <c r="L506" s="19">
        <v>176646</v>
      </c>
    </row>
    <row r="507" spans="1:12" x14ac:dyDescent="0.25">
      <c r="A507" s="18" t="s">
        <v>1482</v>
      </c>
      <c r="B507" s="28">
        <v>29.1</v>
      </c>
      <c r="C507" s="16" t="str">
        <f t="shared" si="45"/>
        <v>2009</v>
      </c>
      <c r="D507" t="str">
        <f t="shared" si="46"/>
        <v>35</v>
      </c>
      <c r="E507" s="21">
        <f t="shared" si="42"/>
        <v>40052</v>
      </c>
      <c r="F507" s="17" t="str">
        <f t="shared" si="43"/>
        <v>2009-08</v>
      </c>
      <c r="G507" s="25">
        <f t="shared" si="44"/>
        <v>30.295000000000002</v>
      </c>
      <c r="K507" s="18" t="s">
        <v>124</v>
      </c>
      <c r="L507" s="19">
        <v>224657</v>
      </c>
    </row>
    <row r="508" spans="1:12" x14ac:dyDescent="0.25">
      <c r="A508" s="18" t="s">
        <v>1481</v>
      </c>
      <c r="B508" s="28">
        <v>29.83</v>
      </c>
      <c r="C508" s="16" t="str">
        <f t="shared" si="45"/>
        <v>2009</v>
      </c>
      <c r="D508" t="str">
        <f t="shared" si="46"/>
        <v>36</v>
      </c>
      <c r="E508" s="21">
        <f t="shared" si="42"/>
        <v>40059</v>
      </c>
      <c r="F508" s="17" t="str">
        <f t="shared" si="43"/>
        <v>2009-09</v>
      </c>
      <c r="G508" s="25">
        <f t="shared" si="44"/>
        <v>29.702500000000001</v>
      </c>
      <c r="K508" s="18" t="s">
        <v>123</v>
      </c>
      <c r="L508" s="19">
        <v>177721</v>
      </c>
    </row>
    <row r="509" spans="1:12" x14ac:dyDescent="0.25">
      <c r="A509" s="18" t="s">
        <v>1480</v>
      </c>
      <c r="B509" s="28">
        <v>30.91</v>
      </c>
      <c r="C509" s="16" t="str">
        <f t="shared" si="45"/>
        <v>2009</v>
      </c>
      <c r="D509" t="str">
        <f t="shared" si="46"/>
        <v>37</v>
      </c>
      <c r="E509" s="21">
        <f t="shared" si="42"/>
        <v>40066</v>
      </c>
      <c r="F509" s="17" t="str">
        <f t="shared" si="43"/>
        <v>2009-09</v>
      </c>
      <c r="G509" s="25">
        <f t="shared" si="44"/>
        <v>29.702500000000001</v>
      </c>
      <c r="K509" s="18" t="s">
        <v>122</v>
      </c>
      <c r="L509" s="19">
        <v>173061</v>
      </c>
    </row>
    <row r="510" spans="1:12" x14ac:dyDescent="0.25">
      <c r="A510" s="18" t="s">
        <v>1479</v>
      </c>
      <c r="B510" s="28">
        <v>29.76</v>
      </c>
      <c r="C510" s="16" t="str">
        <f t="shared" si="45"/>
        <v>2009</v>
      </c>
      <c r="D510" t="str">
        <f t="shared" si="46"/>
        <v>38</v>
      </c>
      <c r="E510" s="21">
        <f t="shared" si="42"/>
        <v>40073</v>
      </c>
      <c r="F510" s="17" t="str">
        <f t="shared" si="43"/>
        <v>2009-09</v>
      </c>
      <c r="G510" s="25">
        <f t="shared" si="44"/>
        <v>29.702500000000001</v>
      </c>
      <c r="K510" s="18" t="s">
        <v>121</v>
      </c>
      <c r="L510" s="19">
        <v>251761</v>
      </c>
    </row>
    <row r="511" spans="1:12" x14ac:dyDescent="0.25">
      <c r="A511" s="18" t="s">
        <v>1478</v>
      </c>
      <c r="B511" s="28">
        <v>28.31</v>
      </c>
      <c r="C511" s="16" t="str">
        <f t="shared" si="45"/>
        <v>2009</v>
      </c>
      <c r="D511" t="str">
        <f t="shared" si="46"/>
        <v>39</v>
      </c>
      <c r="E511" s="21">
        <f t="shared" si="42"/>
        <v>40080</v>
      </c>
      <c r="F511" s="17" t="str">
        <f t="shared" si="43"/>
        <v>2009-09</v>
      </c>
      <c r="G511" s="25">
        <f t="shared" si="44"/>
        <v>29.702500000000001</v>
      </c>
      <c r="K511" s="18" t="s">
        <v>120</v>
      </c>
      <c r="L511" s="19">
        <v>188135</v>
      </c>
    </row>
    <row r="512" spans="1:12" x14ac:dyDescent="0.25">
      <c r="A512" s="18" t="s">
        <v>1477</v>
      </c>
      <c r="B512" s="28">
        <v>28.47</v>
      </c>
      <c r="C512" s="16" t="str">
        <f t="shared" si="45"/>
        <v>2009</v>
      </c>
      <c r="D512" t="str">
        <f t="shared" si="46"/>
        <v>40</v>
      </c>
      <c r="E512" s="21">
        <f t="shared" si="42"/>
        <v>40087</v>
      </c>
      <c r="F512" s="17" t="str">
        <f t="shared" si="43"/>
        <v>2009-10</v>
      </c>
      <c r="G512" s="25">
        <f t="shared" si="44"/>
        <v>27.351999999999997</v>
      </c>
      <c r="K512" s="18" t="s">
        <v>119</v>
      </c>
      <c r="L512" s="19">
        <v>198241</v>
      </c>
    </row>
    <row r="513" spans="1:12" x14ac:dyDescent="0.25">
      <c r="A513" s="18" t="s">
        <v>1476</v>
      </c>
      <c r="B513" s="28">
        <v>27.9</v>
      </c>
      <c r="C513" s="16" t="str">
        <f t="shared" si="45"/>
        <v>2009</v>
      </c>
      <c r="D513" t="str">
        <f t="shared" si="46"/>
        <v>41</v>
      </c>
      <c r="E513" s="21">
        <f t="shared" si="42"/>
        <v>40094</v>
      </c>
      <c r="F513" s="17" t="str">
        <f t="shared" si="43"/>
        <v>2009-10</v>
      </c>
      <c r="G513" s="25">
        <f t="shared" si="44"/>
        <v>27.351999999999997</v>
      </c>
      <c r="K513" s="18" t="s">
        <v>118</v>
      </c>
      <c r="L513" s="19">
        <v>202339</v>
      </c>
    </row>
    <row r="514" spans="1:12" x14ac:dyDescent="0.25">
      <c r="A514" s="18" t="s">
        <v>1475</v>
      </c>
      <c r="B514" s="28">
        <v>26.81</v>
      </c>
      <c r="C514" s="16" t="str">
        <f t="shared" si="45"/>
        <v>2009</v>
      </c>
      <c r="D514" t="str">
        <f t="shared" si="46"/>
        <v>42</v>
      </c>
      <c r="E514" s="21">
        <f t="shared" si="42"/>
        <v>40101</v>
      </c>
      <c r="F514" s="17" t="str">
        <f t="shared" si="43"/>
        <v>2009-10</v>
      </c>
      <c r="G514" s="25">
        <f t="shared" si="44"/>
        <v>27.351999999999997</v>
      </c>
      <c r="K514" s="18" t="s">
        <v>117</v>
      </c>
      <c r="L514" s="19">
        <v>261120</v>
      </c>
    </row>
    <row r="515" spans="1:12" x14ac:dyDescent="0.25">
      <c r="A515" s="18" t="s">
        <v>1474</v>
      </c>
      <c r="B515" s="28">
        <v>26.07</v>
      </c>
      <c r="C515" s="16" t="str">
        <f t="shared" si="45"/>
        <v>2009</v>
      </c>
      <c r="D515" t="str">
        <f t="shared" si="46"/>
        <v>43</v>
      </c>
      <c r="E515" s="21">
        <f t="shared" si="42"/>
        <v>40108</v>
      </c>
      <c r="F515" s="17" t="str">
        <f t="shared" si="43"/>
        <v>2009-10</v>
      </c>
      <c r="G515" s="25">
        <f t="shared" si="44"/>
        <v>27.351999999999997</v>
      </c>
      <c r="K515" s="18" t="s">
        <v>116</v>
      </c>
      <c r="L515" s="19">
        <v>320341</v>
      </c>
    </row>
    <row r="516" spans="1:12" x14ac:dyDescent="0.25">
      <c r="A516" s="18" t="s">
        <v>1473</v>
      </c>
      <c r="B516" s="28">
        <v>27.51</v>
      </c>
      <c r="C516" s="16" t="str">
        <f t="shared" si="45"/>
        <v>2009</v>
      </c>
      <c r="D516" t="str">
        <f t="shared" si="46"/>
        <v>44</v>
      </c>
      <c r="E516" s="21">
        <f t="shared" si="42"/>
        <v>40115</v>
      </c>
      <c r="F516" s="17" t="str">
        <f t="shared" si="43"/>
        <v>2009-10</v>
      </c>
      <c r="G516" s="25">
        <f t="shared" si="44"/>
        <v>27.351999999999997</v>
      </c>
      <c r="K516" s="18" t="s">
        <v>115</v>
      </c>
      <c r="L516" s="19">
        <v>252529</v>
      </c>
    </row>
    <row r="517" spans="1:12" x14ac:dyDescent="0.25">
      <c r="A517" s="18" t="s">
        <v>1472</v>
      </c>
      <c r="B517" s="28">
        <v>27.72</v>
      </c>
      <c r="C517" s="16" t="str">
        <f t="shared" si="45"/>
        <v>2009</v>
      </c>
      <c r="D517" t="str">
        <f t="shared" si="46"/>
        <v>45</v>
      </c>
      <c r="E517" s="21">
        <f t="shared" ref="E517:E580" si="47">DATE(C517,1,1)+(D517-1)*7</f>
        <v>40122</v>
      </c>
      <c r="F517" s="17" t="str">
        <f t="shared" ref="F517:F580" si="48">TEXT(E517,"éééé-hh")</f>
        <v>2009-11</v>
      </c>
      <c r="G517" s="25">
        <f t="shared" ref="G517:G580" si="49">AVERAGEIF($F$4:$F$1353,F517,$B$4:$B$1353)</f>
        <v>28.247499999999999</v>
      </c>
      <c r="K517" s="18" t="s">
        <v>114</v>
      </c>
      <c r="L517" s="19">
        <v>191473</v>
      </c>
    </row>
    <row r="518" spans="1:12" x14ac:dyDescent="0.25">
      <c r="A518" s="18" t="s">
        <v>1471</v>
      </c>
      <c r="B518" s="28">
        <v>28.52</v>
      </c>
      <c r="C518" s="16" t="str">
        <f t="shared" si="45"/>
        <v>2009</v>
      </c>
      <c r="D518" t="str">
        <f t="shared" si="46"/>
        <v>46</v>
      </c>
      <c r="E518" s="21">
        <f t="shared" si="47"/>
        <v>40129</v>
      </c>
      <c r="F518" s="17" t="str">
        <f t="shared" si="48"/>
        <v>2009-11</v>
      </c>
      <c r="G518" s="25">
        <f t="shared" si="49"/>
        <v>28.247499999999999</v>
      </c>
      <c r="K518" s="18" t="s">
        <v>113</v>
      </c>
      <c r="L518" s="19">
        <v>199112</v>
      </c>
    </row>
    <row r="519" spans="1:12" x14ac:dyDescent="0.25">
      <c r="A519" s="18" t="s">
        <v>1470</v>
      </c>
      <c r="B519" s="28">
        <v>28.2</v>
      </c>
      <c r="C519" s="16" t="str">
        <f t="shared" si="45"/>
        <v>2009</v>
      </c>
      <c r="D519" t="str">
        <f t="shared" si="46"/>
        <v>47</v>
      </c>
      <c r="E519" s="21">
        <f t="shared" si="47"/>
        <v>40136</v>
      </c>
      <c r="F519" s="17" t="str">
        <f t="shared" si="48"/>
        <v>2009-11</v>
      </c>
      <c r="G519" s="25">
        <f t="shared" si="49"/>
        <v>28.247499999999999</v>
      </c>
      <c r="K519" s="18" t="s">
        <v>112</v>
      </c>
      <c r="L519" s="19">
        <v>246794</v>
      </c>
    </row>
    <row r="520" spans="1:12" x14ac:dyDescent="0.25">
      <c r="A520" s="18" t="s">
        <v>1469</v>
      </c>
      <c r="B520" s="28">
        <v>28.55</v>
      </c>
      <c r="C520" s="16" t="str">
        <f t="shared" si="45"/>
        <v>2009</v>
      </c>
      <c r="D520" t="str">
        <f t="shared" si="46"/>
        <v>48</v>
      </c>
      <c r="E520" s="21">
        <f t="shared" si="47"/>
        <v>40143</v>
      </c>
      <c r="F520" s="17" t="str">
        <f t="shared" si="48"/>
        <v>2009-11</v>
      </c>
      <c r="G520" s="25">
        <f t="shared" si="49"/>
        <v>28.247499999999999</v>
      </c>
      <c r="K520" s="18" t="s">
        <v>111</v>
      </c>
      <c r="L520" s="19">
        <v>183886</v>
      </c>
    </row>
    <row r="521" spans="1:12" x14ac:dyDescent="0.25">
      <c r="A521" s="18" t="s">
        <v>1468</v>
      </c>
      <c r="B521" s="28">
        <v>27.69</v>
      </c>
      <c r="C521" s="16" t="str">
        <f t="shared" si="45"/>
        <v>2009</v>
      </c>
      <c r="D521" t="str">
        <f t="shared" si="46"/>
        <v>49</v>
      </c>
      <c r="E521" s="21">
        <f t="shared" si="47"/>
        <v>40150</v>
      </c>
      <c r="F521" s="17" t="str">
        <f t="shared" si="48"/>
        <v>2009-12</v>
      </c>
      <c r="G521" s="25">
        <f t="shared" si="49"/>
        <v>29.336000000000002</v>
      </c>
      <c r="K521" s="18" t="s">
        <v>110</v>
      </c>
      <c r="L521" s="19">
        <v>164885</v>
      </c>
    </row>
    <row r="522" spans="1:12" x14ac:dyDescent="0.25">
      <c r="A522" s="18" t="s">
        <v>1467</v>
      </c>
      <c r="B522" s="28">
        <v>28.48</v>
      </c>
      <c r="C522" s="16" t="str">
        <f t="shared" si="45"/>
        <v>2009</v>
      </c>
      <c r="D522" t="str">
        <f t="shared" si="46"/>
        <v>50</v>
      </c>
      <c r="E522" s="21">
        <f t="shared" si="47"/>
        <v>40157</v>
      </c>
      <c r="F522" s="17" t="str">
        <f t="shared" si="48"/>
        <v>2009-12</v>
      </c>
      <c r="G522" s="25">
        <f t="shared" si="49"/>
        <v>29.336000000000002</v>
      </c>
      <c r="K522" s="18" t="s">
        <v>109</v>
      </c>
      <c r="L522" s="19">
        <v>178621</v>
      </c>
    </row>
    <row r="523" spans="1:12" x14ac:dyDescent="0.25">
      <c r="A523" s="18" t="s">
        <v>1466</v>
      </c>
      <c r="B523" s="28">
        <v>28.95</v>
      </c>
      <c r="C523" s="16" t="str">
        <f t="shared" si="45"/>
        <v>2009</v>
      </c>
      <c r="D523" t="str">
        <f t="shared" si="46"/>
        <v>51</v>
      </c>
      <c r="E523" s="21">
        <f t="shared" si="47"/>
        <v>40164</v>
      </c>
      <c r="F523" s="17" t="str">
        <f t="shared" si="48"/>
        <v>2009-12</v>
      </c>
      <c r="G523" s="25">
        <f t="shared" si="49"/>
        <v>29.336000000000002</v>
      </c>
      <c r="K523" s="18" t="s">
        <v>108</v>
      </c>
      <c r="L523" s="19">
        <v>159075</v>
      </c>
    </row>
    <row r="524" spans="1:12" x14ac:dyDescent="0.25">
      <c r="A524" s="18" t="s">
        <v>1465</v>
      </c>
      <c r="B524" s="28">
        <v>30.68</v>
      </c>
      <c r="C524" s="16" t="str">
        <f t="shared" si="45"/>
        <v>2009</v>
      </c>
      <c r="D524" t="str">
        <f t="shared" si="46"/>
        <v>52</v>
      </c>
      <c r="E524" s="21">
        <f t="shared" si="47"/>
        <v>40171</v>
      </c>
      <c r="F524" s="17" t="str">
        <f t="shared" si="48"/>
        <v>2009-12</v>
      </c>
      <c r="G524" s="25">
        <f t="shared" si="49"/>
        <v>29.336000000000002</v>
      </c>
      <c r="K524" s="18" t="s">
        <v>107</v>
      </c>
      <c r="L524" s="19">
        <v>139552</v>
      </c>
    </row>
    <row r="525" spans="1:12" x14ac:dyDescent="0.25">
      <c r="A525" s="18" t="s">
        <v>1464</v>
      </c>
      <c r="B525" s="28">
        <v>30.88</v>
      </c>
      <c r="C525" s="16" t="str">
        <f t="shared" si="45"/>
        <v>2009</v>
      </c>
      <c r="D525" t="str">
        <f t="shared" si="46"/>
        <v>53</v>
      </c>
      <c r="E525" s="21">
        <f t="shared" si="47"/>
        <v>40178</v>
      </c>
      <c r="F525" s="17" t="str">
        <f t="shared" si="48"/>
        <v>2009-12</v>
      </c>
      <c r="G525" s="25">
        <f t="shared" si="49"/>
        <v>29.336000000000002</v>
      </c>
      <c r="K525" s="18" t="s">
        <v>106</v>
      </c>
      <c r="L525" s="19">
        <v>139554</v>
      </c>
    </row>
    <row r="526" spans="1:12" x14ac:dyDescent="0.25">
      <c r="A526" s="18" t="s">
        <v>1463</v>
      </c>
      <c r="B526" s="28">
        <v>29.82</v>
      </c>
      <c r="C526" s="16" t="str">
        <f t="shared" si="45"/>
        <v>2010</v>
      </c>
      <c r="D526" t="str">
        <f t="shared" si="46"/>
        <v>01</v>
      </c>
      <c r="E526" s="21">
        <f t="shared" si="47"/>
        <v>40179</v>
      </c>
      <c r="F526" s="17" t="str">
        <f t="shared" si="48"/>
        <v>2010-01</v>
      </c>
      <c r="G526" s="25">
        <f t="shared" si="49"/>
        <v>29.687999999999999</v>
      </c>
      <c r="K526" s="18" t="s">
        <v>105</v>
      </c>
      <c r="L526" s="19">
        <v>140893</v>
      </c>
    </row>
    <row r="527" spans="1:12" x14ac:dyDescent="0.25">
      <c r="A527" s="18" t="s">
        <v>1462</v>
      </c>
      <c r="B527" s="28">
        <v>28.17</v>
      </c>
      <c r="C527" s="16" t="str">
        <f t="shared" si="45"/>
        <v>2010</v>
      </c>
      <c r="D527" t="str">
        <f t="shared" si="46"/>
        <v>02</v>
      </c>
      <c r="E527" s="21">
        <f t="shared" si="47"/>
        <v>40186</v>
      </c>
      <c r="F527" s="17" t="str">
        <f t="shared" si="48"/>
        <v>2010-01</v>
      </c>
      <c r="G527" s="25">
        <f t="shared" si="49"/>
        <v>29.687999999999999</v>
      </c>
      <c r="K527" s="18" t="s">
        <v>104</v>
      </c>
      <c r="L527" s="19">
        <v>144322</v>
      </c>
    </row>
    <row r="528" spans="1:12" x14ac:dyDescent="0.25">
      <c r="A528" s="18" t="s">
        <v>1461</v>
      </c>
      <c r="B528" s="28">
        <v>28.92</v>
      </c>
      <c r="C528" s="16" t="str">
        <f t="shared" si="45"/>
        <v>2010</v>
      </c>
      <c r="D528" t="str">
        <f t="shared" si="46"/>
        <v>03</v>
      </c>
      <c r="E528" s="21">
        <f t="shared" si="47"/>
        <v>40193</v>
      </c>
      <c r="F528" s="17" t="str">
        <f t="shared" si="48"/>
        <v>2010-01</v>
      </c>
      <c r="G528" s="25">
        <f t="shared" si="49"/>
        <v>29.687999999999999</v>
      </c>
      <c r="K528" s="18" t="s">
        <v>103</v>
      </c>
      <c r="L528" s="19">
        <v>135722</v>
      </c>
    </row>
    <row r="529" spans="1:12" x14ac:dyDescent="0.25">
      <c r="A529" s="18" t="s">
        <v>1460</v>
      </c>
      <c r="B529" s="28">
        <v>29.69</v>
      </c>
      <c r="C529" s="16" t="str">
        <f t="shared" si="45"/>
        <v>2010</v>
      </c>
      <c r="D529" t="str">
        <f t="shared" si="46"/>
        <v>04</v>
      </c>
      <c r="E529" s="21">
        <f t="shared" si="47"/>
        <v>40200</v>
      </c>
      <c r="F529" s="17" t="str">
        <f t="shared" si="48"/>
        <v>2010-01</v>
      </c>
      <c r="G529" s="25">
        <f t="shared" si="49"/>
        <v>29.687999999999999</v>
      </c>
      <c r="K529" s="18" t="s">
        <v>102</v>
      </c>
      <c r="L529" s="19">
        <v>173408</v>
      </c>
    </row>
    <row r="530" spans="1:12" x14ac:dyDescent="0.25">
      <c r="A530" s="18" t="s">
        <v>1459</v>
      </c>
      <c r="B530" s="28">
        <v>31.84</v>
      </c>
      <c r="C530" s="16" t="str">
        <f t="shared" si="45"/>
        <v>2010</v>
      </c>
      <c r="D530" t="str">
        <f t="shared" si="46"/>
        <v>05</v>
      </c>
      <c r="E530" s="21">
        <f t="shared" si="47"/>
        <v>40207</v>
      </c>
      <c r="F530" s="17" t="str">
        <f t="shared" si="48"/>
        <v>2010-01</v>
      </c>
      <c r="G530" s="25">
        <f t="shared" si="49"/>
        <v>29.687999999999999</v>
      </c>
      <c r="K530" s="18" t="s">
        <v>101</v>
      </c>
      <c r="L530" s="19">
        <v>167383</v>
      </c>
    </row>
    <row r="531" spans="1:12" x14ac:dyDescent="0.25">
      <c r="A531" s="18" t="s">
        <v>1458</v>
      </c>
      <c r="B531" s="28">
        <v>34.229999999999997</v>
      </c>
      <c r="C531" s="16" t="str">
        <f t="shared" si="45"/>
        <v>2010</v>
      </c>
      <c r="D531" t="str">
        <f t="shared" si="46"/>
        <v>06</v>
      </c>
      <c r="E531" s="21">
        <f t="shared" si="47"/>
        <v>40214</v>
      </c>
      <c r="F531" s="17" t="str">
        <f t="shared" si="48"/>
        <v>2010-02</v>
      </c>
      <c r="G531" s="25">
        <f t="shared" si="49"/>
        <v>34.56</v>
      </c>
      <c r="K531" s="18" t="s">
        <v>100</v>
      </c>
      <c r="L531" s="19">
        <v>156087</v>
      </c>
    </row>
    <row r="532" spans="1:12" x14ac:dyDescent="0.25">
      <c r="A532" s="18" t="s">
        <v>1457</v>
      </c>
      <c r="B532" s="28">
        <v>34.880000000000003</v>
      </c>
      <c r="C532" s="16" t="str">
        <f t="shared" ref="C532:C595" si="50">LEFT(A532,4)</f>
        <v>2010</v>
      </c>
      <c r="D532" t="str">
        <f t="shared" ref="D532:D595" si="51">RIGHT(A532,2)</f>
        <v>07</v>
      </c>
      <c r="E532" s="21">
        <f t="shared" si="47"/>
        <v>40221</v>
      </c>
      <c r="F532" s="17" t="str">
        <f t="shared" si="48"/>
        <v>2010-02</v>
      </c>
      <c r="G532" s="25">
        <f t="shared" si="49"/>
        <v>34.56</v>
      </c>
      <c r="K532" s="18" t="s">
        <v>99</v>
      </c>
      <c r="L532" s="19">
        <v>148697</v>
      </c>
    </row>
    <row r="533" spans="1:12" x14ac:dyDescent="0.25">
      <c r="A533" s="18" t="s">
        <v>1456</v>
      </c>
      <c r="B533" s="28">
        <v>33.76</v>
      </c>
      <c r="C533" s="16" t="str">
        <f t="shared" si="50"/>
        <v>2010</v>
      </c>
      <c r="D533" t="str">
        <f t="shared" si="51"/>
        <v>08</v>
      </c>
      <c r="E533" s="21">
        <f t="shared" si="47"/>
        <v>40228</v>
      </c>
      <c r="F533" s="17" t="str">
        <f t="shared" si="48"/>
        <v>2010-02</v>
      </c>
      <c r="G533" s="25">
        <f t="shared" si="49"/>
        <v>34.56</v>
      </c>
      <c r="K533" s="18" t="s">
        <v>98</v>
      </c>
      <c r="L533" s="19">
        <v>131665</v>
      </c>
    </row>
    <row r="534" spans="1:12" x14ac:dyDescent="0.25">
      <c r="A534" s="18" t="s">
        <v>1455</v>
      </c>
      <c r="B534" s="28">
        <v>35.369999999999997</v>
      </c>
      <c r="C534" s="16" t="str">
        <f t="shared" si="50"/>
        <v>2010</v>
      </c>
      <c r="D534" t="str">
        <f t="shared" si="51"/>
        <v>09</v>
      </c>
      <c r="E534" s="21">
        <f t="shared" si="47"/>
        <v>40235</v>
      </c>
      <c r="F534" s="17" t="str">
        <f t="shared" si="48"/>
        <v>2010-02</v>
      </c>
      <c r="G534" s="25">
        <f t="shared" si="49"/>
        <v>34.56</v>
      </c>
      <c r="K534" s="18" t="s">
        <v>97</v>
      </c>
      <c r="L534" s="19">
        <v>144257</v>
      </c>
    </row>
    <row r="535" spans="1:12" x14ac:dyDescent="0.25">
      <c r="A535" s="18" t="s">
        <v>1454</v>
      </c>
      <c r="B535" s="28">
        <v>35.869999999999997</v>
      </c>
      <c r="C535" s="16" t="str">
        <f t="shared" si="50"/>
        <v>2010</v>
      </c>
      <c r="D535" t="str">
        <f t="shared" si="51"/>
        <v>10</v>
      </c>
      <c r="E535" s="21">
        <f t="shared" si="47"/>
        <v>40242</v>
      </c>
      <c r="F535" s="17" t="str">
        <f t="shared" si="48"/>
        <v>2010-03</v>
      </c>
      <c r="G535" s="25">
        <f t="shared" si="49"/>
        <v>36.524999999999999</v>
      </c>
      <c r="K535" s="18" t="s">
        <v>96</v>
      </c>
      <c r="L535" s="19">
        <v>157740</v>
      </c>
    </row>
    <row r="536" spans="1:12" x14ac:dyDescent="0.25">
      <c r="A536" s="18" t="s">
        <v>1453</v>
      </c>
      <c r="B536" s="28">
        <v>36.65</v>
      </c>
      <c r="C536" s="16" t="str">
        <f t="shared" si="50"/>
        <v>2010</v>
      </c>
      <c r="D536" t="str">
        <f t="shared" si="51"/>
        <v>11</v>
      </c>
      <c r="E536" s="21">
        <f t="shared" si="47"/>
        <v>40249</v>
      </c>
      <c r="F536" s="17" t="str">
        <f t="shared" si="48"/>
        <v>2010-03</v>
      </c>
      <c r="G536" s="25">
        <f t="shared" si="49"/>
        <v>36.524999999999999</v>
      </c>
      <c r="K536" s="18" t="s">
        <v>95</v>
      </c>
      <c r="L536" s="19">
        <v>149218</v>
      </c>
    </row>
    <row r="537" spans="1:12" x14ac:dyDescent="0.25">
      <c r="A537" s="18" t="s">
        <v>1452</v>
      </c>
      <c r="B537" s="28">
        <v>35.119999999999997</v>
      </c>
      <c r="C537" s="16" t="str">
        <f t="shared" si="50"/>
        <v>2010</v>
      </c>
      <c r="D537" t="str">
        <f t="shared" si="51"/>
        <v>12</v>
      </c>
      <c r="E537" s="21">
        <f t="shared" si="47"/>
        <v>40256</v>
      </c>
      <c r="F537" s="17" t="str">
        <f t="shared" si="48"/>
        <v>2010-03</v>
      </c>
      <c r="G537" s="25">
        <f t="shared" si="49"/>
        <v>36.524999999999999</v>
      </c>
      <c r="K537" s="18" t="s">
        <v>94</v>
      </c>
      <c r="L537" s="19">
        <v>154071</v>
      </c>
    </row>
    <row r="538" spans="1:12" x14ac:dyDescent="0.25">
      <c r="A538" s="18" t="s">
        <v>1451</v>
      </c>
      <c r="B538" s="28">
        <v>38.46</v>
      </c>
      <c r="C538" s="16" t="str">
        <f t="shared" si="50"/>
        <v>2010</v>
      </c>
      <c r="D538" t="str">
        <f t="shared" si="51"/>
        <v>13</v>
      </c>
      <c r="E538" s="21">
        <f t="shared" si="47"/>
        <v>40263</v>
      </c>
      <c r="F538" s="17" t="str">
        <f t="shared" si="48"/>
        <v>2010-03</v>
      </c>
      <c r="G538" s="25">
        <f t="shared" si="49"/>
        <v>36.524999999999999</v>
      </c>
      <c r="K538" s="18" t="s">
        <v>93</v>
      </c>
      <c r="L538" s="19">
        <v>146680</v>
      </c>
    </row>
    <row r="539" spans="1:12" x14ac:dyDescent="0.25">
      <c r="A539" s="18" t="s">
        <v>1450</v>
      </c>
      <c r="B539" s="28">
        <v>39.26</v>
      </c>
      <c r="C539" s="16" t="str">
        <f t="shared" si="50"/>
        <v>2010</v>
      </c>
      <c r="D539" t="str">
        <f t="shared" si="51"/>
        <v>14</v>
      </c>
      <c r="E539" s="21">
        <f t="shared" si="47"/>
        <v>40270</v>
      </c>
      <c r="F539" s="17" t="str">
        <f t="shared" si="48"/>
        <v>2010-04</v>
      </c>
      <c r="G539" s="25">
        <f t="shared" si="49"/>
        <v>38.853999999999999</v>
      </c>
      <c r="K539" s="18" t="s">
        <v>92</v>
      </c>
      <c r="L539" s="19">
        <v>151217</v>
      </c>
    </row>
    <row r="540" spans="1:12" x14ac:dyDescent="0.25">
      <c r="A540" s="18" t="s">
        <v>1449</v>
      </c>
      <c r="B540" s="28">
        <v>39.6</v>
      </c>
      <c r="C540" s="16" t="str">
        <f t="shared" si="50"/>
        <v>2010</v>
      </c>
      <c r="D540" t="str">
        <f t="shared" si="51"/>
        <v>15</v>
      </c>
      <c r="E540" s="21">
        <f t="shared" si="47"/>
        <v>40277</v>
      </c>
      <c r="F540" s="17" t="str">
        <f t="shared" si="48"/>
        <v>2010-04</v>
      </c>
      <c r="G540" s="25">
        <f t="shared" si="49"/>
        <v>38.853999999999999</v>
      </c>
      <c r="K540" s="18" t="s">
        <v>91</v>
      </c>
      <c r="L540" s="19">
        <v>131033</v>
      </c>
    </row>
    <row r="541" spans="1:12" x14ac:dyDescent="0.25">
      <c r="A541" s="18" t="s">
        <v>1448</v>
      </c>
      <c r="B541" s="28">
        <v>37.92</v>
      </c>
      <c r="C541" s="16" t="str">
        <f t="shared" si="50"/>
        <v>2010</v>
      </c>
      <c r="D541" t="str">
        <f t="shared" si="51"/>
        <v>16</v>
      </c>
      <c r="E541" s="21">
        <f t="shared" si="47"/>
        <v>40284</v>
      </c>
      <c r="F541" s="17" t="str">
        <f t="shared" si="48"/>
        <v>2010-04</v>
      </c>
      <c r="G541" s="25">
        <f t="shared" si="49"/>
        <v>38.853999999999999</v>
      </c>
      <c r="K541" s="18" t="s">
        <v>90</v>
      </c>
      <c r="L541" s="19">
        <v>160711</v>
      </c>
    </row>
    <row r="542" spans="1:12" x14ac:dyDescent="0.25">
      <c r="A542" s="18" t="s">
        <v>1447</v>
      </c>
      <c r="B542" s="28">
        <v>38.619999999999997</v>
      </c>
      <c r="C542" s="16" t="str">
        <f t="shared" si="50"/>
        <v>2010</v>
      </c>
      <c r="D542" t="str">
        <f t="shared" si="51"/>
        <v>17</v>
      </c>
      <c r="E542" s="21">
        <f t="shared" si="47"/>
        <v>40291</v>
      </c>
      <c r="F542" s="17" t="str">
        <f t="shared" si="48"/>
        <v>2010-04</v>
      </c>
      <c r="G542" s="25">
        <f t="shared" si="49"/>
        <v>38.853999999999999</v>
      </c>
      <c r="K542" s="18" t="s">
        <v>89</v>
      </c>
      <c r="L542" s="19">
        <v>164102</v>
      </c>
    </row>
    <row r="543" spans="1:12" x14ac:dyDescent="0.25">
      <c r="A543" s="18" t="s">
        <v>1446</v>
      </c>
      <c r="B543" s="28">
        <v>38.869999999999997</v>
      </c>
      <c r="C543" s="16" t="str">
        <f t="shared" si="50"/>
        <v>2010</v>
      </c>
      <c r="D543" t="str">
        <f t="shared" si="51"/>
        <v>18</v>
      </c>
      <c r="E543" s="21">
        <f t="shared" si="47"/>
        <v>40298</v>
      </c>
      <c r="F543" s="17" t="str">
        <f t="shared" si="48"/>
        <v>2010-04</v>
      </c>
      <c r="G543" s="25">
        <f t="shared" si="49"/>
        <v>38.853999999999999</v>
      </c>
      <c r="K543" s="18" t="s">
        <v>88</v>
      </c>
      <c r="L543" s="19">
        <v>168779</v>
      </c>
    </row>
    <row r="544" spans="1:12" x14ac:dyDescent="0.25">
      <c r="A544" s="18" t="s">
        <v>1445</v>
      </c>
      <c r="B544" s="28">
        <v>39.51</v>
      </c>
      <c r="C544" s="16" t="str">
        <f t="shared" si="50"/>
        <v>2010</v>
      </c>
      <c r="D544" t="str">
        <f t="shared" si="51"/>
        <v>19</v>
      </c>
      <c r="E544" s="21">
        <f t="shared" si="47"/>
        <v>40305</v>
      </c>
      <c r="F544" s="17" t="str">
        <f t="shared" si="48"/>
        <v>2010-05</v>
      </c>
      <c r="G544" s="25">
        <f t="shared" si="49"/>
        <v>39.7425</v>
      </c>
      <c r="K544" s="18" t="s">
        <v>87</v>
      </c>
      <c r="L544" s="19">
        <v>176834</v>
      </c>
    </row>
    <row r="545" spans="1:12" x14ac:dyDescent="0.25">
      <c r="A545" s="18" t="s">
        <v>1444</v>
      </c>
      <c r="B545" s="28">
        <v>41.78</v>
      </c>
      <c r="C545" s="16" t="str">
        <f t="shared" si="50"/>
        <v>2010</v>
      </c>
      <c r="D545" t="str">
        <f t="shared" si="51"/>
        <v>20</v>
      </c>
      <c r="E545" s="21">
        <f t="shared" si="47"/>
        <v>40312</v>
      </c>
      <c r="F545" s="17" t="str">
        <f t="shared" si="48"/>
        <v>2010-05</v>
      </c>
      <c r="G545" s="25">
        <f t="shared" si="49"/>
        <v>39.7425</v>
      </c>
      <c r="K545" s="18" t="s">
        <v>86</v>
      </c>
      <c r="L545" s="19">
        <v>168193</v>
      </c>
    </row>
    <row r="546" spans="1:12" x14ac:dyDescent="0.25">
      <c r="A546" s="18" t="s">
        <v>1443</v>
      </c>
      <c r="B546" s="28">
        <v>39.65</v>
      </c>
      <c r="C546" s="16" t="str">
        <f t="shared" si="50"/>
        <v>2010</v>
      </c>
      <c r="D546" t="str">
        <f t="shared" si="51"/>
        <v>21</v>
      </c>
      <c r="E546" s="21">
        <f t="shared" si="47"/>
        <v>40319</v>
      </c>
      <c r="F546" s="17" t="str">
        <f t="shared" si="48"/>
        <v>2010-05</v>
      </c>
      <c r="G546" s="25">
        <f t="shared" si="49"/>
        <v>39.7425</v>
      </c>
      <c r="K546" s="18" t="s">
        <v>85</v>
      </c>
      <c r="L546" s="19">
        <v>155655</v>
      </c>
    </row>
    <row r="547" spans="1:12" x14ac:dyDescent="0.25">
      <c r="A547" s="18" t="s">
        <v>1442</v>
      </c>
      <c r="B547" s="28">
        <v>38.03</v>
      </c>
      <c r="C547" s="16" t="str">
        <f t="shared" si="50"/>
        <v>2010</v>
      </c>
      <c r="D547" t="str">
        <f t="shared" si="51"/>
        <v>22</v>
      </c>
      <c r="E547" s="21">
        <f t="shared" si="47"/>
        <v>40326</v>
      </c>
      <c r="F547" s="17" t="str">
        <f t="shared" si="48"/>
        <v>2010-05</v>
      </c>
      <c r="G547" s="25">
        <f t="shared" si="49"/>
        <v>39.7425</v>
      </c>
      <c r="K547" s="18" t="s">
        <v>84</v>
      </c>
      <c r="L547" s="19">
        <v>145888</v>
      </c>
    </row>
    <row r="548" spans="1:12" x14ac:dyDescent="0.25">
      <c r="A548" s="18" t="s">
        <v>1441</v>
      </c>
      <c r="B548" s="28">
        <v>37.159999999999997</v>
      </c>
      <c r="C548" s="16" t="str">
        <f t="shared" si="50"/>
        <v>2010</v>
      </c>
      <c r="D548" t="str">
        <f t="shared" si="51"/>
        <v>23</v>
      </c>
      <c r="E548" s="21">
        <f t="shared" si="47"/>
        <v>40333</v>
      </c>
      <c r="F548" s="17" t="str">
        <f t="shared" si="48"/>
        <v>2010-06</v>
      </c>
      <c r="G548" s="25">
        <f t="shared" si="49"/>
        <v>38.760000000000005</v>
      </c>
      <c r="K548" s="18" t="s">
        <v>83</v>
      </c>
      <c r="L548" s="19">
        <v>136942</v>
      </c>
    </row>
    <row r="549" spans="1:12" x14ac:dyDescent="0.25">
      <c r="A549" s="18" t="s">
        <v>1440</v>
      </c>
      <c r="B549" s="28">
        <v>38.74</v>
      </c>
      <c r="C549" s="16" t="str">
        <f t="shared" si="50"/>
        <v>2010</v>
      </c>
      <c r="D549" t="str">
        <f t="shared" si="51"/>
        <v>24</v>
      </c>
      <c r="E549" s="21">
        <f t="shared" si="47"/>
        <v>40340</v>
      </c>
      <c r="F549" s="17" t="str">
        <f t="shared" si="48"/>
        <v>2010-06</v>
      </c>
      <c r="G549" s="25">
        <f t="shared" si="49"/>
        <v>38.760000000000005</v>
      </c>
      <c r="K549" s="18" t="s">
        <v>82</v>
      </c>
      <c r="L549" s="19">
        <v>140481</v>
      </c>
    </row>
    <row r="550" spans="1:12" x14ac:dyDescent="0.25">
      <c r="A550" s="18" t="s">
        <v>1439</v>
      </c>
      <c r="B550" s="28">
        <v>40.049999999999997</v>
      </c>
      <c r="C550" s="16" t="str">
        <f t="shared" si="50"/>
        <v>2010</v>
      </c>
      <c r="D550" t="str">
        <f t="shared" si="51"/>
        <v>25</v>
      </c>
      <c r="E550" s="21">
        <f t="shared" si="47"/>
        <v>40347</v>
      </c>
      <c r="F550" s="17" t="str">
        <f t="shared" si="48"/>
        <v>2010-06</v>
      </c>
      <c r="G550" s="25">
        <f t="shared" si="49"/>
        <v>38.760000000000005</v>
      </c>
      <c r="K550" s="18" t="s">
        <v>81</v>
      </c>
      <c r="L550" s="19">
        <v>142998</v>
      </c>
    </row>
    <row r="551" spans="1:12" x14ac:dyDescent="0.25">
      <c r="A551" s="18" t="s">
        <v>1438</v>
      </c>
      <c r="B551" s="28">
        <v>39.090000000000003</v>
      </c>
      <c r="C551" s="16" t="str">
        <f t="shared" si="50"/>
        <v>2010</v>
      </c>
      <c r="D551" t="str">
        <f t="shared" si="51"/>
        <v>26</v>
      </c>
      <c r="E551" s="21">
        <f t="shared" si="47"/>
        <v>40354</v>
      </c>
      <c r="F551" s="17" t="str">
        <f t="shared" si="48"/>
        <v>2010-06</v>
      </c>
      <c r="G551" s="25">
        <f t="shared" si="49"/>
        <v>38.760000000000005</v>
      </c>
      <c r="K551" s="18" t="s">
        <v>80</v>
      </c>
      <c r="L551" s="19">
        <v>143213</v>
      </c>
    </row>
    <row r="552" spans="1:12" x14ac:dyDescent="0.25">
      <c r="A552" s="18" t="s">
        <v>1437</v>
      </c>
      <c r="B552" s="28">
        <v>40.07</v>
      </c>
      <c r="C552" s="16" t="str">
        <f t="shared" si="50"/>
        <v>2010</v>
      </c>
      <c r="D552" t="str">
        <f t="shared" si="51"/>
        <v>27</v>
      </c>
      <c r="E552" s="21">
        <f t="shared" si="47"/>
        <v>40361</v>
      </c>
      <c r="F552" s="17" t="str">
        <f t="shared" si="48"/>
        <v>2010-07</v>
      </c>
      <c r="G552" s="25">
        <f t="shared" si="49"/>
        <v>39.327999999999996</v>
      </c>
      <c r="K552" s="18" t="s">
        <v>79</v>
      </c>
      <c r="L552" s="19">
        <v>131746</v>
      </c>
    </row>
    <row r="553" spans="1:12" x14ac:dyDescent="0.25">
      <c r="A553" s="18" t="s">
        <v>1436</v>
      </c>
      <c r="B553" s="28">
        <v>40.729999999999997</v>
      </c>
      <c r="C553" s="16" t="str">
        <f t="shared" si="50"/>
        <v>2010</v>
      </c>
      <c r="D553" t="str">
        <f t="shared" si="51"/>
        <v>28</v>
      </c>
      <c r="E553" s="21">
        <f t="shared" si="47"/>
        <v>40368</v>
      </c>
      <c r="F553" s="17" t="str">
        <f t="shared" si="48"/>
        <v>2010-07</v>
      </c>
      <c r="G553" s="25">
        <f t="shared" si="49"/>
        <v>39.327999999999996</v>
      </c>
      <c r="K553" s="18" t="s">
        <v>78</v>
      </c>
      <c r="L553" s="19">
        <v>154466</v>
      </c>
    </row>
    <row r="554" spans="1:12" x14ac:dyDescent="0.25">
      <c r="A554" s="18" t="s">
        <v>1435</v>
      </c>
      <c r="B554" s="28">
        <v>38.5</v>
      </c>
      <c r="C554" s="16" t="str">
        <f t="shared" si="50"/>
        <v>2010</v>
      </c>
      <c r="D554" t="str">
        <f t="shared" si="51"/>
        <v>29</v>
      </c>
      <c r="E554" s="21">
        <f t="shared" si="47"/>
        <v>40375</v>
      </c>
      <c r="F554" s="17" t="str">
        <f t="shared" si="48"/>
        <v>2010-07</v>
      </c>
      <c r="G554" s="25">
        <f t="shared" si="49"/>
        <v>39.327999999999996</v>
      </c>
    </row>
    <row r="555" spans="1:12" x14ac:dyDescent="0.25">
      <c r="A555" s="18" t="s">
        <v>1434</v>
      </c>
      <c r="B555" s="28">
        <v>38.49</v>
      </c>
      <c r="C555" s="16" t="str">
        <f t="shared" si="50"/>
        <v>2010</v>
      </c>
      <c r="D555" t="str">
        <f t="shared" si="51"/>
        <v>30</v>
      </c>
      <c r="E555" s="21">
        <f t="shared" si="47"/>
        <v>40382</v>
      </c>
      <c r="F555" s="17" t="str">
        <f t="shared" si="48"/>
        <v>2010-07</v>
      </c>
      <c r="G555" s="25">
        <f t="shared" si="49"/>
        <v>39.327999999999996</v>
      </c>
    </row>
    <row r="556" spans="1:12" x14ac:dyDescent="0.25">
      <c r="A556" s="18" t="s">
        <v>1433</v>
      </c>
      <c r="B556" s="28">
        <v>38.85</v>
      </c>
      <c r="C556" s="16" t="str">
        <f t="shared" si="50"/>
        <v>2010</v>
      </c>
      <c r="D556" t="str">
        <f t="shared" si="51"/>
        <v>31</v>
      </c>
      <c r="E556" s="21">
        <f t="shared" si="47"/>
        <v>40389</v>
      </c>
      <c r="F556" s="17" t="str">
        <f t="shared" si="48"/>
        <v>2010-07</v>
      </c>
      <c r="G556" s="25">
        <f t="shared" si="49"/>
        <v>39.327999999999996</v>
      </c>
    </row>
    <row r="557" spans="1:12" x14ac:dyDescent="0.25">
      <c r="A557" s="18" t="s">
        <v>1432</v>
      </c>
      <c r="B557" s="28">
        <v>39.85</v>
      </c>
      <c r="C557" s="16" t="str">
        <f t="shared" si="50"/>
        <v>2010</v>
      </c>
      <c r="D557" t="str">
        <f t="shared" si="51"/>
        <v>32</v>
      </c>
      <c r="E557" s="21">
        <f t="shared" si="47"/>
        <v>40396</v>
      </c>
      <c r="F557" s="17" t="str">
        <f t="shared" si="48"/>
        <v>2010-08</v>
      </c>
      <c r="G557" s="25">
        <f t="shared" si="49"/>
        <v>39.589999999999996</v>
      </c>
    </row>
    <row r="558" spans="1:12" x14ac:dyDescent="0.25">
      <c r="A558" s="18" t="s">
        <v>1431</v>
      </c>
      <c r="B558" s="28">
        <v>41.31</v>
      </c>
      <c r="C558" s="16" t="str">
        <f t="shared" si="50"/>
        <v>2010</v>
      </c>
      <c r="D558" t="str">
        <f t="shared" si="51"/>
        <v>33</v>
      </c>
      <c r="E558" s="21">
        <f t="shared" si="47"/>
        <v>40403</v>
      </c>
      <c r="F558" s="17" t="str">
        <f t="shared" si="48"/>
        <v>2010-08</v>
      </c>
      <c r="G558" s="25">
        <f t="shared" si="49"/>
        <v>39.589999999999996</v>
      </c>
    </row>
    <row r="559" spans="1:12" x14ac:dyDescent="0.25">
      <c r="A559" s="18" t="s">
        <v>1430</v>
      </c>
      <c r="B559" s="28">
        <v>39.58</v>
      </c>
      <c r="C559" s="16" t="str">
        <f t="shared" si="50"/>
        <v>2010</v>
      </c>
      <c r="D559" t="str">
        <f t="shared" si="51"/>
        <v>34</v>
      </c>
      <c r="E559" s="21">
        <f t="shared" si="47"/>
        <v>40410</v>
      </c>
      <c r="F559" s="17" t="str">
        <f t="shared" si="48"/>
        <v>2010-08</v>
      </c>
      <c r="G559" s="25">
        <f t="shared" si="49"/>
        <v>39.589999999999996</v>
      </c>
    </row>
    <row r="560" spans="1:12" x14ac:dyDescent="0.25">
      <c r="A560" s="18" t="s">
        <v>1429</v>
      </c>
      <c r="B560" s="28">
        <v>37.619999999999997</v>
      </c>
      <c r="C560" s="16" t="str">
        <f t="shared" si="50"/>
        <v>2010</v>
      </c>
      <c r="D560" t="str">
        <f t="shared" si="51"/>
        <v>35</v>
      </c>
      <c r="E560" s="21">
        <f t="shared" si="47"/>
        <v>40417</v>
      </c>
      <c r="F560" s="17" t="str">
        <f t="shared" si="48"/>
        <v>2010-08</v>
      </c>
      <c r="G560" s="25">
        <f t="shared" si="49"/>
        <v>39.589999999999996</v>
      </c>
    </row>
    <row r="561" spans="1:7" x14ac:dyDescent="0.25">
      <c r="A561" s="18" t="s">
        <v>1428</v>
      </c>
      <c r="B561" s="28">
        <v>37.07</v>
      </c>
      <c r="C561" s="16" t="str">
        <f t="shared" si="50"/>
        <v>2010</v>
      </c>
      <c r="D561" t="str">
        <f t="shared" si="51"/>
        <v>36</v>
      </c>
      <c r="E561" s="21">
        <f t="shared" si="47"/>
        <v>40424</v>
      </c>
      <c r="F561" s="17" t="str">
        <f t="shared" si="48"/>
        <v>2010-09</v>
      </c>
      <c r="G561" s="25">
        <f t="shared" si="49"/>
        <v>37.222499999999997</v>
      </c>
    </row>
    <row r="562" spans="1:7" x14ac:dyDescent="0.25">
      <c r="A562" s="18" t="s">
        <v>1427</v>
      </c>
      <c r="B562" s="28">
        <v>36.76</v>
      </c>
      <c r="C562" s="16" t="str">
        <f t="shared" si="50"/>
        <v>2010</v>
      </c>
      <c r="D562" t="str">
        <f t="shared" si="51"/>
        <v>37</v>
      </c>
      <c r="E562" s="21">
        <f t="shared" si="47"/>
        <v>40431</v>
      </c>
      <c r="F562" s="17" t="str">
        <f t="shared" si="48"/>
        <v>2010-09</v>
      </c>
      <c r="G562" s="25">
        <f t="shared" si="49"/>
        <v>37.222499999999997</v>
      </c>
    </row>
    <row r="563" spans="1:7" x14ac:dyDescent="0.25">
      <c r="A563" s="18" t="s">
        <v>1426</v>
      </c>
      <c r="B563" s="28">
        <v>37.86</v>
      </c>
      <c r="C563" s="16" t="str">
        <f t="shared" si="50"/>
        <v>2010</v>
      </c>
      <c r="D563" t="str">
        <f t="shared" si="51"/>
        <v>38</v>
      </c>
      <c r="E563" s="21">
        <f t="shared" si="47"/>
        <v>40438</v>
      </c>
      <c r="F563" s="17" t="str">
        <f t="shared" si="48"/>
        <v>2010-09</v>
      </c>
      <c r="G563" s="25">
        <f t="shared" si="49"/>
        <v>37.222499999999997</v>
      </c>
    </row>
    <row r="564" spans="1:7" x14ac:dyDescent="0.25">
      <c r="A564" s="18" t="s">
        <v>1425</v>
      </c>
      <c r="B564" s="28">
        <v>37.200000000000003</v>
      </c>
      <c r="C564" s="16" t="str">
        <f t="shared" si="50"/>
        <v>2010</v>
      </c>
      <c r="D564" t="str">
        <f t="shared" si="51"/>
        <v>39</v>
      </c>
      <c r="E564" s="21">
        <f t="shared" si="47"/>
        <v>40445</v>
      </c>
      <c r="F564" s="17" t="str">
        <f t="shared" si="48"/>
        <v>2010-09</v>
      </c>
      <c r="G564" s="25">
        <f t="shared" si="49"/>
        <v>37.222499999999997</v>
      </c>
    </row>
    <row r="565" spans="1:7" x14ac:dyDescent="0.25">
      <c r="A565" s="18" t="s">
        <v>1424</v>
      </c>
      <c r="B565" s="28">
        <v>36.15</v>
      </c>
      <c r="C565" s="16" t="str">
        <f t="shared" si="50"/>
        <v>2010</v>
      </c>
      <c r="D565" t="str">
        <f t="shared" si="51"/>
        <v>40</v>
      </c>
      <c r="E565" s="21">
        <f t="shared" si="47"/>
        <v>40452</v>
      </c>
      <c r="F565" s="17" t="str">
        <f t="shared" si="48"/>
        <v>2010-10</v>
      </c>
      <c r="G565" s="25">
        <f t="shared" si="49"/>
        <v>36.694000000000003</v>
      </c>
    </row>
    <row r="566" spans="1:7" x14ac:dyDescent="0.25">
      <c r="A566" s="18" t="s">
        <v>1423</v>
      </c>
      <c r="B566" s="28">
        <v>37.840000000000003</v>
      </c>
      <c r="C566" s="16" t="str">
        <f t="shared" si="50"/>
        <v>2010</v>
      </c>
      <c r="D566" t="str">
        <f t="shared" si="51"/>
        <v>41</v>
      </c>
      <c r="E566" s="21">
        <f t="shared" si="47"/>
        <v>40459</v>
      </c>
      <c r="F566" s="17" t="str">
        <f t="shared" si="48"/>
        <v>2010-10</v>
      </c>
      <c r="G566" s="25">
        <f t="shared" si="49"/>
        <v>36.694000000000003</v>
      </c>
    </row>
    <row r="567" spans="1:7" x14ac:dyDescent="0.25">
      <c r="A567" s="18" t="s">
        <v>1422</v>
      </c>
      <c r="B567" s="28">
        <v>37.31</v>
      </c>
      <c r="C567" s="16" t="str">
        <f t="shared" si="50"/>
        <v>2010</v>
      </c>
      <c r="D567" t="str">
        <f t="shared" si="51"/>
        <v>42</v>
      </c>
      <c r="E567" s="21">
        <f t="shared" si="47"/>
        <v>40466</v>
      </c>
      <c r="F567" s="17" t="str">
        <f t="shared" si="48"/>
        <v>2010-10</v>
      </c>
      <c r="G567" s="25">
        <f t="shared" si="49"/>
        <v>36.694000000000003</v>
      </c>
    </row>
    <row r="568" spans="1:7" x14ac:dyDescent="0.25">
      <c r="A568" s="18" t="s">
        <v>1421</v>
      </c>
      <c r="B568" s="28">
        <v>36.11</v>
      </c>
      <c r="C568" s="16" t="str">
        <f t="shared" si="50"/>
        <v>2010</v>
      </c>
      <c r="D568" t="str">
        <f t="shared" si="51"/>
        <v>43</v>
      </c>
      <c r="E568" s="21">
        <f t="shared" si="47"/>
        <v>40473</v>
      </c>
      <c r="F568" s="17" t="str">
        <f t="shared" si="48"/>
        <v>2010-10</v>
      </c>
      <c r="G568" s="25">
        <f t="shared" si="49"/>
        <v>36.694000000000003</v>
      </c>
    </row>
    <row r="569" spans="1:7" x14ac:dyDescent="0.25">
      <c r="A569" s="18" t="s">
        <v>1420</v>
      </c>
      <c r="B569" s="28">
        <v>36.06</v>
      </c>
      <c r="C569" s="16" t="str">
        <f t="shared" si="50"/>
        <v>2010</v>
      </c>
      <c r="D569" t="str">
        <f t="shared" si="51"/>
        <v>44</v>
      </c>
      <c r="E569" s="21">
        <f t="shared" si="47"/>
        <v>40480</v>
      </c>
      <c r="F569" s="17" t="str">
        <f t="shared" si="48"/>
        <v>2010-10</v>
      </c>
      <c r="G569" s="25">
        <f t="shared" si="49"/>
        <v>36.694000000000003</v>
      </c>
    </row>
    <row r="570" spans="1:7" x14ac:dyDescent="0.25">
      <c r="A570" s="18" t="s">
        <v>1419</v>
      </c>
      <c r="B570" s="28">
        <v>35.76</v>
      </c>
      <c r="C570" s="16" t="str">
        <f t="shared" si="50"/>
        <v>2010</v>
      </c>
      <c r="D570" t="str">
        <f t="shared" si="51"/>
        <v>45</v>
      </c>
      <c r="E570" s="21">
        <f t="shared" si="47"/>
        <v>40487</v>
      </c>
      <c r="F570" s="17" t="str">
        <f t="shared" si="48"/>
        <v>2010-11</v>
      </c>
      <c r="G570" s="25">
        <f t="shared" si="49"/>
        <v>36.6325</v>
      </c>
    </row>
    <row r="571" spans="1:7" x14ac:dyDescent="0.25">
      <c r="A571" s="18" t="s">
        <v>1418</v>
      </c>
      <c r="B571" s="28">
        <v>36.299999999999997</v>
      </c>
      <c r="C571" s="16" t="str">
        <f t="shared" si="50"/>
        <v>2010</v>
      </c>
      <c r="D571" t="str">
        <f t="shared" si="51"/>
        <v>46</v>
      </c>
      <c r="E571" s="21">
        <f t="shared" si="47"/>
        <v>40494</v>
      </c>
      <c r="F571" s="17" t="str">
        <f t="shared" si="48"/>
        <v>2010-11</v>
      </c>
      <c r="G571" s="25">
        <f t="shared" si="49"/>
        <v>36.6325</v>
      </c>
    </row>
    <row r="572" spans="1:7" x14ac:dyDescent="0.25">
      <c r="A572" s="18" t="s">
        <v>1417</v>
      </c>
      <c r="B572" s="28">
        <v>36.049999999999997</v>
      </c>
      <c r="C572" s="16" t="str">
        <f t="shared" si="50"/>
        <v>2010</v>
      </c>
      <c r="D572" t="str">
        <f t="shared" si="51"/>
        <v>47</v>
      </c>
      <c r="E572" s="21">
        <f t="shared" si="47"/>
        <v>40501</v>
      </c>
      <c r="F572" s="17" t="str">
        <f t="shared" si="48"/>
        <v>2010-11</v>
      </c>
      <c r="G572" s="25">
        <f t="shared" si="49"/>
        <v>36.6325</v>
      </c>
    </row>
    <row r="573" spans="1:7" x14ac:dyDescent="0.25">
      <c r="A573" s="18" t="s">
        <v>1416</v>
      </c>
      <c r="B573" s="28">
        <v>38.42</v>
      </c>
      <c r="C573" s="16" t="str">
        <f t="shared" si="50"/>
        <v>2010</v>
      </c>
      <c r="D573" t="str">
        <f t="shared" si="51"/>
        <v>48</v>
      </c>
      <c r="E573" s="21">
        <f t="shared" si="47"/>
        <v>40508</v>
      </c>
      <c r="F573" s="17" t="str">
        <f t="shared" si="48"/>
        <v>2010-11</v>
      </c>
      <c r="G573" s="25">
        <f t="shared" si="49"/>
        <v>36.6325</v>
      </c>
    </row>
    <row r="574" spans="1:7" x14ac:dyDescent="0.25">
      <c r="A574" s="18" t="s">
        <v>1415</v>
      </c>
      <c r="B574" s="28">
        <v>43.13</v>
      </c>
      <c r="C574" s="16" t="str">
        <f t="shared" si="50"/>
        <v>2010</v>
      </c>
      <c r="D574" t="str">
        <f t="shared" si="51"/>
        <v>49</v>
      </c>
      <c r="E574" s="21">
        <f t="shared" si="47"/>
        <v>40515</v>
      </c>
      <c r="F574" s="17" t="str">
        <f t="shared" si="48"/>
        <v>2010-12</v>
      </c>
      <c r="G574" s="25">
        <f t="shared" si="49"/>
        <v>42.550000000000004</v>
      </c>
    </row>
    <row r="575" spans="1:7" x14ac:dyDescent="0.25">
      <c r="A575" s="18" t="s">
        <v>1414</v>
      </c>
      <c r="B575" s="28">
        <v>43.46</v>
      </c>
      <c r="C575" s="16" t="str">
        <f t="shared" si="50"/>
        <v>2010</v>
      </c>
      <c r="D575" t="str">
        <f t="shared" si="51"/>
        <v>50</v>
      </c>
      <c r="E575" s="21">
        <f t="shared" si="47"/>
        <v>40522</v>
      </c>
      <c r="F575" s="17" t="str">
        <f t="shared" si="48"/>
        <v>2010-12</v>
      </c>
      <c r="G575" s="25">
        <f t="shared" si="49"/>
        <v>42.550000000000004</v>
      </c>
    </row>
    <row r="576" spans="1:7" x14ac:dyDescent="0.25">
      <c r="A576" s="18" t="s">
        <v>1413</v>
      </c>
      <c r="B576" s="28">
        <v>43.24</v>
      </c>
      <c r="C576" s="16" t="str">
        <f t="shared" si="50"/>
        <v>2010</v>
      </c>
      <c r="D576" t="str">
        <f t="shared" si="51"/>
        <v>51</v>
      </c>
      <c r="E576" s="21">
        <f t="shared" si="47"/>
        <v>40529</v>
      </c>
      <c r="F576" s="17" t="str">
        <f t="shared" si="48"/>
        <v>2010-12</v>
      </c>
      <c r="G576" s="25">
        <f t="shared" si="49"/>
        <v>42.550000000000004</v>
      </c>
    </row>
    <row r="577" spans="1:7" x14ac:dyDescent="0.25">
      <c r="A577" s="18" t="s">
        <v>1412</v>
      </c>
      <c r="B577" s="28">
        <v>40.369999999999997</v>
      </c>
      <c r="C577" s="16" t="str">
        <f t="shared" si="50"/>
        <v>2010</v>
      </c>
      <c r="D577" t="str">
        <f t="shared" si="51"/>
        <v>52</v>
      </c>
      <c r="E577" s="21">
        <f t="shared" si="47"/>
        <v>40536</v>
      </c>
      <c r="F577" s="17" t="str">
        <f t="shared" si="48"/>
        <v>2010-12</v>
      </c>
      <c r="G577" s="25">
        <f t="shared" si="49"/>
        <v>42.550000000000004</v>
      </c>
    </row>
    <row r="578" spans="1:7" x14ac:dyDescent="0.25">
      <c r="A578" s="18" t="s">
        <v>1411</v>
      </c>
      <c r="B578" s="28">
        <v>38.43</v>
      </c>
      <c r="C578" s="16" t="str">
        <f t="shared" si="50"/>
        <v>2011</v>
      </c>
      <c r="D578" t="str">
        <f t="shared" si="51"/>
        <v>01</v>
      </c>
      <c r="E578" s="21">
        <f t="shared" si="47"/>
        <v>40544</v>
      </c>
      <c r="F578" s="17" t="str">
        <f t="shared" si="48"/>
        <v>2011-01</v>
      </c>
      <c r="G578" s="25">
        <f t="shared" si="49"/>
        <v>39.525999999999996</v>
      </c>
    </row>
    <row r="579" spans="1:7" x14ac:dyDescent="0.25">
      <c r="A579" s="18" t="s">
        <v>1410</v>
      </c>
      <c r="B579" s="28">
        <v>39.96</v>
      </c>
      <c r="C579" s="16" t="str">
        <f t="shared" si="50"/>
        <v>2011</v>
      </c>
      <c r="D579" t="str">
        <f t="shared" si="51"/>
        <v>02</v>
      </c>
      <c r="E579" s="21">
        <f t="shared" si="47"/>
        <v>40551</v>
      </c>
      <c r="F579" s="17" t="str">
        <f t="shared" si="48"/>
        <v>2011-01</v>
      </c>
      <c r="G579" s="25">
        <f t="shared" si="49"/>
        <v>39.525999999999996</v>
      </c>
    </row>
    <row r="580" spans="1:7" x14ac:dyDescent="0.25">
      <c r="A580" s="18" t="s">
        <v>1409</v>
      </c>
      <c r="B580" s="28">
        <v>40.44</v>
      </c>
      <c r="C580" s="16" t="str">
        <f t="shared" si="50"/>
        <v>2011</v>
      </c>
      <c r="D580" t="str">
        <f t="shared" si="51"/>
        <v>03</v>
      </c>
      <c r="E580" s="21">
        <f t="shared" si="47"/>
        <v>40558</v>
      </c>
      <c r="F580" s="17" t="str">
        <f t="shared" si="48"/>
        <v>2011-01</v>
      </c>
      <c r="G580" s="25">
        <f t="shared" si="49"/>
        <v>39.525999999999996</v>
      </c>
    </row>
    <row r="581" spans="1:7" x14ac:dyDescent="0.25">
      <c r="A581" s="18" t="s">
        <v>1408</v>
      </c>
      <c r="B581" s="28">
        <v>38.82</v>
      </c>
      <c r="C581" s="16" t="str">
        <f t="shared" si="50"/>
        <v>2011</v>
      </c>
      <c r="D581" t="str">
        <f t="shared" si="51"/>
        <v>04</v>
      </c>
      <c r="E581" s="21">
        <f t="shared" ref="E581:E644" si="52">DATE(C581,1,1)+(D581-1)*7</f>
        <v>40565</v>
      </c>
      <c r="F581" s="17" t="str">
        <f t="shared" ref="F581:F644" si="53">TEXT(E581,"éééé-hh")</f>
        <v>2011-01</v>
      </c>
      <c r="G581" s="25">
        <f t="shared" ref="G581:G644" si="54">AVERAGEIF($F$4:$F$1353,F581,$B$4:$B$1353)</f>
        <v>39.525999999999996</v>
      </c>
    </row>
    <row r="582" spans="1:7" x14ac:dyDescent="0.25">
      <c r="A582" s="18" t="s">
        <v>1407</v>
      </c>
      <c r="B582" s="28">
        <v>39.979999999999997</v>
      </c>
      <c r="C582" s="16" t="str">
        <f t="shared" si="50"/>
        <v>2011</v>
      </c>
      <c r="D582" t="str">
        <f t="shared" si="51"/>
        <v>05</v>
      </c>
      <c r="E582" s="21">
        <f t="shared" si="52"/>
        <v>40572</v>
      </c>
      <c r="F582" s="17" t="str">
        <f t="shared" si="53"/>
        <v>2011-01</v>
      </c>
      <c r="G582" s="25">
        <f t="shared" si="54"/>
        <v>39.525999999999996</v>
      </c>
    </row>
    <row r="583" spans="1:7" x14ac:dyDescent="0.25">
      <c r="A583" s="18" t="s">
        <v>1406</v>
      </c>
      <c r="B583" s="28">
        <v>39.71</v>
      </c>
      <c r="C583" s="16" t="str">
        <f t="shared" si="50"/>
        <v>2011</v>
      </c>
      <c r="D583" t="str">
        <f t="shared" si="51"/>
        <v>06</v>
      </c>
      <c r="E583" s="21">
        <f t="shared" si="52"/>
        <v>40579</v>
      </c>
      <c r="F583" s="17" t="str">
        <f t="shared" si="53"/>
        <v>2011-02</v>
      </c>
      <c r="G583" s="25">
        <f t="shared" si="54"/>
        <v>40.755000000000003</v>
      </c>
    </row>
    <row r="584" spans="1:7" x14ac:dyDescent="0.25">
      <c r="A584" s="18" t="s">
        <v>1405</v>
      </c>
      <c r="B584" s="28">
        <v>40.81</v>
      </c>
      <c r="C584" s="16" t="str">
        <f t="shared" si="50"/>
        <v>2011</v>
      </c>
      <c r="D584" t="str">
        <f t="shared" si="51"/>
        <v>07</v>
      </c>
      <c r="E584" s="21">
        <f t="shared" si="52"/>
        <v>40586</v>
      </c>
      <c r="F584" s="17" t="str">
        <f t="shared" si="53"/>
        <v>2011-02</v>
      </c>
      <c r="G584" s="25">
        <f t="shared" si="54"/>
        <v>40.755000000000003</v>
      </c>
    </row>
    <row r="585" spans="1:7" x14ac:dyDescent="0.25">
      <c r="A585" s="18" t="s">
        <v>1404</v>
      </c>
      <c r="B585" s="28">
        <v>41.61</v>
      </c>
      <c r="C585" s="16" t="str">
        <f t="shared" si="50"/>
        <v>2011</v>
      </c>
      <c r="D585" t="str">
        <f t="shared" si="51"/>
        <v>08</v>
      </c>
      <c r="E585" s="21">
        <f t="shared" si="52"/>
        <v>40593</v>
      </c>
      <c r="F585" s="17" t="str">
        <f t="shared" si="53"/>
        <v>2011-02</v>
      </c>
      <c r="G585" s="25">
        <f t="shared" si="54"/>
        <v>40.755000000000003</v>
      </c>
    </row>
    <row r="586" spans="1:7" x14ac:dyDescent="0.25">
      <c r="A586" s="18" t="s">
        <v>1403</v>
      </c>
      <c r="B586" s="28">
        <v>40.89</v>
      </c>
      <c r="C586" s="16" t="str">
        <f t="shared" si="50"/>
        <v>2011</v>
      </c>
      <c r="D586" t="str">
        <f t="shared" si="51"/>
        <v>09</v>
      </c>
      <c r="E586" s="21">
        <f t="shared" si="52"/>
        <v>40600</v>
      </c>
      <c r="F586" s="17" t="str">
        <f t="shared" si="53"/>
        <v>2011-02</v>
      </c>
      <c r="G586" s="25">
        <f t="shared" si="54"/>
        <v>40.755000000000003</v>
      </c>
    </row>
    <row r="587" spans="1:7" x14ac:dyDescent="0.25">
      <c r="A587" s="18" t="s">
        <v>1402</v>
      </c>
      <c r="B587" s="28">
        <v>40.56</v>
      </c>
      <c r="C587" s="16" t="str">
        <f t="shared" si="50"/>
        <v>2011</v>
      </c>
      <c r="D587" t="str">
        <f t="shared" si="51"/>
        <v>10</v>
      </c>
      <c r="E587" s="21">
        <f t="shared" si="52"/>
        <v>40607</v>
      </c>
      <c r="F587" s="17" t="str">
        <f t="shared" si="53"/>
        <v>2011-03</v>
      </c>
      <c r="G587" s="25">
        <f t="shared" si="54"/>
        <v>40.682499999999997</v>
      </c>
    </row>
    <row r="588" spans="1:7" x14ac:dyDescent="0.25">
      <c r="A588" s="18" t="s">
        <v>1401</v>
      </c>
      <c r="B588" s="28">
        <v>40.44</v>
      </c>
      <c r="C588" s="16" t="str">
        <f t="shared" si="50"/>
        <v>2011</v>
      </c>
      <c r="D588" t="str">
        <f t="shared" si="51"/>
        <v>11</v>
      </c>
      <c r="E588" s="21">
        <f t="shared" si="52"/>
        <v>40614</v>
      </c>
      <c r="F588" s="17" t="str">
        <f t="shared" si="53"/>
        <v>2011-03</v>
      </c>
      <c r="G588" s="25">
        <f t="shared" si="54"/>
        <v>40.682499999999997</v>
      </c>
    </row>
    <row r="589" spans="1:7" x14ac:dyDescent="0.25">
      <c r="A589" s="18" t="s">
        <v>1400</v>
      </c>
      <c r="B589" s="28">
        <v>40.79</v>
      </c>
      <c r="C589" s="16" t="str">
        <f t="shared" si="50"/>
        <v>2011</v>
      </c>
      <c r="D589" t="str">
        <f t="shared" si="51"/>
        <v>12</v>
      </c>
      <c r="E589" s="21">
        <f t="shared" si="52"/>
        <v>40621</v>
      </c>
      <c r="F589" s="17" t="str">
        <f t="shared" si="53"/>
        <v>2011-03</v>
      </c>
      <c r="G589" s="25">
        <f t="shared" si="54"/>
        <v>40.682499999999997</v>
      </c>
    </row>
    <row r="590" spans="1:7" x14ac:dyDescent="0.25">
      <c r="A590" s="18" t="s">
        <v>1399</v>
      </c>
      <c r="B590" s="28">
        <v>40.94</v>
      </c>
      <c r="C590" s="16" t="str">
        <f t="shared" si="50"/>
        <v>2011</v>
      </c>
      <c r="D590" t="str">
        <f t="shared" si="51"/>
        <v>13</v>
      </c>
      <c r="E590" s="21">
        <f t="shared" si="52"/>
        <v>40628</v>
      </c>
      <c r="F590" s="17" t="str">
        <f t="shared" si="53"/>
        <v>2011-03</v>
      </c>
      <c r="G590" s="25">
        <f t="shared" si="54"/>
        <v>40.682499999999997</v>
      </c>
    </row>
    <row r="591" spans="1:7" x14ac:dyDescent="0.25">
      <c r="A591" s="18" t="s">
        <v>1398</v>
      </c>
      <c r="B591" s="28">
        <v>42.2</v>
      </c>
      <c r="C591" s="16" t="str">
        <f t="shared" si="50"/>
        <v>2011</v>
      </c>
      <c r="D591" t="str">
        <f t="shared" si="51"/>
        <v>14</v>
      </c>
      <c r="E591" s="21">
        <f t="shared" si="52"/>
        <v>40635</v>
      </c>
      <c r="F591" s="17" t="str">
        <f t="shared" si="53"/>
        <v>2011-04</v>
      </c>
      <c r="G591" s="25">
        <f t="shared" si="54"/>
        <v>42.762</v>
      </c>
    </row>
    <row r="592" spans="1:7" x14ac:dyDescent="0.25">
      <c r="A592" s="18" t="s">
        <v>1397</v>
      </c>
      <c r="B592" s="28">
        <v>43.61</v>
      </c>
      <c r="C592" s="16" t="str">
        <f t="shared" si="50"/>
        <v>2011</v>
      </c>
      <c r="D592" t="str">
        <f t="shared" si="51"/>
        <v>15</v>
      </c>
      <c r="E592" s="21">
        <f t="shared" si="52"/>
        <v>40642</v>
      </c>
      <c r="F592" s="17" t="str">
        <f t="shared" si="53"/>
        <v>2011-04</v>
      </c>
      <c r="G592" s="25">
        <f t="shared" si="54"/>
        <v>42.762</v>
      </c>
    </row>
    <row r="593" spans="1:7" x14ac:dyDescent="0.25">
      <c r="A593" s="18" t="s">
        <v>1396</v>
      </c>
      <c r="B593" s="28">
        <v>43.08</v>
      </c>
      <c r="C593" s="16" t="str">
        <f t="shared" si="50"/>
        <v>2011</v>
      </c>
      <c r="D593" t="str">
        <f t="shared" si="51"/>
        <v>16</v>
      </c>
      <c r="E593" s="21">
        <f t="shared" si="52"/>
        <v>40649</v>
      </c>
      <c r="F593" s="17" t="str">
        <f t="shared" si="53"/>
        <v>2011-04</v>
      </c>
      <c r="G593" s="25">
        <f t="shared" si="54"/>
        <v>42.762</v>
      </c>
    </row>
    <row r="594" spans="1:7" x14ac:dyDescent="0.25">
      <c r="A594" s="18" t="s">
        <v>1395</v>
      </c>
      <c r="B594" s="28">
        <v>42.71</v>
      </c>
      <c r="C594" s="16" t="str">
        <f t="shared" si="50"/>
        <v>2011</v>
      </c>
      <c r="D594" t="str">
        <f t="shared" si="51"/>
        <v>17</v>
      </c>
      <c r="E594" s="21">
        <f t="shared" si="52"/>
        <v>40656</v>
      </c>
      <c r="F594" s="17" t="str">
        <f t="shared" si="53"/>
        <v>2011-04</v>
      </c>
      <c r="G594" s="25">
        <f t="shared" si="54"/>
        <v>42.762</v>
      </c>
    </row>
    <row r="595" spans="1:7" x14ac:dyDescent="0.25">
      <c r="A595" s="18" t="s">
        <v>1394</v>
      </c>
      <c r="B595" s="28">
        <v>42.21</v>
      </c>
      <c r="C595" s="16" t="str">
        <f t="shared" si="50"/>
        <v>2011</v>
      </c>
      <c r="D595" t="str">
        <f t="shared" si="51"/>
        <v>18</v>
      </c>
      <c r="E595" s="21">
        <f t="shared" si="52"/>
        <v>40663</v>
      </c>
      <c r="F595" s="17" t="str">
        <f t="shared" si="53"/>
        <v>2011-04</v>
      </c>
      <c r="G595" s="25">
        <f t="shared" si="54"/>
        <v>42.762</v>
      </c>
    </row>
    <row r="596" spans="1:7" x14ac:dyDescent="0.25">
      <c r="A596" s="18" t="s">
        <v>1393</v>
      </c>
      <c r="B596" s="28">
        <v>40.049999999999997</v>
      </c>
      <c r="C596" s="16" t="str">
        <f t="shared" ref="C596:C659" si="55">LEFT(A596,4)</f>
        <v>2011</v>
      </c>
      <c r="D596" t="str">
        <f t="shared" ref="D596:D659" si="56">RIGHT(A596,2)</f>
        <v>19</v>
      </c>
      <c r="E596" s="21">
        <f t="shared" si="52"/>
        <v>40670</v>
      </c>
      <c r="F596" s="17" t="str">
        <f t="shared" si="53"/>
        <v>2011-05</v>
      </c>
      <c r="G596" s="25">
        <f t="shared" si="54"/>
        <v>37.887500000000003</v>
      </c>
    </row>
    <row r="597" spans="1:7" x14ac:dyDescent="0.25">
      <c r="A597" s="18" t="s">
        <v>1392</v>
      </c>
      <c r="B597" s="28">
        <v>38.75</v>
      </c>
      <c r="C597" s="16" t="str">
        <f t="shared" si="55"/>
        <v>2011</v>
      </c>
      <c r="D597" t="str">
        <f t="shared" si="56"/>
        <v>20</v>
      </c>
      <c r="E597" s="21">
        <f t="shared" si="52"/>
        <v>40677</v>
      </c>
      <c r="F597" s="17" t="str">
        <f t="shared" si="53"/>
        <v>2011-05</v>
      </c>
      <c r="G597" s="25">
        <f t="shared" si="54"/>
        <v>37.887500000000003</v>
      </c>
    </row>
    <row r="598" spans="1:7" x14ac:dyDescent="0.25">
      <c r="A598" s="18" t="s">
        <v>1391</v>
      </c>
      <c r="B598" s="28">
        <v>36.67</v>
      </c>
      <c r="C598" s="16" t="str">
        <f t="shared" si="55"/>
        <v>2011</v>
      </c>
      <c r="D598" t="str">
        <f t="shared" si="56"/>
        <v>21</v>
      </c>
      <c r="E598" s="21">
        <f t="shared" si="52"/>
        <v>40684</v>
      </c>
      <c r="F598" s="17" t="str">
        <f t="shared" si="53"/>
        <v>2011-05</v>
      </c>
      <c r="G598" s="25">
        <f t="shared" si="54"/>
        <v>37.887500000000003</v>
      </c>
    </row>
    <row r="599" spans="1:7" x14ac:dyDescent="0.25">
      <c r="A599" s="18" t="s">
        <v>1390</v>
      </c>
      <c r="B599" s="28">
        <v>36.08</v>
      </c>
      <c r="C599" s="16" t="str">
        <f t="shared" si="55"/>
        <v>2011</v>
      </c>
      <c r="D599" t="str">
        <f t="shared" si="56"/>
        <v>22</v>
      </c>
      <c r="E599" s="21">
        <f t="shared" si="52"/>
        <v>40691</v>
      </c>
      <c r="F599" s="17" t="str">
        <f t="shared" si="53"/>
        <v>2011-05</v>
      </c>
      <c r="G599" s="25">
        <f t="shared" si="54"/>
        <v>37.887500000000003</v>
      </c>
    </row>
    <row r="600" spans="1:7" x14ac:dyDescent="0.25">
      <c r="A600" s="18" t="s">
        <v>1389</v>
      </c>
      <c r="B600" s="28">
        <v>34.11</v>
      </c>
      <c r="C600" s="16" t="str">
        <f t="shared" si="55"/>
        <v>2011</v>
      </c>
      <c r="D600" t="str">
        <f t="shared" si="56"/>
        <v>23</v>
      </c>
      <c r="E600" s="21">
        <f t="shared" si="52"/>
        <v>40698</v>
      </c>
      <c r="F600" s="17" t="str">
        <f t="shared" si="53"/>
        <v>2011-06</v>
      </c>
      <c r="G600" s="25">
        <f t="shared" si="54"/>
        <v>31.907499999999999</v>
      </c>
    </row>
    <row r="601" spans="1:7" x14ac:dyDescent="0.25">
      <c r="A601" s="18" t="s">
        <v>1388</v>
      </c>
      <c r="B601" s="28">
        <v>33.369999999999997</v>
      </c>
      <c r="C601" s="16" t="str">
        <f t="shared" si="55"/>
        <v>2011</v>
      </c>
      <c r="D601" t="str">
        <f t="shared" si="56"/>
        <v>24</v>
      </c>
      <c r="E601" s="21">
        <f t="shared" si="52"/>
        <v>40705</v>
      </c>
      <c r="F601" s="17" t="str">
        <f t="shared" si="53"/>
        <v>2011-06</v>
      </c>
      <c r="G601" s="25">
        <f t="shared" si="54"/>
        <v>31.907499999999999</v>
      </c>
    </row>
    <row r="602" spans="1:7" x14ac:dyDescent="0.25">
      <c r="A602" s="18" t="s">
        <v>1387</v>
      </c>
      <c r="B602" s="28">
        <v>31.61</v>
      </c>
      <c r="C602" s="16" t="str">
        <f t="shared" si="55"/>
        <v>2011</v>
      </c>
      <c r="D602" t="str">
        <f t="shared" si="56"/>
        <v>25</v>
      </c>
      <c r="E602" s="21">
        <f t="shared" si="52"/>
        <v>40712</v>
      </c>
      <c r="F602" s="17" t="str">
        <f t="shared" si="53"/>
        <v>2011-06</v>
      </c>
      <c r="G602" s="25">
        <f t="shared" si="54"/>
        <v>31.907499999999999</v>
      </c>
    </row>
    <row r="603" spans="1:7" x14ac:dyDescent="0.25">
      <c r="A603" s="18" t="s">
        <v>1386</v>
      </c>
      <c r="B603" s="28">
        <v>28.54</v>
      </c>
      <c r="C603" s="16" t="str">
        <f t="shared" si="55"/>
        <v>2011</v>
      </c>
      <c r="D603" t="str">
        <f t="shared" si="56"/>
        <v>26</v>
      </c>
      <c r="E603" s="21">
        <f t="shared" si="52"/>
        <v>40719</v>
      </c>
      <c r="F603" s="17" t="str">
        <f t="shared" si="53"/>
        <v>2011-06</v>
      </c>
      <c r="G603" s="25">
        <f t="shared" si="54"/>
        <v>31.907499999999999</v>
      </c>
    </row>
    <row r="604" spans="1:7" x14ac:dyDescent="0.25">
      <c r="A604" s="18" t="s">
        <v>1385</v>
      </c>
      <c r="B604" s="28">
        <v>31.2</v>
      </c>
      <c r="C604" s="16" t="str">
        <f t="shared" si="55"/>
        <v>2011</v>
      </c>
      <c r="D604" t="str">
        <f t="shared" si="56"/>
        <v>27</v>
      </c>
      <c r="E604" s="21">
        <f t="shared" si="52"/>
        <v>40726</v>
      </c>
      <c r="F604" s="17" t="str">
        <f t="shared" si="53"/>
        <v>2011-07</v>
      </c>
      <c r="G604" s="25">
        <f t="shared" si="54"/>
        <v>30.898000000000003</v>
      </c>
    </row>
    <row r="605" spans="1:7" x14ac:dyDescent="0.25">
      <c r="A605" s="18" t="s">
        <v>1384</v>
      </c>
      <c r="B605" s="28">
        <v>33.21</v>
      </c>
      <c r="C605" s="16" t="str">
        <f t="shared" si="55"/>
        <v>2011</v>
      </c>
      <c r="D605" t="str">
        <f t="shared" si="56"/>
        <v>28</v>
      </c>
      <c r="E605" s="21">
        <f t="shared" si="52"/>
        <v>40733</v>
      </c>
      <c r="F605" s="17" t="str">
        <f t="shared" si="53"/>
        <v>2011-07</v>
      </c>
      <c r="G605" s="25">
        <f t="shared" si="54"/>
        <v>30.898000000000003</v>
      </c>
    </row>
    <row r="606" spans="1:7" x14ac:dyDescent="0.25">
      <c r="A606" s="18" t="s">
        <v>1383</v>
      </c>
      <c r="B606" s="28">
        <v>30.11</v>
      </c>
      <c r="C606" s="16" t="str">
        <f t="shared" si="55"/>
        <v>2011</v>
      </c>
      <c r="D606" t="str">
        <f t="shared" si="56"/>
        <v>29</v>
      </c>
      <c r="E606" s="21">
        <f t="shared" si="52"/>
        <v>40740</v>
      </c>
      <c r="F606" s="17" t="str">
        <f t="shared" si="53"/>
        <v>2011-07</v>
      </c>
      <c r="G606" s="25">
        <f t="shared" si="54"/>
        <v>30.898000000000003</v>
      </c>
    </row>
    <row r="607" spans="1:7" x14ac:dyDescent="0.25">
      <c r="A607" s="18" t="s">
        <v>1382</v>
      </c>
      <c r="B607" s="28">
        <v>30.62</v>
      </c>
      <c r="C607" s="16" t="str">
        <f t="shared" si="55"/>
        <v>2011</v>
      </c>
      <c r="D607" t="str">
        <f t="shared" si="56"/>
        <v>30</v>
      </c>
      <c r="E607" s="21">
        <f t="shared" si="52"/>
        <v>40747</v>
      </c>
      <c r="F607" s="17" t="str">
        <f t="shared" si="53"/>
        <v>2011-07</v>
      </c>
      <c r="G607" s="25">
        <f t="shared" si="54"/>
        <v>30.898000000000003</v>
      </c>
    </row>
    <row r="608" spans="1:7" x14ac:dyDescent="0.25">
      <c r="A608" s="18" t="s">
        <v>1381</v>
      </c>
      <c r="B608" s="28">
        <v>29.35</v>
      </c>
      <c r="C608" s="16" t="str">
        <f t="shared" si="55"/>
        <v>2011</v>
      </c>
      <c r="D608" t="str">
        <f t="shared" si="56"/>
        <v>31</v>
      </c>
      <c r="E608" s="21">
        <f t="shared" si="52"/>
        <v>40754</v>
      </c>
      <c r="F608" s="17" t="str">
        <f t="shared" si="53"/>
        <v>2011-07</v>
      </c>
      <c r="G608" s="25">
        <f t="shared" si="54"/>
        <v>30.898000000000003</v>
      </c>
    </row>
    <row r="609" spans="1:7" x14ac:dyDescent="0.25">
      <c r="A609" s="18" t="s">
        <v>1380</v>
      </c>
      <c r="B609" s="28">
        <v>29.59</v>
      </c>
      <c r="C609" s="16" t="str">
        <f t="shared" si="55"/>
        <v>2011</v>
      </c>
      <c r="D609" t="str">
        <f t="shared" si="56"/>
        <v>32</v>
      </c>
      <c r="E609" s="21">
        <f t="shared" si="52"/>
        <v>40761</v>
      </c>
      <c r="F609" s="17" t="str">
        <f t="shared" si="53"/>
        <v>2011-08</v>
      </c>
      <c r="G609" s="25">
        <f t="shared" si="54"/>
        <v>28.08</v>
      </c>
    </row>
    <row r="610" spans="1:7" x14ac:dyDescent="0.25">
      <c r="A610" s="18" t="s">
        <v>1379</v>
      </c>
      <c r="B610" s="28">
        <v>28.91</v>
      </c>
      <c r="C610" s="16" t="str">
        <f t="shared" si="55"/>
        <v>2011</v>
      </c>
      <c r="D610" t="str">
        <f t="shared" si="56"/>
        <v>33</v>
      </c>
      <c r="E610" s="21">
        <f t="shared" si="52"/>
        <v>40768</v>
      </c>
      <c r="F610" s="17" t="str">
        <f t="shared" si="53"/>
        <v>2011-08</v>
      </c>
      <c r="G610" s="25">
        <f t="shared" si="54"/>
        <v>28.08</v>
      </c>
    </row>
    <row r="611" spans="1:7" x14ac:dyDescent="0.25">
      <c r="A611" s="18" t="s">
        <v>1378</v>
      </c>
      <c r="B611" s="28">
        <v>26.55</v>
      </c>
      <c r="C611" s="16" t="str">
        <f t="shared" si="55"/>
        <v>2011</v>
      </c>
      <c r="D611" t="str">
        <f t="shared" si="56"/>
        <v>34</v>
      </c>
      <c r="E611" s="21">
        <f t="shared" si="52"/>
        <v>40775</v>
      </c>
      <c r="F611" s="17" t="str">
        <f t="shared" si="53"/>
        <v>2011-08</v>
      </c>
      <c r="G611" s="25">
        <f t="shared" si="54"/>
        <v>28.08</v>
      </c>
    </row>
    <row r="612" spans="1:7" x14ac:dyDescent="0.25">
      <c r="A612" s="18" t="s">
        <v>1377</v>
      </c>
      <c r="B612" s="28">
        <v>27.27</v>
      </c>
      <c r="C612" s="16" t="str">
        <f t="shared" si="55"/>
        <v>2011</v>
      </c>
      <c r="D612" t="str">
        <f t="shared" si="56"/>
        <v>35</v>
      </c>
      <c r="E612" s="21">
        <f t="shared" si="52"/>
        <v>40782</v>
      </c>
      <c r="F612" s="17" t="str">
        <f t="shared" si="53"/>
        <v>2011-08</v>
      </c>
      <c r="G612" s="25">
        <f t="shared" si="54"/>
        <v>28.08</v>
      </c>
    </row>
    <row r="613" spans="1:7" x14ac:dyDescent="0.25">
      <c r="A613" s="18" t="s">
        <v>1376</v>
      </c>
      <c r="B613" s="28">
        <v>27.47</v>
      </c>
      <c r="C613" s="16" t="str">
        <f t="shared" si="55"/>
        <v>2011</v>
      </c>
      <c r="D613" t="str">
        <f t="shared" si="56"/>
        <v>36</v>
      </c>
      <c r="E613" s="21">
        <f t="shared" si="52"/>
        <v>40789</v>
      </c>
      <c r="F613" s="17" t="str">
        <f t="shared" si="53"/>
        <v>2011-09</v>
      </c>
      <c r="G613" s="25">
        <f t="shared" si="54"/>
        <v>26.315000000000001</v>
      </c>
    </row>
    <row r="614" spans="1:7" x14ac:dyDescent="0.25">
      <c r="A614" s="18" t="s">
        <v>1375</v>
      </c>
      <c r="B614" s="28">
        <v>25.97</v>
      </c>
      <c r="C614" s="16" t="str">
        <f t="shared" si="55"/>
        <v>2011</v>
      </c>
      <c r="D614" t="str">
        <f t="shared" si="56"/>
        <v>37</v>
      </c>
      <c r="E614" s="21">
        <f t="shared" si="52"/>
        <v>40796</v>
      </c>
      <c r="F614" s="17" t="str">
        <f t="shared" si="53"/>
        <v>2011-09</v>
      </c>
      <c r="G614" s="25">
        <f t="shared" si="54"/>
        <v>26.315000000000001</v>
      </c>
    </row>
    <row r="615" spans="1:7" x14ac:dyDescent="0.25">
      <c r="A615" s="18" t="s">
        <v>1374</v>
      </c>
      <c r="B615" s="28">
        <v>26.59</v>
      </c>
      <c r="C615" s="16" t="str">
        <f t="shared" si="55"/>
        <v>2011</v>
      </c>
      <c r="D615" t="str">
        <f t="shared" si="56"/>
        <v>38</v>
      </c>
      <c r="E615" s="21">
        <f t="shared" si="52"/>
        <v>40803</v>
      </c>
      <c r="F615" s="17" t="str">
        <f t="shared" si="53"/>
        <v>2011-09</v>
      </c>
      <c r="G615" s="25">
        <f t="shared" si="54"/>
        <v>26.315000000000001</v>
      </c>
    </row>
    <row r="616" spans="1:7" x14ac:dyDescent="0.25">
      <c r="A616" s="18" t="s">
        <v>1373</v>
      </c>
      <c r="B616" s="28">
        <v>25.23</v>
      </c>
      <c r="C616" s="16" t="str">
        <f t="shared" si="55"/>
        <v>2011</v>
      </c>
      <c r="D616" t="str">
        <f t="shared" si="56"/>
        <v>39</v>
      </c>
      <c r="E616" s="21">
        <f t="shared" si="52"/>
        <v>40810</v>
      </c>
      <c r="F616" s="17" t="str">
        <f t="shared" si="53"/>
        <v>2011-09</v>
      </c>
      <c r="G616" s="25">
        <f t="shared" si="54"/>
        <v>26.315000000000001</v>
      </c>
    </row>
    <row r="617" spans="1:7" x14ac:dyDescent="0.25">
      <c r="A617" s="18" t="s">
        <v>1372</v>
      </c>
      <c r="B617" s="28">
        <v>24.55</v>
      </c>
      <c r="C617" s="16" t="str">
        <f t="shared" si="55"/>
        <v>2011</v>
      </c>
      <c r="D617" t="str">
        <f t="shared" si="56"/>
        <v>40</v>
      </c>
      <c r="E617" s="21">
        <f t="shared" si="52"/>
        <v>40817</v>
      </c>
      <c r="F617" s="17" t="str">
        <f t="shared" si="53"/>
        <v>2011-10</v>
      </c>
      <c r="G617" s="25">
        <f t="shared" si="54"/>
        <v>23.513999999999999</v>
      </c>
    </row>
    <row r="618" spans="1:7" x14ac:dyDescent="0.25">
      <c r="A618" s="18" t="s">
        <v>1371</v>
      </c>
      <c r="B618" s="28">
        <v>24.2</v>
      </c>
      <c r="C618" s="16" t="str">
        <f t="shared" si="55"/>
        <v>2011</v>
      </c>
      <c r="D618" t="str">
        <f t="shared" si="56"/>
        <v>41</v>
      </c>
      <c r="E618" s="21">
        <f t="shared" si="52"/>
        <v>40824</v>
      </c>
      <c r="F618" s="17" t="str">
        <f t="shared" si="53"/>
        <v>2011-10</v>
      </c>
      <c r="G618" s="25">
        <f t="shared" si="54"/>
        <v>23.513999999999999</v>
      </c>
    </row>
    <row r="619" spans="1:7" x14ac:dyDescent="0.25">
      <c r="A619" s="18" t="s">
        <v>1370</v>
      </c>
      <c r="B619" s="28">
        <v>23.01</v>
      </c>
      <c r="C619" s="16" t="str">
        <f t="shared" si="55"/>
        <v>2011</v>
      </c>
      <c r="D619" t="str">
        <f t="shared" si="56"/>
        <v>42</v>
      </c>
      <c r="E619" s="21">
        <f t="shared" si="52"/>
        <v>40831</v>
      </c>
      <c r="F619" s="17" t="str">
        <f t="shared" si="53"/>
        <v>2011-10</v>
      </c>
      <c r="G619" s="25">
        <f t="shared" si="54"/>
        <v>23.513999999999999</v>
      </c>
    </row>
    <row r="620" spans="1:7" x14ac:dyDescent="0.25">
      <c r="A620" s="18" t="s">
        <v>1369</v>
      </c>
      <c r="B620" s="28">
        <v>21.63</v>
      </c>
      <c r="C620" s="16" t="str">
        <f t="shared" si="55"/>
        <v>2011</v>
      </c>
      <c r="D620" t="str">
        <f t="shared" si="56"/>
        <v>43</v>
      </c>
      <c r="E620" s="21">
        <f t="shared" si="52"/>
        <v>40838</v>
      </c>
      <c r="F620" s="17" t="str">
        <f t="shared" si="53"/>
        <v>2011-10</v>
      </c>
      <c r="G620" s="25">
        <f t="shared" si="54"/>
        <v>23.513999999999999</v>
      </c>
    </row>
    <row r="621" spans="1:7" x14ac:dyDescent="0.25">
      <c r="A621" s="18" t="s">
        <v>1368</v>
      </c>
      <c r="B621" s="28">
        <v>24.18</v>
      </c>
      <c r="C621" s="16" t="str">
        <f t="shared" si="55"/>
        <v>2011</v>
      </c>
      <c r="D621" t="str">
        <f t="shared" si="56"/>
        <v>44</v>
      </c>
      <c r="E621" s="21">
        <f t="shared" si="52"/>
        <v>40845</v>
      </c>
      <c r="F621" s="17" t="str">
        <f t="shared" si="53"/>
        <v>2011-10</v>
      </c>
      <c r="G621" s="25">
        <f t="shared" si="54"/>
        <v>23.513999999999999</v>
      </c>
    </row>
    <row r="622" spans="1:7" x14ac:dyDescent="0.25">
      <c r="A622" s="18" t="s">
        <v>1367</v>
      </c>
      <c r="B622" s="28">
        <v>25.23</v>
      </c>
      <c r="C622" s="16" t="str">
        <f t="shared" si="55"/>
        <v>2011</v>
      </c>
      <c r="D622" t="str">
        <f t="shared" si="56"/>
        <v>45</v>
      </c>
      <c r="E622" s="21">
        <f t="shared" si="52"/>
        <v>40852</v>
      </c>
      <c r="F622" s="17" t="str">
        <f t="shared" si="53"/>
        <v>2011-11</v>
      </c>
      <c r="G622" s="25">
        <f t="shared" si="54"/>
        <v>25.4</v>
      </c>
    </row>
    <row r="623" spans="1:7" x14ac:dyDescent="0.25">
      <c r="A623" s="18" t="s">
        <v>1366</v>
      </c>
      <c r="B623" s="28">
        <v>24.16</v>
      </c>
      <c r="C623" s="16" t="str">
        <f t="shared" si="55"/>
        <v>2011</v>
      </c>
      <c r="D623" t="str">
        <f t="shared" si="56"/>
        <v>46</v>
      </c>
      <c r="E623" s="21">
        <f t="shared" si="52"/>
        <v>40859</v>
      </c>
      <c r="F623" s="17" t="str">
        <f t="shared" si="53"/>
        <v>2011-11</v>
      </c>
      <c r="G623" s="25">
        <f t="shared" si="54"/>
        <v>25.4</v>
      </c>
    </row>
    <row r="624" spans="1:7" x14ac:dyDescent="0.25">
      <c r="A624" s="18" t="s">
        <v>1365</v>
      </c>
      <c r="B624" s="28">
        <v>26.15</v>
      </c>
      <c r="C624" s="16" t="str">
        <f t="shared" si="55"/>
        <v>2011</v>
      </c>
      <c r="D624" t="str">
        <f t="shared" si="56"/>
        <v>47</v>
      </c>
      <c r="E624" s="21">
        <f t="shared" si="52"/>
        <v>40866</v>
      </c>
      <c r="F624" s="17" t="str">
        <f t="shared" si="53"/>
        <v>2011-11</v>
      </c>
      <c r="G624" s="25">
        <f t="shared" si="54"/>
        <v>25.4</v>
      </c>
    </row>
    <row r="625" spans="1:7" x14ac:dyDescent="0.25">
      <c r="A625" s="18" t="s">
        <v>1364</v>
      </c>
      <c r="B625" s="28">
        <v>26.06</v>
      </c>
      <c r="C625" s="16" t="str">
        <f t="shared" si="55"/>
        <v>2011</v>
      </c>
      <c r="D625" t="str">
        <f t="shared" si="56"/>
        <v>48</v>
      </c>
      <c r="E625" s="21">
        <f t="shared" si="52"/>
        <v>40873</v>
      </c>
      <c r="F625" s="17" t="str">
        <f t="shared" si="53"/>
        <v>2011-11</v>
      </c>
      <c r="G625" s="25">
        <f t="shared" si="54"/>
        <v>25.4</v>
      </c>
    </row>
    <row r="626" spans="1:7" x14ac:dyDescent="0.25">
      <c r="A626" s="18" t="s">
        <v>1363</v>
      </c>
      <c r="B626" s="28">
        <v>25.9</v>
      </c>
      <c r="C626" s="16" t="str">
        <f t="shared" si="55"/>
        <v>2011</v>
      </c>
      <c r="D626" t="str">
        <f t="shared" si="56"/>
        <v>49</v>
      </c>
      <c r="E626" s="21">
        <f t="shared" si="52"/>
        <v>40880</v>
      </c>
      <c r="F626" s="17" t="str">
        <f t="shared" si="53"/>
        <v>2011-12</v>
      </c>
      <c r="G626" s="25">
        <f t="shared" si="54"/>
        <v>26.922499999999999</v>
      </c>
    </row>
    <row r="627" spans="1:7" x14ac:dyDescent="0.25">
      <c r="A627" s="18" t="s">
        <v>1362</v>
      </c>
      <c r="B627" s="28">
        <v>28.49</v>
      </c>
      <c r="C627" s="16" t="str">
        <f t="shared" si="55"/>
        <v>2011</v>
      </c>
      <c r="D627" t="str">
        <f t="shared" si="56"/>
        <v>50</v>
      </c>
      <c r="E627" s="21">
        <f t="shared" si="52"/>
        <v>40887</v>
      </c>
      <c r="F627" s="17" t="str">
        <f t="shared" si="53"/>
        <v>2011-12</v>
      </c>
      <c r="G627" s="25">
        <f t="shared" si="54"/>
        <v>26.922499999999999</v>
      </c>
    </row>
    <row r="628" spans="1:7" x14ac:dyDescent="0.25">
      <c r="A628" s="18" t="s">
        <v>1361</v>
      </c>
      <c r="B628" s="28">
        <v>26.9</v>
      </c>
      <c r="C628" s="16" t="str">
        <f t="shared" si="55"/>
        <v>2011</v>
      </c>
      <c r="D628" t="str">
        <f t="shared" si="56"/>
        <v>51</v>
      </c>
      <c r="E628" s="21">
        <f t="shared" si="52"/>
        <v>40894</v>
      </c>
      <c r="F628" s="17" t="str">
        <f t="shared" si="53"/>
        <v>2011-12</v>
      </c>
      <c r="G628" s="25">
        <f t="shared" si="54"/>
        <v>26.922499999999999</v>
      </c>
    </row>
    <row r="629" spans="1:7" x14ac:dyDescent="0.25">
      <c r="A629" s="18" t="s">
        <v>1360</v>
      </c>
      <c r="B629" s="28">
        <v>26.4</v>
      </c>
      <c r="C629" s="16" t="str">
        <f t="shared" si="55"/>
        <v>2011</v>
      </c>
      <c r="D629" t="str">
        <f t="shared" si="56"/>
        <v>52</v>
      </c>
      <c r="E629" s="21">
        <f t="shared" si="52"/>
        <v>40901</v>
      </c>
      <c r="F629" s="17" t="str">
        <f t="shared" si="53"/>
        <v>2011-12</v>
      </c>
      <c r="G629" s="25">
        <f t="shared" si="54"/>
        <v>26.922499999999999</v>
      </c>
    </row>
    <row r="630" spans="1:7" x14ac:dyDescent="0.25">
      <c r="A630" s="18" t="s">
        <v>1359</v>
      </c>
      <c r="B630" s="28">
        <v>25.65</v>
      </c>
      <c r="C630" s="16" t="str">
        <f t="shared" si="55"/>
        <v>2012</v>
      </c>
      <c r="D630" t="str">
        <f t="shared" si="56"/>
        <v>01</v>
      </c>
      <c r="E630" s="21">
        <f t="shared" si="52"/>
        <v>40909</v>
      </c>
      <c r="F630" s="17" t="str">
        <f t="shared" si="53"/>
        <v>2012-01</v>
      </c>
      <c r="G630" s="25">
        <f t="shared" si="54"/>
        <v>25.576000000000001</v>
      </c>
    </row>
    <row r="631" spans="1:7" x14ac:dyDescent="0.25">
      <c r="A631" s="18" t="s">
        <v>1358</v>
      </c>
      <c r="B631" s="28">
        <v>24.95</v>
      </c>
      <c r="C631" s="16" t="str">
        <f t="shared" si="55"/>
        <v>2012</v>
      </c>
      <c r="D631" t="str">
        <f t="shared" si="56"/>
        <v>02</v>
      </c>
      <c r="E631" s="21">
        <f t="shared" si="52"/>
        <v>40916</v>
      </c>
      <c r="F631" s="17" t="str">
        <f t="shared" si="53"/>
        <v>2012-01</v>
      </c>
      <c r="G631" s="25">
        <f t="shared" si="54"/>
        <v>25.576000000000001</v>
      </c>
    </row>
    <row r="632" spans="1:7" x14ac:dyDescent="0.25">
      <c r="A632" s="18" t="s">
        <v>1357</v>
      </c>
      <c r="B632" s="28">
        <v>26.71</v>
      </c>
      <c r="C632" s="16" t="str">
        <f t="shared" si="55"/>
        <v>2012</v>
      </c>
      <c r="D632" t="str">
        <f t="shared" si="56"/>
        <v>03</v>
      </c>
      <c r="E632" s="21">
        <f t="shared" si="52"/>
        <v>40923</v>
      </c>
      <c r="F632" s="17" t="str">
        <f t="shared" si="53"/>
        <v>2012-01</v>
      </c>
      <c r="G632" s="25">
        <f t="shared" si="54"/>
        <v>25.576000000000001</v>
      </c>
    </row>
    <row r="633" spans="1:7" x14ac:dyDescent="0.25">
      <c r="A633" s="18" t="s">
        <v>1356</v>
      </c>
      <c r="B633" s="28">
        <v>25.26</v>
      </c>
      <c r="C633" s="16" t="str">
        <f t="shared" si="55"/>
        <v>2012</v>
      </c>
      <c r="D633" t="str">
        <f t="shared" si="56"/>
        <v>04</v>
      </c>
      <c r="E633" s="21">
        <f t="shared" si="52"/>
        <v>40930</v>
      </c>
      <c r="F633" s="17" t="str">
        <f t="shared" si="53"/>
        <v>2012-01</v>
      </c>
      <c r="G633" s="25">
        <f t="shared" si="54"/>
        <v>25.576000000000001</v>
      </c>
    </row>
    <row r="634" spans="1:7" x14ac:dyDescent="0.25">
      <c r="A634" s="18" t="s">
        <v>1355</v>
      </c>
      <c r="B634" s="28">
        <v>25.31</v>
      </c>
      <c r="C634" s="16" t="str">
        <f t="shared" si="55"/>
        <v>2012</v>
      </c>
      <c r="D634" t="str">
        <f t="shared" si="56"/>
        <v>05</v>
      </c>
      <c r="E634" s="21">
        <f t="shared" si="52"/>
        <v>40937</v>
      </c>
      <c r="F634" s="17" t="str">
        <f t="shared" si="53"/>
        <v>2012-01</v>
      </c>
      <c r="G634" s="25">
        <f t="shared" si="54"/>
        <v>25.576000000000001</v>
      </c>
    </row>
    <row r="635" spans="1:7" x14ac:dyDescent="0.25">
      <c r="A635" s="18" t="s">
        <v>1354</v>
      </c>
      <c r="B635" s="28">
        <v>27.51</v>
      </c>
      <c r="C635" s="16" t="str">
        <f t="shared" si="55"/>
        <v>2012</v>
      </c>
      <c r="D635" t="str">
        <f t="shared" si="56"/>
        <v>06</v>
      </c>
      <c r="E635" s="21">
        <f t="shared" si="52"/>
        <v>40944</v>
      </c>
      <c r="F635" s="17" t="str">
        <f t="shared" si="53"/>
        <v>2012-02</v>
      </c>
      <c r="G635" s="25">
        <f t="shared" si="54"/>
        <v>28.6525</v>
      </c>
    </row>
    <row r="636" spans="1:7" x14ac:dyDescent="0.25">
      <c r="A636" s="18" t="s">
        <v>1353</v>
      </c>
      <c r="B636" s="28">
        <v>28.49</v>
      </c>
      <c r="C636" s="16" t="str">
        <f t="shared" si="55"/>
        <v>2012</v>
      </c>
      <c r="D636" t="str">
        <f t="shared" si="56"/>
        <v>07</v>
      </c>
      <c r="E636" s="21">
        <f t="shared" si="52"/>
        <v>40951</v>
      </c>
      <c r="F636" s="17" t="str">
        <f t="shared" si="53"/>
        <v>2012-02</v>
      </c>
      <c r="G636" s="25">
        <f t="shared" si="54"/>
        <v>28.6525</v>
      </c>
    </row>
    <row r="637" spans="1:7" x14ac:dyDescent="0.25">
      <c r="A637" s="18" t="s">
        <v>1352</v>
      </c>
      <c r="B637" s="28">
        <v>29.84</v>
      </c>
      <c r="C637" s="16" t="str">
        <f t="shared" si="55"/>
        <v>2012</v>
      </c>
      <c r="D637" t="str">
        <f t="shared" si="56"/>
        <v>08</v>
      </c>
      <c r="E637" s="21">
        <f t="shared" si="52"/>
        <v>40958</v>
      </c>
      <c r="F637" s="17" t="str">
        <f t="shared" si="53"/>
        <v>2012-02</v>
      </c>
      <c r="G637" s="25">
        <f t="shared" si="54"/>
        <v>28.6525</v>
      </c>
    </row>
    <row r="638" spans="1:7" x14ac:dyDescent="0.25">
      <c r="A638" s="18" t="s">
        <v>1351</v>
      </c>
      <c r="B638" s="28">
        <v>28.77</v>
      </c>
      <c r="C638" s="16" t="str">
        <f t="shared" si="55"/>
        <v>2012</v>
      </c>
      <c r="D638" t="str">
        <f t="shared" si="56"/>
        <v>09</v>
      </c>
      <c r="E638" s="21">
        <f t="shared" si="52"/>
        <v>40965</v>
      </c>
      <c r="F638" s="17" t="str">
        <f t="shared" si="53"/>
        <v>2012-02</v>
      </c>
      <c r="G638" s="25">
        <f t="shared" si="54"/>
        <v>28.6525</v>
      </c>
    </row>
    <row r="639" spans="1:7" x14ac:dyDescent="0.25">
      <c r="A639" s="18" t="s">
        <v>1350</v>
      </c>
      <c r="B639" s="28">
        <v>28.64</v>
      </c>
      <c r="C639" s="16" t="str">
        <f t="shared" si="55"/>
        <v>2012</v>
      </c>
      <c r="D639" t="str">
        <f t="shared" si="56"/>
        <v>10</v>
      </c>
      <c r="E639" s="21">
        <f t="shared" si="52"/>
        <v>40972</v>
      </c>
      <c r="F639" s="17" t="str">
        <f t="shared" si="53"/>
        <v>2012-03</v>
      </c>
      <c r="G639" s="25">
        <f t="shared" si="54"/>
        <v>28.155000000000001</v>
      </c>
    </row>
    <row r="640" spans="1:7" x14ac:dyDescent="0.25">
      <c r="A640" s="18" t="s">
        <v>1349</v>
      </c>
      <c r="B640" s="28">
        <v>29.07</v>
      </c>
      <c r="C640" s="16" t="str">
        <f t="shared" si="55"/>
        <v>2012</v>
      </c>
      <c r="D640" t="str">
        <f t="shared" si="56"/>
        <v>11</v>
      </c>
      <c r="E640" s="21">
        <f t="shared" si="52"/>
        <v>40979</v>
      </c>
      <c r="F640" s="17" t="str">
        <f t="shared" si="53"/>
        <v>2012-03</v>
      </c>
      <c r="G640" s="25">
        <f t="shared" si="54"/>
        <v>28.155000000000001</v>
      </c>
    </row>
    <row r="641" spans="1:7" x14ac:dyDescent="0.25">
      <c r="A641" s="18" t="s">
        <v>1348</v>
      </c>
      <c r="B641" s="28">
        <v>28.27</v>
      </c>
      <c r="C641" s="16" t="str">
        <f t="shared" si="55"/>
        <v>2012</v>
      </c>
      <c r="D641" t="str">
        <f t="shared" si="56"/>
        <v>12</v>
      </c>
      <c r="E641" s="21">
        <f t="shared" si="52"/>
        <v>40986</v>
      </c>
      <c r="F641" s="17" t="str">
        <f t="shared" si="53"/>
        <v>2012-03</v>
      </c>
      <c r="G641" s="25">
        <f t="shared" si="54"/>
        <v>28.155000000000001</v>
      </c>
    </row>
    <row r="642" spans="1:7" x14ac:dyDescent="0.25">
      <c r="A642" s="18" t="s">
        <v>1347</v>
      </c>
      <c r="B642" s="28">
        <v>26.64</v>
      </c>
      <c r="C642" s="16" t="str">
        <f t="shared" si="55"/>
        <v>2012</v>
      </c>
      <c r="D642" t="str">
        <f t="shared" si="56"/>
        <v>13</v>
      </c>
      <c r="E642" s="21">
        <f t="shared" si="52"/>
        <v>40993</v>
      </c>
      <c r="F642" s="17" t="str">
        <f t="shared" si="53"/>
        <v>2012-03</v>
      </c>
      <c r="G642" s="25">
        <f t="shared" si="54"/>
        <v>28.155000000000001</v>
      </c>
    </row>
    <row r="643" spans="1:7" x14ac:dyDescent="0.25">
      <c r="A643" s="18" t="s">
        <v>1346</v>
      </c>
      <c r="B643" s="28">
        <v>29.61</v>
      </c>
      <c r="C643" s="16" t="str">
        <f t="shared" si="55"/>
        <v>2012</v>
      </c>
      <c r="D643" t="str">
        <f t="shared" si="56"/>
        <v>14</v>
      </c>
      <c r="E643" s="21">
        <f t="shared" si="52"/>
        <v>41000</v>
      </c>
      <c r="F643" s="17" t="str">
        <f t="shared" si="53"/>
        <v>2012-04</v>
      </c>
      <c r="G643" s="25">
        <f t="shared" si="54"/>
        <v>29.173999999999999</v>
      </c>
    </row>
    <row r="644" spans="1:7" x14ac:dyDescent="0.25">
      <c r="A644" s="18" t="s">
        <v>1345</v>
      </c>
      <c r="B644" s="28">
        <v>29.34</v>
      </c>
      <c r="C644" s="16" t="str">
        <f t="shared" si="55"/>
        <v>2012</v>
      </c>
      <c r="D644" t="str">
        <f t="shared" si="56"/>
        <v>15</v>
      </c>
      <c r="E644" s="21">
        <f t="shared" si="52"/>
        <v>41007</v>
      </c>
      <c r="F644" s="17" t="str">
        <f t="shared" si="53"/>
        <v>2012-04</v>
      </c>
      <c r="G644" s="25">
        <f t="shared" si="54"/>
        <v>29.173999999999999</v>
      </c>
    </row>
    <row r="645" spans="1:7" x14ac:dyDescent="0.25">
      <c r="A645" s="18" t="s">
        <v>1344</v>
      </c>
      <c r="B645" s="28">
        <v>28.7</v>
      </c>
      <c r="C645" s="16" t="str">
        <f t="shared" si="55"/>
        <v>2012</v>
      </c>
      <c r="D645" t="str">
        <f t="shared" si="56"/>
        <v>16</v>
      </c>
      <c r="E645" s="21">
        <f t="shared" ref="E645:E708" si="57">DATE(C645,1,1)+(D645-1)*7</f>
        <v>41014</v>
      </c>
      <c r="F645" s="17" t="str">
        <f t="shared" ref="F645:F708" si="58">TEXT(E645,"éééé-hh")</f>
        <v>2012-04</v>
      </c>
      <c r="G645" s="25">
        <f t="shared" ref="G645:G708" si="59">AVERAGEIF($F$4:$F$1353,F645,$B$4:$B$1353)</f>
        <v>29.173999999999999</v>
      </c>
    </row>
    <row r="646" spans="1:7" x14ac:dyDescent="0.25">
      <c r="A646" s="18" t="s">
        <v>1343</v>
      </c>
      <c r="B646" s="28">
        <v>29.11</v>
      </c>
      <c r="C646" s="16" t="str">
        <f t="shared" si="55"/>
        <v>2012</v>
      </c>
      <c r="D646" t="str">
        <f t="shared" si="56"/>
        <v>17</v>
      </c>
      <c r="E646" s="21">
        <f t="shared" si="57"/>
        <v>41021</v>
      </c>
      <c r="F646" s="17" t="str">
        <f t="shared" si="58"/>
        <v>2012-04</v>
      </c>
      <c r="G646" s="25">
        <f t="shared" si="59"/>
        <v>29.173999999999999</v>
      </c>
    </row>
    <row r="647" spans="1:7" x14ac:dyDescent="0.25">
      <c r="A647" s="18" t="s">
        <v>1342</v>
      </c>
      <c r="B647" s="28">
        <v>29.11</v>
      </c>
      <c r="C647" s="16" t="str">
        <f t="shared" si="55"/>
        <v>2012</v>
      </c>
      <c r="D647" t="str">
        <f t="shared" si="56"/>
        <v>18</v>
      </c>
      <c r="E647" s="21">
        <f t="shared" si="57"/>
        <v>41028</v>
      </c>
      <c r="F647" s="17" t="str">
        <f t="shared" si="58"/>
        <v>2012-04</v>
      </c>
      <c r="G647" s="25">
        <f t="shared" si="59"/>
        <v>29.173999999999999</v>
      </c>
    </row>
    <row r="648" spans="1:7" x14ac:dyDescent="0.25">
      <c r="A648" s="18" t="s">
        <v>1341</v>
      </c>
      <c r="B648" s="28">
        <v>29.06</v>
      </c>
      <c r="C648" s="16" t="str">
        <f t="shared" si="55"/>
        <v>2012</v>
      </c>
      <c r="D648" t="str">
        <f t="shared" si="56"/>
        <v>19</v>
      </c>
      <c r="E648" s="21">
        <f t="shared" si="57"/>
        <v>41035</v>
      </c>
      <c r="F648" s="17" t="str">
        <f t="shared" si="58"/>
        <v>2012-05</v>
      </c>
      <c r="G648" s="25">
        <f t="shared" si="59"/>
        <v>29.535</v>
      </c>
    </row>
    <row r="649" spans="1:7" x14ac:dyDescent="0.25">
      <c r="A649" s="18" t="s">
        <v>1340</v>
      </c>
      <c r="B649" s="28">
        <v>31.27</v>
      </c>
      <c r="C649" s="16" t="str">
        <f t="shared" si="55"/>
        <v>2012</v>
      </c>
      <c r="D649" t="str">
        <f t="shared" si="56"/>
        <v>20</v>
      </c>
      <c r="E649" s="21">
        <f t="shared" si="57"/>
        <v>41042</v>
      </c>
      <c r="F649" s="17" t="str">
        <f t="shared" si="58"/>
        <v>2012-05</v>
      </c>
      <c r="G649" s="25">
        <f t="shared" si="59"/>
        <v>29.535</v>
      </c>
    </row>
    <row r="650" spans="1:7" x14ac:dyDescent="0.25">
      <c r="A650" s="18" t="s">
        <v>1339</v>
      </c>
      <c r="B650" s="28">
        <v>29.51</v>
      </c>
      <c r="C650" s="16" t="str">
        <f t="shared" si="55"/>
        <v>2012</v>
      </c>
      <c r="D650" t="str">
        <f t="shared" si="56"/>
        <v>21</v>
      </c>
      <c r="E650" s="21">
        <f t="shared" si="57"/>
        <v>41049</v>
      </c>
      <c r="F650" s="17" t="str">
        <f t="shared" si="58"/>
        <v>2012-05</v>
      </c>
      <c r="G650" s="25">
        <f t="shared" si="59"/>
        <v>29.535</v>
      </c>
    </row>
    <row r="651" spans="1:7" x14ac:dyDescent="0.25">
      <c r="A651" s="18" t="s">
        <v>1338</v>
      </c>
      <c r="B651" s="28">
        <v>28.3</v>
      </c>
      <c r="C651" s="16" t="str">
        <f t="shared" si="55"/>
        <v>2012</v>
      </c>
      <c r="D651" t="str">
        <f t="shared" si="56"/>
        <v>22</v>
      </c>
      <c r="E651" s="21">
        <f t="shared" si="57"/>
        <v>41056</v>
      </c>
      <c r="F651" s="17" t="str">
        <f t="shared" si="58"/>
        <v>2012-05</v>
      </c>
      <c r="G651" s="25">
        <f t="shared" si="59"/>
        <v>29.535</v>
      </c>
    </row>
    <row r="652" spans="1:7" x14ac:dyDescent="0.25">
      <c r="A652" s="18" t="s">
        <v>1337</v>
      </c>
      <c r="B652" s="28">
        <v>26.42</v>
      </c>
      <c r="C652" s="16" t="str">
        <f t="shared" si="55"/>
        <v>2012</v>
      </c>
      <c r="D652" t="str">
        <f t="shared" si="56"/>
        <v>23</v>
      </c>
      <c r="E652" s="21">
        <f t="shared" si="57"/>
        <v>41063</v>
      </c>
      <c r="F652" s="17" t="str">
        <f t="shared" si="58"/>
        <v>2012-06</v>
      </c>
      <c r="G652" s="25">
        <f t="shared" si="59"/>
        <v>26.707500000000003</v>
      </c>
    </row>
    <row r="653" spans="1:7" x14ac:dyDescent="0.25">
      <c r="A653" s="18" t="s">
        <v>1336</v>
      </c>
      <c r="B653" s="28">
        <v>25.92</v>
      </c>
      <c r="C653" s="16" t="str">
        <f t="shared" si="55"/>
        <v>2012</v>
      </c>
      <c r="D653" t="str">
        <f t="shared" si="56"/>
        <v>24</v>
      </c>
      <c r="E653" s="21">
        <f t="shared" si="57"/>
        <v>41070</v>
      </c>
      <c r="F653" s="17" t="str">
        <f t="shared" si="58"/>
        <v>2012-06</v>
      </c>
      <c r="G653" s="25">
        <f t="shared" si="59"/>
        <v>26.707500000000003</v>
      </c>
    </row>
    <row r="654" spans="1:7" x14ac:dyDescent="0.25">
      <c r="A654" s="18" t="s">
        <v>1335</v>
      </c>
      <c r="B654" s="28">
        <v>27.59</v>
      </c>
      <c r="C654" s="16" t="str">
        <f t="shared" si="55"/>
        <v>2012</v>
      </c>
      <c r="D654" t="str">
        <f t="shared" si="56"/>
        <v>25</v>
      </c>
      <c r="E654" s="21">
        <f t="shared" si="57"/>
        <v>41077</v>
      </c>
      <c r="F654" s="17" t="str">
        <f t="shared" si="58"/>
        <v>2012-06</v>
      </c>
      <c r="G654" s="25">
        <f t="shared" si="59"/>
        <v>26.707500000000003</v>
      </c>
    </row>
    <row r="655" spans="1:7" x14ac:dyDescent="0.25">
      <c r="A655" s="18" t="s">
        <v>1334</v>
      </c>
      <c r="B655" s="28">
        <v>26.9</v>
      </c>
      <c r="C655" s="16" t="str">
        <f t="shared" si="55"/>
        <v>2012</v>
      </c>
      <c r="D655" t="str">
        <f t="shared" si="56"/>
        <v>26</v>
      </c>
      <c r="E655" s="21">
        <f t="shared" si="57"/>
        <v>41084</v>
      </c>
      <c r="F655" s="17" t="str">
        <f t="shared" si="58"/>
        <v>2012-06</v>
      </c>
      <c r="G655" s="25">
        <f t="shared" si="59"/>
        <v>26.707500000000003</v>
      </c>
    </row>
    <row r="656" spans="1:7" x14ac:dyDescent="0.25">
      <c r="A656" s="18" t="s">
        <v>1333</v>
      </c>
      <c r="B656" s="28">
        <v>27.7</v>
      </c>
      <c r="C656" s="16" t="str">
        <f t="shared" si="55"/>
        <v>2012</v>
      </c>
      <c r="D656" t="str">
        <f t="shared" si="56"/>
        <v>27</v>
      </c>
      <c r="E656" s="21">
        <f t="shared" si="57"/>
        <v>41091</v>
      </c>
      <c r="F656" s="17" t="str">
        <f t="shared" si="58"/>
        <v>2012-07</v>
      </c>
      <c r="G656" s="25">
        <f t="shared" si="59"/>
        <v>26.946000000000005</v>
      </c>
    </row>
    <row r="657" spans="1:7" x14ac:dyDescent="0.25">
      <c r="A657" s="18" t="s">
        <v>1332</v>
      </c>
      <c r="B657" s="28">
        <v>26.9</v>
      </c>
      <c r="C657" s="16" t="str">
        <f t="shared" si="55"/>
        <v>2012</v>
      </c>
      <c r="D657" t="str">
        <f t="shared" si="56"/>
        <v>28</v>
      </c>
      <c r="E657" s="21">
        <f t="shared" si="57"/>
        <v>41098</v>
      </c>
      <c r="F657" s="17" t="str">
        <f t="shared" si="58"/>
        <v>2012-07</v>
      </c>
      <c r="G657" s="25">
        <f t="shared" si="59"/>
        <v>26.946000000000005</v>
      </c>
    </row>
    <row r="658" spans="1:7" x14ac:dyDescent="0.25">
      <c r="A658" s="18" t="s">
        <v>1331</v>
      </c>
      <c r="B658" s="28">
        <v>26.4</v>
      </c>
      <c r="C658" s="16" t="str">
        <f t="shared" si="55"/>
        <v>2012</v>
      </c>
      <c r="D658" t="str">
        <f t="shared" si="56"/>
        <v>29</v>
      </c>
      <c r="E658" s="21">
        <f t="shared" si="57"/>
        <v>41105</v>
      </c>
      <c r="F658" s="17" t="str">
        <f t="shared" si="58"/>
        <v>2012-07</v>
      </c>
      <c r="G658" s="25">
        <f t="shared" si="59"/>
        <v>26.946000000000005</v>
      </c>
    </row>
    <row r="659" spans="1:7" x14ac:dyDescent="0.25">
      <c r="A659" s="18" t="s">
        <v>1330</v>
      </c>
      <c r="B659" s="28">
        <v>26.56</v>
      </c>
      <c r="C659" s="16" t="str">
        <f t="shared" si="55"/>
        <v>2012</v>
      </c>
      <c r="D659" t="str">
        <f t="shared" si="56"/>
        <v>30</v>
      </c>
      <c r="E659" s="21">
        <f t="shared" si="57"/>
        <v>41112</v>
      </c>
      <c r="F659" s="17" t="str">
        <f t="shared" si="58"/>
        <v>2012-07</v>
      </c>
      <c r="G659" s="25">
        <f t="shared" si="59"/>
        <v>26.946000000000005</v>
      </c>
    </row>
    <row r="660" spans="1:7" x14ac:dyDescent="0.25">
      <c r="A660" s="18" t="s">
        <v>1329</v>
      </c>
      <c r="B660" s="28">
        <v>27.17</v>
      </c>
      <c r="C660" s="16" t="str">
        <f t="shared" ref="C660:C723" si="60">LEFT(A660,4)</f>
        <v>2012</v>
      </c>
      <c r="D660" t="str">
        <f t="shared" ref="D660:D723" si="61">RIGHT(A660,2)</f>
        <v>31</v>
      </c>
      <c r="E660" s="21">
        <f t="shared" si="57"/>
        <v>41119</v>
      </c>
      <c r="F660" s="17" t="str">
        <f t="shared" si="58"/>
        <v>2012-07</v>
      </c>
      <c r="G660" s="25">
        <f t="shared" si="59"/>
        <v>26.946000000000005</v>
      </c>
    </row>
    <row r="661" spans="1:7" x14ac:dyDescent="0.25">
      <c r="A661" s="18" t="s">
        <v>1328</v>
      </c>
      <c r="B661" s="28">
        <v>28.31</v>
      </c>
      <c r="C661" s="16" t="str">
        <f t="shared" si="60"/>
        <v>2012</v>
      </c>
      <c r="D661" t="str">
        <f t="shared" si="61"/>
        <v>32</v>
      </c>
      <c r="E661" s="21">
        <f t="shared" si="57"/>
        <v>41126</v>
      </c>
      <c r="F661" s="17" t="str">
        <f t="shared" si="58"/>
        <v>2012-08</v>
      </c>
      <c r="G661" s="25">
        <f t="shared" si="59"/>
        <v>28.11</v>
      </c>
    </row>
    <row r="662" spans="1:7" x14ac:dyDescent="0.25">
      <c r="A662" s="18" t="s">
        <v>1327</v>
      </c>
      <c r="B662" s="28">
        <v>27.36</v>
      </c>
      <c r="C662" s="16" t="str">
        <f t="shared" si="60"/>
        <v>2012</v>
      </c>
      <c r="D662" t="str">
        <f t="shared" si="61"/>
        <v>33</v>
      </c>
      <c r="E662" s="21">
        <f t="shared" si="57"/>
        <v>41133</v>
      </c>
      <c r="F662" s="17" t="str">
        <f t="shared" si="58"/>
        <v>2012-08</v>
      </c>
      <c r="G662" s="25">
        <f t="shared" si="59"/>
        <v>28.11</v>
      </c>
    </row>
    <row r="663" spans="1:7" x14ac:dyDescent="0.25">
      <c r="A663" s="18" t="s">
        <v>1326</v>
      </c>
      <c r="B663" s="28">
        <v>27.67</v>
      </c>
      <c r="C663" s="16" t="str">
        <f t="shared" si="60"/>
        <v>2012</v>
      </c>
      <c r="D663" t="str">
        <f t="shared" si="61"/>
        <v>34</v>
      </c>
      <c r="E663" s="21">
        <f t="shared" si="57"/>
        <v>41140</v>
      </c>
      <c r="F663" s="17" t="str">
        <f t="shared" si="58"/>
        <v>2012-08</v>
      </c>
      <c r="G663" s="25">
        <f t="shared" si="59"/>
        <v>28.11</v>
      </c>
    </row>
    <row r="664" spans="1:7" x14ac:dyDescent="0.25">
      <c r="A664" s="18" t="s">
        <v>1325</v>
      </c>
      <c r="B664" s="28">
        <v>29.1</v>
      </c>
      <c r="C664" s="16" t="str">
        <f t="shared" si="60"/>
        <v>2012</v>
      </c>
      <c r="D664" t="str">
        <f t="shared" si="61"/>
        <v>35</v>
      </c>
      <c r="E664" s="21">
        <f t="shared" si="57"/>
        <v>41147</v>
      </c>
      <c r="F664" s="17" t="str">
        <f t="shared" si="58"/>
        <v>2012-08</v>
      </c>
      <c r="G664" s="25">
        <f t="shared" si="59"/>
        <v>28.11</v>
      </c>
    </row>
    <row r="665" spans="1:7" x14ac:dyDescent="0.25">
      <c r="A665" s="18" t="s">
        <v>1324</v>
      </c>
      <c r="B665" s="28">
        <v>28.6</v>
      </c>
      <c r="C665" s="16" t="str">
        <f t="shared" si="60"/>
        <v>2012</v>
      </c>
      <c r="D665" t="str">
        <f t="shared" si="61"/>
        <v>36</v>
      </c>
      <c r="E665" s="21">
        <f t="shared" si="57"/>
        <v>41154</v>
      </c>
      <c r="F665" s="17" t="str">
        <f t="shared" si="58"/>
        <v>2012-09</v>
      </c>
      <c r="G665" s="25">
        <f t="shared" si="59"/>
        <v>25.962</v>
      </c>
    </row>
    <row r="666" spans="1:7" x14ac:dyDescent="0.25">
      <c r="A666" s="18" t="s">
        <v>1323</v>
      </c>
      <c r="B666" s="28">
        <v>26.92</v>
      </c>
      <c r="C666" s="16" t="str">
        <f t="shared" si="60"/>
        <v>2012</v>
      </c>
      <c r="D666" t="str">
        <f t="shared" si="61"/>
        <v>37</v>
      </c>
      <c r="E666" s="21">
        <f t="shared" si="57"/>
        <v>41161</v>
      </c>
      <c r="F666" s="17" t="str">
        <f t="shared" si="58"/>
        <v>2012-09</v>
      </c>
      <c r="G666" s="25">
        <f t="shared" si="59"/>
        <v>25.962</v>
      </c>
    </row>
    <row r="667" spans="1:7" x14ac:dyDescent="0.25">
      <c r="A667" s="18" t="s">
        <v>1322</v>
      </c>
      <c r="B667" s="28">
        <v>26.02</v>
      </c>
      <c r="C667" s="16" t="str">
        <f t="shared" si="60"/>
        <v>2012</v>
      </c>
      <c r="D667" t="str">
        <f t="shared" si="61"/>
        <v>38</v>
      </c>
      <c r="E667" s="21">
        <f t="shared" si="57"/>
        <v>41168</v>
      </c>
      <c r="F667" s="17" t="str">
        <f t="shared" si="58"/>
        <v>2012-09</v>
      </c>
      <c r="G667" s="25">
        <f t="shared" si="59"/>
        <v>25.962</v>
      </c>
    </row>
    <row r="668" spans="1:7" x14ac:dyDescent="0.25">
      <c r="A668" s="18" t="s">
        <v>1321</v>
      </c>
      <c r="B668" s="28">
        <v>23.99</v>
      </c>
      <c r="C668" s="16" t="str">
        <f t="shared" si="60"/>
        <v>2012</v>
      </c>
      <c r="D668" t="str">
        <f t="shared" si="61"/>
        <v>39</v>
      </c>
      <c r="E668" s="21">
        <f t="shared" si="57"/>
        <v>41175</v>
      </c>
      <c r="F668" s="17" t="str">
        <f t="shared" si="58"/>
        <v>2012-09</v>
      </c>
      <c r="G668" s="25">
        <f t="shared" si="59"/>
        <v>25.962</v>
      </c>
    </row>
    <row r="669" spans="1:7" x14ac:dyDescent="0.25">
      <c r="A669" s="18" t="s">
        <v>1320</v>
      </c>
      <c r="B669" s="28">
        <v>24.28</v>
      </c>
      <c r="C669" s="16" t="str">
        <f t="shared" si="60"/>
        <v>2012</v>
      </c>
      <c r="D669" t="str">
        <f t="shared" si="61"/>
        <v>40</v>
      </c>
      <c r="E669" s="21">
        <f t="shared" si="57"/>
        <v>41182</v>
      </c>
      <c r="F669" s="17" t="str">
        <f t="shared" si="58"/>
        <v>2012-09</v>
      </c>
      <c r="G669" s="25">
        <f t="shared" si="59"/>
        <v>25.962</v>
      </c>
    </row>
    <row r="670" spans="1:7" x14ac:dyDescent="0.25">
      <c r="A670" s="18" t="s">
        <v>1319</v>
      </c>
      <c r="B670" s="28">
        <v>26.66</v>
      </c>
      <c r="C670" s="16" t="str">
        <f t="shared" si="60"/>
        <v>2012</v>
      </c>
      <c r="D670" t="str">
        <f t="shared" si="61"/>
        <v>41</v>
      </c>
      <c r="E670" s="21">
        <f t="shared" si="57"/>
        <v>41189</v>
      </c>
      <c r="F670" s="17" t="str">
        <f t="shared" si="58"/>
        <v>2012-10</v>
      </c>
      <c r="G670" s="25">
        <f t="shared" si="59"/>
        <v>26.254999999999999</v>
      </c>
    </row>
    <row r="671" spans="1:7" x14ac:dyDescent="0.25">
      <c r="A671" s="18" t="s">
        <v>1318</v>
      </c>
      <c r="B671" s="28">
        <v>26.24</v>
      </c>
      <c r="C671" s="16" t="str">
        <f t="shared" si="60"/>
        <v>2012</v>
      </c>
      <c r="D671" t="str">
        <f t="shared" si="61"/>
        <v>42</v>
      </c>
      <c r="E671" s="21">
        <f t="shared" si="57"/>
        <v>41196</v>
      </c>
      <c r="F671" s="17" t="str">
        <f t="shared" si="58"/>
        <v>2012-10</v>
      </c>
      <c r="G671" s="25">
        <f t="shared" si="59"/>
        <v>26.254999999999999</v>
      </c>
    </row>
    <row r="672" spans="1:7" x14ac:dyDescent="0.25">
      <c r="A672" s="18" t="s">
        <v>1317</v>
      </c>
      <c r="B672" s="28">
        <v>25.1</v>
      </c>
      <c r="C672" s="16" t="str">
        <f t="shared" si="60"/>
        <v>2012</v>
      </c>
      <c r="D672" t="str">
        <f t="shared" si="61"/>
        <v>43</v>
      </c>
      <c r="E672" s="21">
        <f t="shared" si="57"/>
        <v>41203</v>
      </c>
      <c r="F672" s="17" t="str">
        <f t="shared" si="58"/>
        <v>2012-10</v>
      </c>
      <c r="G672" s="25">
        <f t="shared" si="59"/>
        <v>26.254999999999999</v>
      </c>
    </row>
    <row r="673" spans="1:7" x14ac:dyDescent="0.25">
      <c r="A673" s="18" t="s">
        <v>1316</v>
      </c>
      <c r="B673" s="28">
        <v>27.02</v>
      </c>
      <c r="C673" s="16" t="str">
        <f t="shared" si="60"/>
        <v>2012</v>
      </c>
      <c r="D673" t="str">
        <f t="shared" si="61"/>
        <v>44</v>
      </c>
      <c r="E673" s="21">
        <f t="shared" si="57"/>
        <v>41210</v>
      </c>
      <c r="F673" s="17" t="str">
        <f t="shared" si="58"/>
        <v>2012-10</v>
      </c>
      <c r="G673" s="25">
        <f t="shared" si="59"/>
        <v>26.254999999999999</v>
      </c>
    </row>
    <row r="674" spans="1:7" x14ac:dyDescent="0.25">
      <c r="A674" s="18" t="s">
        <v>1315</v>
      </c>
      <c r="B674" s="28">
        <v>26.59</v>
      </c>
      <c r="C674" s="16" t="str">
        <f t="shared" si="60"/>
        <v>2012</v>
      </c>
      <c r="D674" t="str">
        <f t="shared" si="61"/>
        <v>45</v>
      </c>
      <c r="E674" s="21">
        <f t="shared" si="57"/>
        <v>41217</v>
      </c>
      <c r="F674" s="17" t="str">
        <f t="shared" si="58"/>
        <v>2012-11</v>
      </c>
      <c r="G674" s="25">
        <f t="shared" si="59"/>
        <v>27.024999999999999</v>
      </c>
    </row>
    <row r="675" spans="1:7" x14ac:dyDescent="0.25">
      <c r="A675" s="18" t="s">
        <v>1314</v>
      </c>
      <c r="B675" s="28">
        <v>27.73</v>
      </c>
      <c r="C675" s="16" t="str">
        <f t="shared" si="60"/>
        <v>2012</v>
      </c>
      <c r="D675" t="str">
        <f t="shared" si="61"/>
        <v>46</v>
      </c>
      <c r="E675" s="21">
        <f t="shared" si="57"/>
        <v>41224</v>
      </c>
      <c r="F675" s="17" t="str">
        <f t="shared" si="58"/>
        <v>2012-11</v>
      </c>
      <c r="G675" s="25">
        <f t="shared" si="59"/>
        <v>27.024999999999999</v>
      </c>
    </row>
    <row r="676" spans="1:7" x14ac:dyDescent="0.25">
      <c r="A676" s="18" t="s">
        <v>1313</v>
      </c>
      <c r="B676" s="28">
        <v>26.63</v>
      </c>
      <c r="C676" s="16" t="str">
        <f t="shared" si="60"/>
        <v>2012</v>
      </c>
      <c r="D676" t="str">
        <f t="shared" si="61"/>
        <v>47</v>
      </c>
      <c r="E676" s="21">
        <f t="shared" si="57"/>
        <v>41231</v>
      </c>
      <c r="F676" s="17" t="str">
        <f t="shared" si="58"/>
        <v>2012-11</v>
      </c>
      <c r="G676" s="25">
        <f t="shared" si="59"/>
        <v>27.024999999999999</v>
      </c>
    </row>
    <row r="677" spans="1:7" x14ac:dyDescent="0.25">
      <c r="A677" s="18" t="s">
        <v>1312</v>
      </c>
      <c r="B677" s="28">
        <v>27.15</v>
      </c>
      <c r="C677" s="16" t="str">
        <f t="shared" si="60"/>
        <v>2012</v>
      </c>
      <c r="D677" t="str">
        <f t="shared" si="61"/>
        <v>48</v>
      </c>
      <c r="E677" s="21">
        <f t="shared" si="57"/>
        <v>41238</v>
      </c>
      <c r="F677" s="17" t="str">
        <f t="shared" si="58"/>
        <v>2012-11</v>
      </c>
      <c r="G677" s="25">
        <f t="shared" si="59"/>
        <v>27.024999999999999</v>
      </c>
    </row>
    <row r="678" spans="1:7" x14ac:dyDescent="0.25">
      <c r="A678" s="18" t="s">
        <v>1311</v>
      </c>
      <c r="B678" s="28">
        <v>29.16</v>
      </c>
      <c r="C678" s="16" t="str">
        <f t="shared" si="60"/>
        <v>2012</v>
      </c>
      <c r="D678" t="str">
        <f t="shared" si="61"/>
        <v>49</v>
      </c>
      <c r="E678" s="21">
        <f t="shared" si="57"/>
        <v>41245</v>
      </c>
      <c r="F678" s="17" t="str">
        <f t="shared" si="58"/>
        <v>2012-12</v>
      </c>
      <c r="G678" s="25">
        <f t="shared" si="59"/>
        <v>30.6525</v>
      </c>
    </row>
    <row r="679" spans="1:7" x14ac:dyDescent="0.25">
      <c r="A679" s="18" t="s">
        <v>1310</v>
      </c>
      <c r="B679" s="28">
        <v>30.78</v>
      </c>
      <c r="C679" s="16" t="str">
        <f t="shared" si="60"/>
        <v>2012</v>
      </c>
      <c r="D679" t="str">
        <f t="shared" si="61"/>
        <v>50</v>
      </c>
      <c r="E679" s="21">
        <f t="shared" si="57"/>
        <v>41252</v>
      </c>
      <c r="F679" s="17" t="str">
        <f t="shared" si="58"/>
        <v>2012-12</v>
      </c>
      <c r="G679" s="25">
        <f t="shared" si="59"/>
        <v>30.6525</v>
      </c>
    </row>
    <row r="680" spans="1:7" x14ac:dyDescent="0.25">
      <c r="A680" s="18" t="s">
        <v>1309</v>
      </c>
      <c r="B680" s="28">
        <v>29.56</v>
      </c>
      <c r="C680" s="16" t="str">
        <f t="shared" si="60"/>
        <v>2012</v>
      </c>
      <c r="D680" t="str">
        <f t="shared" si="61"/>
        <v>51</v>
      </c>
      <c r="E680" s="21">
        <f t="shared" si="57"/>
        <v>41259</v>
      </c>
      <c r="F680" s="17" t="str">
        <f t="shared" si="58"/>
        <v>2012-12</v>
      </c>
      <c r="G680" s="25">
        <f t="shared" si="59"/>
        <v>30.6525</v>
      </c>
    </row>
    <row r="681" spans="1:7" x14ac:dyDescent="0.25">
      <c r="A681" s="18" t="s">
        <v>1308</v>
      </c>
      <c r="B681" s="28">
        <v>33.11</v>
      </c>
      <c r="C681" s="16" t="str">
        <f t="shared" si="60"/>
        <v>2012</v>
      </c>
      <c r="D681" t="str">
        <f t="shared" si="61"/>
        <v>52</v>
      </c>
      <c r="E681" s="21">
        <f t="shared" si="57"/>
        <v>41266</v>
      </c>
      <c r="F681" s="17" t="str">
        <f t="shared" si="58"/>
        <v>2012-12</v>
      </c>
      <c r="G681" s="25">
        <f t="shared" si="59"/>
        <v>30.6525</v>
      </c>
    </row>
    <row r="682" spans="1:7" x14ac:dyDescent="0.25">
      <c r="A682" s="18" t="s">
        <v>1307</v>
      </c>
      <c r="B682" s="28">
        <v>33.57</v>
      </c>
      <c r="C682" s="16" t="str">
        <f t="shared" si="60"/>
        <v>2013</v>
      </c>
      <c r="D682" t="str">
        <f t="shared" si="61"/>
        <v>01</v>
      </c>
      <c r="E682" s="21">
        <f t="shared" si="57"/>
        <v>41275</v>
      </c>
      <c r="F682" s="17" t="str">
        <f t="shared" si="58"/>
        <v>2013-01</v>
      </c>
      <c r="G682" s="25">
        <f t="shared" si="59"/>
        <v>34.692</v>
      </c>
    </row>
    <row r="683" spans="1:7" x14ac:dyDescent="0.25">
      <c r="A683" s="18" t="s">
        <v>1306</v>
      </c>
      <c r="B683" s="28">
        <v>33.35</v>
      </c>
      <c r="C683" s="16" t="str">
        <f t="shared" si="60"/>
        <v>2013</v>
      </c>
      <c r="D683" t="str">
        <f t="shared" si="61"/>
        <v>02</v>
      </c>
      <c r="E683" s="21">
        <f t="shared" si="57"/>
        <v>41282</v>
      </c>
      <c r="F683" s="17" t="str">
        <f t="shared" si="58"/>
        <v>2013-01</v>
      </c>
      <c r="G683" s="25">
        <f t="shared" si="59"/>
        <v>34.692</v>
      </c>
    </row>
    <row r="684" spans="1:7" x14ac:dyDescent="0.25">
      <c r="A684" s="18" t="s">
        <v>1305</v>
      </c>
      <c r="B684" s="28">
        <v>34.76</v>
      </c>
      <c r="C684" s="16" t="str">
        <f t="shared" si="60"/>
        <v>2013</v>
      </c>
      <c r="D684" t="str">
        <f t="shared" si="61"/>
        <v>03</v>
      </c>
      <c r="E684" s="21">
        <f t="shared" si="57"/>
        <v>41289</v>
      </c>
      <c r="F684" s="17" t="str">
        <f t="shared" si="58"/>
        <v>2013-01</v>
      </c>
      <c r="G684" s="25">
        <f t="shared" si="59"/>
        <v>34.692</v>
      </c>
    </row>
    <row r="685" spans="1:7" x14ac:dyDescent="0.25">
      <c r="A685" s="18" t="s">
        <v>1304</v>
      </c>
      <c r="B685" s="28">
        <v>36.51</v>
      </c>
      <c r="C685" s="16" t="str">
        <f t="shared" si="60"/>
        <v>2013</v>
      </c>
      <c r="D685" t="str">
        <f t="shared" si="61"/>
        <v>04</v>
      </c>
      <c r="E685" s="21">
        <f t="shared" si="57"/>
        <v>41296</v>
      </c>
      <c r="F685" s="17" t="str">
        <f t="shared" si="58"/>
        <v>2013-01</v>
      </c>
      <c r="G685" s="25">
        <f t="shared" si="59"/>
        <v>34.692</v>
      </c>
    </row>
    <row r="686" spans="1:7" x14ac:dyDescent="0.25">
      <c r="A686" s="18" t="s">
        <v>1303</v>
      </c>
      <c r="B686" s="28">
        <v>35.270000000000003</v>
      </c>
      <c r="C686" s="16" t="str">
        <f t="shared" si="60"/>
        <v>2013</v>
      </c>
      <c r="D686" t="str">
        <f t="shared" si="61"/>
        <v>05</v>
      </c>
      <c r="E686" s="21">
        <f t="shared" si="57"/>
        <v>41303</v>
      </c>
      <c r="F686" s="17" t="str">
        <f t="shared" si="58"/>
        <v>2013-01</v>
      </c>
      <c r="G686" s="25">
        <f t="shared" si="59"/>
        <v>34.692</v>
      </c>
    </row>
    <row r="687" spans="1:7" x14ac:dyDescent="0.25">
      <c r="A687" s="18" t="s">
        <v>1302</v>
      </c>
      <c r="B687" s="28">
        <v>34.840000000000003</v>
      </c>
      <c r="C687" s="16" t="str">
        <f t="shared" si="60"/>
        <v>2013</v>
      </c>
      <c r="D687" t="str">
        <f t="shared" si="61"/>
        <v>06</v>
      </c>
      <c r="E687" s="21">
        <f t="shared" si="57"/>
        <v>41310</v>
      </c>
      <c r="F687" s="17" t="str">
        <f t="shared" si="58"/>
        <v>2013-02</v>
      </c>
      <c r="G687" s="25">
        <f t="shared" si="59"/>
        <v>36.7425</v>
      </c>
    </row>
    <row r="688" spans="1:7" x14ac:dyDescent="0.25">
      <c r="A688" s="18" t="s">
        <v>1301</v>
      </c>
      <c r="B688" s="28">
        <v>36.130000000000003</v>
      </c>
      <c r="C688" s="16" t="str">
        <f t="shared" si="60"/>
        <v>2013</v>
      </c>
      <c r="D688" t="str">
        <f t="shared" si="61"/>
        <v>07</v>
      </c>
      <c r="E688" s="21">
        <f t="shared" si="57"/>
        <v>41317</v>
      </c>
      <c r="F688" s="17" t="str">
        <f t="shared" si="58"/>
        <v>2013-02</v>
      </c>
      <c r="G688" s="25">
        <f t="shared" si="59"/>
        <v>36.7425</v>
      </c>
    </row>
    <row r="689" spans="1:7" x14ac:dyDescent="0.25">
      <c r="A689" s="18" t="s">
        <v>1300</v>
      </c>
      <c r="B689" s="28">
        <v>37.03</v>
      </c>
      <c r="C689" s="16" t="str">
        <f t="shared" si="60"/>
        <v>2013</v>
      </c>
      <c r="D689" t="str">
        <f t="shared" si="61"/>
        <v>08</v>
      </c>
      <c r="E689" s="21">
        <f t="shared" si="57"/>
        <v>41324</v>
      </c>
      <c r="F689" s="17" t="str">
        <f t="shared" si="58"/>
        <v>2013-02</v>
      </c>
      <c r="G689" s="25">
        <f t="shared" si="59"/>
        <v>36.7425</v>
      </c>
    </row>
    <row r="690" spans="1:7" x14ac:dyDescent="0.25">
      <c r="A690" s="18" t="s">
        <v>1299</v>
      </c>
      <c r="B690" s="28">
        <v>38.97</v>
      </c>
      <c r="C690" s="16" t="str">
        <f t="shared" si="60"/>
        <v>2013</v>
      </c>
      <c r="D690" t="str">
        <f t="shared" si="61"/>
        <v>09</v>
      </c>
      <c r="E690" s="21">
        <f t="shared" si="57"/>
        <v>41331</v>
      </c>
      <c r="F690" s="17" t="str">
        <f t="shared" si="58"/>
        <v>2013-02</v>
      </c>
      <c r="G690" s="25">
        <f t="shared" si="59"/>
        <v>36.7425</v>
      </c>
    </row>
    <row r="691" spans="1:7" x14ac:dyDescent="0.25">
      <c r="A691" s="18" t="s">
        <v>1298</v>
      </c>
      <c r="B691" s="28">
        <v>38.9</v>
      </c>
      <c r="C691" s="16" t="str">
        <f t="shared" si="60"/>
        <v>2013</v>
      </c>
      <c r="D691" t="str">
        <f t="shared" si="61"/>
        <v>10</v>
      </c>
      <c r="E691" s="21">
        <f t="shared" si="57"/>
        <v>41338</v>
      </c>
      <c r="F691" s="17" t="str">
        <f t="shared" si="58"/>
        <v>2013-03</v>
      </c>
      <c r="G691" s="25">
        <f t="shared" si="59"/>
        <v>37.637500000000003</v>
      </c>
    </row>
    <row r="692" spans="1:7" x14ac:dyDescent="0.25">
      <c r="A692" s="18" t="s">
        <v>1297</v>
      </c>
      <c r="B692" s="28">
        <v>37.700000000000003</v>
      </c>
      <c r="C692" s="16" t="str">
        <f t="shared" si="60"/>
        <v>2013</v>
      </c>
      <c r="D692" t="str">
        <f t="shared" si="61"/>
        <v>11</v>
      </c>
      <c r="E692" s="21">
        <f t="shared" si="57"/>
        <v>41345</v>
      </c>
      <c r="F692" s="17" t="str">
        <f t="shared" si="58"/>
        <v>2013-03</v>
      </c>
      <c r="G692" s="25">
        <f t="shared" si="59"/>
        <v>37.637500000000003</v>
      </c>
    </row>
    <row r="693" spans="1:7" x14ac:dyDescent="0.25">
      <c r="A693" s="18" t="s">
        <v>1296</v>
      </c>
      <c r="B693" s="28">
        <v>36.020000000000003</v>
      </c>
      <c r="C693" s="16" t="str">
        <f t="shared" si="60"/>
        <v>2013</v>
      </c>
      <c r="D693" t="str">
        <f t="shared" si="61"/>
        <v>12</v>
      </c>
      <c r="E693" s="21">
        <f t="shared" si="57"/>
        <v>41352</v>
      </c>
      <c r="F693" s="17" t="str">
        <f t="shared" si="58"/>
        <v>2013-03</v>
      </c>
      <c r="G693" s="25">
        <f t="shared" si="59"/>
        <v>37.637500000000003</v>
      </c>
    </row>
    <row r="694" spans="1:7" x14ac:dyDescent="0.25">
      <c r="A694" s="18" t="s">
        <v>1295</v>
      </c>
      <c r="B694" s="28">
        <v>37.93</v>
      </c>
      <c r="C694" s="16" t="str">
        <f t="shared" si="60"/>
        <v>2013</v>
      </c>
      <c r="D694" t="str">
        <f t="shared" si="61"/>
        <v>13</v>
      </c>
      <c r="E694" s="21">
        <f t="shared" si="57"/>
        <v>41359</v>
      </c>
      <c r="F694" s="17" t="str">
        <f t="shared" si="58"/>
        <v>2013-03</v>
      </c>
      <c r="G694" s="25">
        <f t="shared" si="59"/>
        <v>37.637500000000003</v>
      </c>
    </row>
    <row r="695" spans="1:7" x14ac:dyDescent="0.25">
      <c r="A695" s="18" t="s">
        <v>1294</v>
      </c>
      <c r="B695" s="28">
        <v>39.85</v>
      </c>
      <c r="C695" s="16" t="str">
        <f t="shared" si="60"/>
        <v>2013</v>
      </c>
      <c r="D695" t="str">
        <f t="shared" si="61"/>
        <v>14</v>
      </c>
      <c r="E695" s="21">
        <f t="shared" si="57"/>
        <v>41366</v>
      </c>
      <c r="F695" s="17" t="str">
        <f t="shared" si="58"/>
        <v>2013-04</v>
      </c>
      <c r="G695" s="25">
        <f t="shared" si="59"/>
        <v>41.951999999999998</v>
      </c>
    </row>
    <row r="696" spans="1:7" x14ac:dyDescent="0.25">
      <c r="A696" s="18" t="s">
        <v>1293</v>
      </c>
      <c r="B696" s="28">
        <v>42.27</v>
      </c>
      <c r="C696" s="16" t="str">
        <f t="shared" si="60"/>
        <v>2013</v>
      </c>
      <c r="D696" t="str">
        <f t="shared" si="61"/>
        <v>15</v>
      </c>
      <c r="E696" s="21">
        <f t="shared" si="57"/>
        <v>41373</v>
      </c>
      <c r="F696" s="17" t="str">
        <f t="shared" si="58"/>
        <v>2013-04</v>
      </c>
      <c r="G696" s="25">
        <f t="shared" si="59"/>
        <v>41.951999999999998</v>
      </c>
    </row>
    <row r="697" spans="1:7" x14ac:dyDescent="0.25">
      <c r="A697" s="18" t="s">
        <v>1292</v>
      </c>
      <c r="B697" s="28">
        <v>43.23</v>
      </c>
      <c r="C697" s="16" t="str">
        <f t="shared" si="60"/>
        <v>2013</v>
      </c>
      <c r="D697" t="str">
        <f t="shared" si="61"/>
        <v>16</v>
      </c>
      <c r="E697" s="21">
        <f t="shared" si="57"/>
        <v>41380</v>
      </c>
      <c r="F697" s="17" t="str">
        <f t="shared" si="58"/>
        <v>2013-04</v>
      </c>
      <c r="G697" s="25">
        <f t="shared" si="59"/>
        <v>41.951999999999998</v>
      </c>
    </row>
    <row r="698" spans="1:7" x14ac:dyDescent="0.25">
      <c r="A698" s="18" t="s">
        <v>1291</v>
      </c>
      <c r="B698" s="28">
        <v>42</v>
      </c>
      <c r="C698" s="16" t="str">
        <f t="shared" si="60"/>
        <v>2013</v>
      </c>
      <c r="D698" t="str">
        <f t="shared" si="61"/>
        <v>17</v>
      </c>
      <c r="E698" s="21">
        <f t="shared" si="57"/>
        <v>41387</v>
      </c>
      <c r="F698" s="17" t="str">
        <f t="shared" si="58"/>
        <v>2013-04</v>
      </c>
      <c r="G698" s="25">
        <f t="shared" si="59"/>
        <v>41.951999999999998</v>
      </c>
    </row>
    <row r="699" spans="1:7" x14ac:dyDescent="0.25">
      <c r="A699" s="18" t="s">
        <v>1290</v>
      </c>
      <c r="B699" s="28">
        <v>42.41</v>
      </c>
      <c r="C699" s="16" t="str">
        <f t="shared" si="60"/>
        <v>2013</v>
      </c>
      <c r="D699" t="str">
        <f t="shared" si="61"/>
        <v>18</v>
      </c>
      <c r="E699" s="21">
        <f t="shared" si="57"/>
        <v>41394</v>
      </c>
      <c r="F699" s="17" t="str">
        <f t="shared" si="58"/>
        <v>2013-04</v>
      </c>
      <c r="G699" s="25">
        <f t="shared" si="59"/>
        <v>41.951999999999998</v>
      </c>
    </row>
    <row r="700" spans="1:7" x14ac:dyDescent="0.25">
      <c r="A700" s="18" t="s">
        <v>1289</v>
      </c>
      <c r="B700" s="28">
        <v>42.31</v>
      </c>
      <c r="C700" s="16" t="str">
        <f t="shared" si="60"/>
        <v>2013</v>
      </c>
      <c r="D700" t="str">
        <f t="shared" si="61"/>
        <v>19</v>
      </c>
      <c r="E700" s="21">
        <f t="shared" si="57"/>
        <v>41401</v>
      </c>
      <c r="F700" s="17" t="str">
        <f t="shared" si="58"/>
        <v>2013-05</v>
      </c>
      <c r="G700" s="25">
        <f t="shared" si="59"/>
        <v>42.6</v>
      </c>
    </row>
    <row r="701" spans="1:7" x14ac:dyDescent="0.25">
      <c r="A701" s="18" t="s">
        <v>1288</v>
      </c>
      <c r="B701" s="28">
        <v>43.51</v>
      </c>
      <c r="C701" s="16" t="str">
        <f t="shared" si="60"/>
        <v>2013</v>
      </c>
      <c r="D701" t="str">
        <f t="shared" si="61"/>
        <v>20</v>
      </c>
      <c r="E701" s="21">
        <f t="shared" si="57"/>
        <v>41408</v>
      </c>
      <c r="F701" s="17" t="str">
        <f t="shared" si="58"/>
        <v>2013-05</v>
      </c>
      <c r="G701" s="25">
        <f t="shared" si="59"/>
        <v>42.6</v>
      </c>
    </row>
    <row r="702" spans="1:7" x14ac:dyDescent="0.25">
      <c r="A702" s="18" t="s">
        <v>1287</v>
      </c>
      <c r="B702" s="28">
        <v>43.81</v>
      </c>
      <c r="C702" s="16" t="str">
        <f t="shared" si="60"/>
        <v>2013</v>
      </c>
      <c r="D702" t="str">
        <f t="shared" si="61"/>
        <v>21</v>
      </c>
      <c r="E702" s="21">
        <f t="shared" si="57"/>
        <v>41415</v>
      </c>
      <c r="F702" s="17" t="str">
        <f t="shared" si="58"/>
        <v>2013-05</v>
      </c>
      <c r="G702" s="25">
        <f t="shared" si="59"/>
        <v>42.6</v>
      </c>
    </row>
    <row r="703" spans="1:7" x14ac:dyDescent="0.25">
      <c r="A703" s="18" t="s">
        <v>1286</v>
      </c>
      <c r="B703" s="28">
        <v>40.770000000000003</v>
      </c>
      <c r="C703" s="16" t="str">
        <f t="shared" si="60"/>
        <v>2013</v>
      </c>
      <c r="D703" t="str">
        <f t="shared" si="61"/>
        <v>22</v>
      </c>
      <c r="E703" s="21">
        <f t="shared" si="57"/>
        <v>41422</v>
      </c>
      <c r="F703" s="17" t="str">
        <f t="shared" si="58"/>
        <v>2013-05</v>
      </c>
      <c r="G703" s="25">
        <f t="shared" si="59"/>
        <v>42.6</v>
      </c>
    </row>
    <row r="704" spans="1:7" x14ac:dyDescent="0.25">
      <c r="A704" s="18" t="s">
        <v>1285</v>
      </c>
      <c r="B704" s="28">
        <v>40.22</v>
      </c>
      <c r="C704" s="16" t="str">
        <f t="shared" si="60"/>
        <v>2013</v>
      </c>
      <c r="D704" t="str">
        <f t="shared" si="61"/>
        <v>23</v>
      </c>
      <c r="E704" s="21">
        <f t="shared" si="57"/>
        <v>41429</v>
      </c>
      <c r="F704" s="17" t="str">
        <f t="shared" si="58"/>
        <v>2013-06</v>
      </c>
      <c r="G704" s="25">
        <f t="shared" si="59"/>
        <v>41.0075</v>
      </c>
    </row>
    <row r="705" spans="1:7" x14ac:dyDescent="0.25">
      <c r="A705" s="18" t="s">
        <v>1284</v>
      </c>
      <c r="B705" s="28">
        <v>39.22</v>
      </c>
      <c r="C705" s="16" t="str">
        <f t="shared" si="60"/>
        <v>2013</v>
      </c>
      <c r="D705" t="str">
        <f t="shared" si="61"/>
        <v>24</v>
      </c>
      <c r="E705" s="21">
        <f t="shared" si="57"/>
        <v>41436</v>
      </c>
      <c r="F705" s="17" t="str">
        <f t="shared" si="58"/>
        <v>2013-06</v>
      </c>
      <c r="G705" s="25">
        <f t="shared" si="59"/>
        <v>41.0075</v>
      </c>
    </row>
    <row r="706" spans="1:7" x14ac:dyDescent="0.25">
      <c r="A706" s="18" t="s">
        <v>1283</v>
      </c>
      <c r="B706" s="28">
        <v>41.19</v>
      </c>
      <c r="C706" s="16" t="str">
        <f t="shared" si="60"/>
        <v>2013</v>
      </c>
      <c r="D706" t="str">
        <f t="shared" si="61"/>
        <v>25</v>
      </c>
      <c r="E706" s="21">
        <f t="shared" si="57"/>
        <v>41443</v>
      </c>
      <c r="F706" s="17" t="str">
        <f t="shared" si="58"/>
        <v>2013-06</v>
      </c>
      <c r="G706" s="25">
        <f t="shared" si="59"/>
        <v>41.0075</v>
      </c>
    </row>
    <row r="707" spans="1:7" x14ac:dyDescent="0.25">
      <c r="A707" s="18" t="s">
        <v>1282</v>
      </c>
      <c r="B707" s="28">
        <v>43.4</v>
      </c>
      <c r="C707" s="16" t="str">
        <f t="shared" si="60"/>
        <v>2013</v>
      </c>
      <c r="D707" t="str">
        <f t="shared" si="61"/>
        <v>26</v>
      </c>
      <c r="E707" s="21">
        <f t="shared" si="57"/>
        <v>41450</v>
      </c>
      <c r="F707" s="17" t="str">
        <f t="shared" si="58"/>
        <v>2013-06</v>
      </c>
      <c r="G707" s="25">
        <f t="shared" si="59"/>
        <v>41.0075</v>
      </c>
    </row>
    <row r="708" spans="1:7" x14ac:dyDescent="0.25">
      <c r="A708" s="18" t="s">
        <v>1281</v>
      </c>
      <c r="B708" s="28">
        <v>45.15</v>
      </c>
      <c r="C708" s="16" t="str">
        <f t="shared" si="60"/>
        <v>2013</v>
      </c>
      <c r="D708" t="str">
        <f t="shared" si="61"/>
        <v>27</v>
      </c>
      <c r="E708" s="21">
        <f t="shared" si="57"/>
        <v>41457</v>
      </c>
      <c r="F708" s="17" t="str">
        <f t="shared" si="58"/>
        <v>2013-07</v>
      </c>
      <c r="G708" s="25">
        <f t="shared" si="59"/>
        <v>43.536000000000001</v>
      </c>
    </row>
    <row r="709" spans="1:7" x14ac:dyDescent="0.25">
      <c r="A709" s="18" t="s">
        <v>1280</v>
      </c>
      <c r="B709" s="28">
        <v>44.26</v>
      </c>
      <c r="C709" s="16" t="str">
        <f t="shared" si="60"/>
        <v>2013</v>
      </c>
      <c r="D709" t="str">
        <f t="shared" si="61"/>
        <v>28</v>
      </c>
      <c r="E709" s="21">
        <f t="shared" ref="E709:E772" si="62">DATE(C709,1,1)+(D709-1)*7</f>
        <v>41464</v>
      </c>
      <c r="F709" s="17" t="str">
        <f t="shared" ref="F709:F772" si="63">TEXT(E709,"éééé-hh")</f>
        <v>2013-07</v>
      </c>
      <c r="G709" s="25">
        <f t="shared" ref="G709:G772" si="64">AVERAGEIF($F$4:$F$1353,F709,$B$4:$B$1353)</f>
        <v>43.536000000000001</v>
      </c>
    </row>
    <row r="710" spans="1:7" x14ac:dyDescent="0.25">
      <c r="A710" s="18" t="s">
        <v>1279</v>
      </c>
      <c r="B710" s="28">
        <v>45.12</v>
      </c>
      <c r="C710" s="16" t="str">
        <f t="shared" si="60"/>
        <v>2013</v>
      </c>
      <c r="D710" t="str">
        <f t="shared" si="61"/>
        <v>29</v>
      </c>
      <c r="E710" s="21">
        <f t="shared" si="62"/>
        <v>41471</v>
      </c>
      <c r="F710" s="17" t="str">
        <f t="shared" si="63"/>
        <v>2013-07</v>
      </c>
      <c r="G710" s="25">
        <f t="shared" si="64"/>
        <v>43.536000000000001</v>
      </c>
    </row>
    <row r="711" spans="1:7" x14ac:dyDescent="0.25">
      <c r="A711" s="18" t="s">
        <v>1278</v>
      </c>
      <c r="B711" s="28">
        <v>43.01</v>
      </c>
      <c r="C711" s="16" t="str">
        <f t="shared" si="60"/>
        <v>2013</v>
      </c>
      <c r="D711" t="str">
        <f t="shared" si="61"/>
        <v>30</v>
      </c>
      <c r="E711" s="21">
        <f t="shared" si="62"/>
        <v>41478</v>
      </c>
      <c r="F711" s="17" t="str">
        <f t="shared" si="63"/>
        <v>2013-07</v>
      </c>
      <c r="G711" s="25">
        <f t="shared" si="64"/>
        <v>43.536000000000001</v>
      </c>
    </row>
    <row r="712" spans="1:7" x14ac:dyDescent="0.25">
      <c r="A712" s="18" t="s">
        <v>1277</v>
      </c>
      <c r="B712" s="28">
        <v>40.14</v>
      </c>
      <c r="C712" s="16" t="str">
        <f t="shared" si="60"/>
        <v>2013</v>
      </c>
      <c r="D712" t="str">
        <f t="shared" si="61"/>
        <v>31</v>
      </c>
      <c r="E712" s="21">
        <f t="shared" si="62"/>
        <v>41485</v>
      </c>
      <c r="F712" s="17" t="str">
        <f t="shared" si="63"/>
        <v>2013-07</v>
      </c>
      <c r="G712" s="25">
        <f t="shared" si="64"/>
        <v>43.536000000000001</v>
      </c>
    </row>
    <row r="713" spans="1:7" x14ac:dyDescent="0.25">
      <c r="A713" s="18" t="s">
        <v>1276</v>
      </c>
      <c r="B713" s="28">
        <v>39.92</v>
      </c>
      <c r="C713" s="16" t="str">
        <f t="shared" si="60"/>
        <v>2013</v>
      </c>
      <c r="D713" t="str">
        <f t="shared" si="61"/>
        <v>32</v>
      </c>
      <c r="E713" s="21">
        <f t="shared" si="62"/>
        <v>41492</v>
      </c>
      <c r="F713" s="17" t="str">
        <f t="shared" si="63"/>
        <v>2013-08</v>
      </c>
      <c r="G713" s="25">
        <f t="shared" si="64"/>
        <v>40.884999999999998</v>
      </c>
    </row>
    <row r="714" spans="1:7" x14ac:dyDescent="0.25">
      <c r="A714" s="18" t="s">
        <v>1275</v>
      </c>
      <c r="B714" s="28">
        <v>43.43</v>
      </c>
      <c r="C714" s="16" t="str">
        <f t="shared" si="60"/>
        <v>2013</v>
      </c>
      <c r="D714" t="str">
        <f t="shared" si="61"/>
        <v>33</v>
      </c>
      <c r="E714" s="21">
        <f t="shared" si="62"/>
        <v>41499</v>
      </c>
      <c r="F714" s="17" t="str">
        <f t="shared" si="63"/>
        <v>2013-08</v>
      </c>
      <c r="G714" s="25">
        <f t="shared" si="64"/>
        <v>40.884999999999998</v>
      </c>
    </row>
    <row r="715" spans="1:7" x14ac:dyDescent="0.25">
      <c r="A715" s="18" t="s">
        <v>1274</v>
      </c>
      <c r="B715" s="28">
        <v>42.03</v>
      </c>
      <c r="C715" s="16" t="str">
        <f t="shared" si="60"/>
        <v>2013</v>
      </c>
      <c r="D715" t="str">
        <f t="shared" si="61"/>
        <v>34</v>
      </c>
      <c r="E715" s="21">
        <f t="shared" si="62"/>
        <v>41506</v>
      </c>
      <c r="F715" s="17" t="str">
        <f t="shared" si="63"/>
        <v>2013-08</v>
      </c>
      <c r="G715" s="25">
        <f t="shared" si="64"/>
        <v>40.884999999999998</v>
      </c>
    </row>
    <row r="716" spans="1:7" x14ac:dyDescent="0.25">
      <c r="A716" s="18" t="s">
        <v>1273</v>
      </c>
      <c r="B716" s="28">
        <v>38.159999999999997</v>
      </c>
      <c r="C716" s="16" t="str">
        <f t="shared" si="60"/>
        <v>2013</v>
      </c>
      <c r="D716" t="str">
        <f t="shared" si="61"/>
        <v>35</v>
      </c>
      <c r="E716" s="21">
        <f t="shared" si="62"/>
        <v>41513</v>
      </c>
      <c r="F716" s="17" t="str">
        <f t="shared" si="63"/>
        <v>2013-08</v>
      </c>
      <c r="G716" s="25">
        <f t="shared" si="64"/>
        <v>40.884999999999998</v>
      </c>
    </row>
    <row r="717" spans="1:7" x14ac:dyDescent="0.25">
      <c r="A717" s="18" t="s">
        <v>1272</v>
      </c>
      <c r="B717" s="28">
        <v>37.31</v>
      </c>
      <c r="C717" s="16" t="str">
        <f t="shared" si="60"/>
        <v>2013</v>
      </c>
      <c r="D717" t="str">
        <f t="shared" si="61"/>
        <v>36</v>
      </c>
      <c r="E717" s="21">
        <f t="shared" si="62"/>
        <v>41520</v>
      </c>
      <c r="F717" s="17" t="str">
        <f t="shared" si="63"/>
        <v>2013-09</v>
      </c>
      <c r="G717" s="25">
        <f t="shared" si="64"/>
        <v>33.474999999999994</v>
      </c>
    </row>
    <row r="718" spans="1:7" x14ac:dyDescent="0.25">
      <c r="A718" s="18" t="s">
        <v>1271</v>
      </c>
      <c r="B718" s="28">
        <v>33.729999999999997</v>
      </c>
      <c r="C718" s="16" t="str">
        <f t="shared" si="60"/>
        <v>2013</v>
      </c>
      <c r="D718" t="str">
        <f t="shared" si="61"/>
        <v>37</v>
      </c>
      <c r="E718" s="21">
        <f t="shared" si="62"/>
        <v>41527</v>
      </c>
      <c r="F718" s="17" t="str">
        <f t="shared" si="63"/>
        <v>2013-09</v>
      </c>
      <c r="G718" s="25">
        <f t="shared" si="64"/>
        <v>33.474999999999994</v>
      </c>
    </row>
    <row r="719" spans="1:7" x14ac:dyDescent="0.25">
      <c r="A719" s="18" t="s">
        <v>1270</v>
      </c>
      <c r="B719" s="28">
        <v>30.04</v>
      </c>
      <c r="C719" s="16" t="str">
        <f t="shared" si="60"/>
        <v>2013</v>
      </c>
      <c r="D719" t="str">
        <f t="shared" si="61"/>
        <v>38</v>
      </c>
      <c r="E719" s="21">
        <f t="shared" si="62"/>
        <v>41534</v>
      </c>
      <c r="F719" s="17" t="str">
        <f t="shared" si="63"/>
        <v>2013-09</v>
      </c>
      <c r="G719" s="25">
        <f t="shared" si="64"/>
        <v>33.474999999999994</v>
      </c>
    </row>
    <row r="720" spans="1:7" x14ac:dyDescent="0.25">
      <c r="A720" s="18" t="s">
        <v>1269</v>
      </c>
      <c r="B720" s="28">
        <v>32.82</v>
      </c>
      <c r="C720" s="16" t="str">
        <f t="shared" si="60"/>
        <v>2013</v>
      </c>
      <c r="D720" t="str">
        <f t="shared" si="61"/>
        <v>39</v>
      </c>
      <c r="E720" s="21">
        <f t="shared" si="62"/>
        <v>41541</v>
      </c>
      <c r="F720" s="17" t="str">
        <f t="shared" si="63"/>
        <v>2013-09</v>
      </c>
      <c r="G720" s="25">
        <f t="shared" si="64"/>
        <v>33.474999999999994</v>
      </c>
    </row>
    <row r="721" spans="1:7" x14ac:dyDescent="0.25">
      <c r="A721" s="18" t="s">
        <v>1268</v>
      </c>
      <c r="B721" s="28">
        <v>35.869999999999997</v>
      </c>
      <c r="C721" s="16" t="str">
        <f t="shared" si="60"/>
        <v>2013</v>
      </c>
      <c r="D721" t="str">
        <f t="shared" si="61"/>
        <v>40</v>
      </c>
      <c r="E721" s="21">
        <f t="shared" si="62"/>
        <v>41548</v>
      </c>
      <c r="F721" s="17" t="str">
        <f t="shared" si="63"/>
        <v>2013-10</v>
      </c>
      <c r="G721" s="25">
        <f t="shared" si="64"/>
        <v>37.661999999999999</v>
      </c>
    </row>
    <row r="722" spans="1:7" x14ac:dyDescent="0.25">
      <c r="A722" s="18" t="s">
        <v>1267</v>
      </c>
      <c r="B722" s="28">
        <v>35.68</v>
      </c>
      <c r="C722" s="16" t="str">
        <f t="shared" si="60"/>
        <v>2013</v>
      </c>
      <c r="D722" t="str">
        <f t="shared" si="61"/>
        <v>41</v>
      </c>
      <c r="E722" s="21">
        <f t="shared" si="62"/>
        <v>41555</v>
      </c>
      <c r="F722" s="17" t="str">
        <f t="shared" si="63"/>
        <v>2013-10</v>
      </c>
      <c r="G722" s="25">
        <f t="shared" si="64"/>
        <v>37.661999999999999</v>
      </c>
    </row>
    <row r="723" spans="1:7" x14ac:dyDescent="0.25">
      <c r="A723" s="18" t="s">
        <v>1266</v>
      </c>
      <c r="B723" s="28">
        <v>38.32</v>
      </c>
      <c r="C723" s="16" t="str">
        <f t="shared" si="60"/>
        <v>2013</v>
      </c>
      <c r="D723" t="str">
        <f t="shared" si="61"/>
        <v>42</v>
      </c>
      <c r="E723" s="21">
        <f t="shared" si="62"/>
        <v>41562</v>
      </c>
      <c r="F723" s="17" t="str">
        <f t="shared" si="63"/>
        <v>2013-10</v>
      </c>
      <c r="G723" s="25">
        <f t="shared" si="64"/>
        <v>37.661999999999999</v>
      </c>
    </row>
    <row r="724" spans="1:7" x14ac:dyDescent="0.25">
      <c r="A724" s="18" t="s">
        <v>1265</v>
      </c>
      <c r="B724" s="28">
        <v>38.74</v>
      </c>
      <c r="C724" s="16" t="str">
        <f t="shared" ref="C724:C787" si="65">LEFT(A724,4)</f>
        <v>2013</v>
      </c>
      <c r="D724" t="str">
        <f t="shared" ref="D724:D787" si="66">RIGHT(A724,2)</f>
        <v>43</v>
      </c>
      <c r="E724" s="21">
        <f t="shared" si="62"/>
        <v>41569</v>
      </c>
      <c r="F724" s="17" t="str">
        <f t="shared" si="63"/>
        <v>2013-10</v>
      </c>
      <c r="G724" s="25">
        <f t="shared" si="64"/>
        <v>37.661999999999999</v>
      </c>
    </row>
    <row r="725" spans="1:7" x14ac:dyDescent="0.25">
      <c r="A725" s="18" t="s">
        <v>1264</v>
      </c>
      <c r="B725" s="28">
        <v>39.700000000000003</v>
      </c>
      <c r="C725" s="16" t="str">
        <f t="shared" si="65"/>
        <v>2013</v>
      </c>
      <c r="D725" t="str">
        <f t="shared" si="66"/>
        <v>44</v>
      </c>
      <c r="E725" s="21">
        <f t="shared" si="62"/>
        <v>41576</v>
      </c>
      <c r="F725" s="17" t="str">
        <f t="shared" si="63"/>
        <v>2013-10</v>
      </c>
      <c r="G725" s="25">
        <f t="shared" si="64"/>
        <v>37.661999999999999</v>
      </c>
    </row>
    <row r="726" spans="1:7" x14ac:dyDescent="0.25">
      <c r="A726" s="18" t="s">
        <v>1263</v>
      </c>
      <c r="B726" s="28">
        <v>38.5</v>
      </c>
      <c r="C726" s="16" t="str">
        <f t="shared" si="65"/>
        <v>2013</v>
      </c>
      <c r="D726" t="str">
        <f t="shared" si="66"/>
        <v>45</v>
      </c>
      <c r="E726" s="21">
        <f t="shared" si="62"/>
        <v>41583</v>
      </c>
      <c r="F726" s="17" t="str">
        <f t="shared" si="63"/>
        <v>2013-11</v>
      </c>
      <c r="G726" s="25">
        <f t="shared" si="64"/>
        <v>38.897499999999994</v>
      </c>
    </row>
    <row r="727" spans="1:7" x14ac:dyDescent="0.25">
      <c r="A727" s="18" t="s">
        <v>1262</v>
      </c>
      <c r="B727" s="28">
        <v>36.979999999999997</v>
      </c>
      <c r="C727" s="16" t="str">
        <f t="shared" si="65"/>
        <v>2013</v>
      </c>
      <c r="D727" t="str">
        <f t="shared" si="66"/>
        <v>46</v>
      </c>
      <c r="E727" s="21">
        <f t="shared" si="62"/>
        <v>41590</v>
      </c>
      <c r="F727" s="17" t="str">
        <f t="shared" si="63"/>
        <v>2013-11</v>
      </c>
      <c r="G727" s="25">
        <f t="shared" si="64"/>
        <v>38.897499999999994</v>
      </c>
    </row>
    <row r="728" spans="1:7" x14ac:dyDescent="0.25">
      <c r="A728" s="18" t="s">
        <v>1261</v>
      </c>
      <c r="B728" s="28">
        <v>39.94</v>
      </c>
      <c r="C728" s="16" t="str">
        <f t="shared" si="65"/>
        <v>2013</v>
      </c>
      <c r="D728" t="str">
        <f t="shared" si="66"/>
        <v>47</v>
      </c>
      <c r="E728" s="21">
        <f t="shared" si="62"/>
        <v>41597</v>
      </c>
      <c r="F728" s="17" t="str">
        <f t="shared" si="63"/>
        <v>2013-11</v>
      </c>
      <c r="G728" s="25">
        <f t="shared" si="64"/>
        <v>38.897499999999994</v>
      </c>
    </row>
    <row r="729" spans="1:7" x14ac:dyDescent="0.25">
      <c r="A729" s="18" t="s">
        <v>1260</v>
      </c>
      <c r="B729" s="28">
        <v>40.17</v>
      </c>
      <c r="C729" s="16" t="str">
        <f t="shared" si="65"/>
        <v>2013</v>
      </c>
      <c r="D729" t="str">
        <f t="shared" si="66"/>
        <v>48</v>
      </c>
      <c r="E729" s="21">
        <f t="shared" si="62"/>
        <v>41604</v>
      </c>
      <c r="F729" s="17" t="str">
        <f t="shared" si="63"/>
        <v>2013-11</v>
      </c>
      <c r="G729" s="25">
        <f t="shared" si="64"/>
        <v>38.897499999999994</v>
      </c>
    </row>
    <row r="730" spans="1:7" x14ac:dyDescent="0.25">
      <c r="A730" s="18" t="s">
        <v>1259</v>
      </c>
      <c r="B730" s="28">
        <v>45.65</v>
      </c>
      <c r="C730" s="16" t="str">
        <f t="shared" si="65"/>
        <v>2013</v>
      </c>
      <c r="D730" t="str">
        <f t="shared" si="66"/>
        <v>49</v>
      </c>
      <c r="E730" s="21">
        <f t="shared" si="62"/>
        <v>41611</v>
      </c>
      <c r="F730" s="17" t="str">
        <f t="shared" si="63"/>
        <v>2013-12</v>
      </c>
      <c r="G730" s="25">
        <f t="shared" si="64"/>
        <v>48.34</v>
      </c>
    </row>
    <row r="731" spans="1:7" x14ac:dyDescent="0.25">
      <c r="A731" s="18" t="s">
        <v>1258</v>
      </c>
      <c r="B731" s="28">
        <v>48.61</v>
      </c>
      <c r="C731" s="16" t="str">
        <f t="shared" si="65"/>
        <v>2013</v>
      </c>
      <c r="D731" t="str">
        <f t="shared" si="66"/>
        <v>50</v>
      </c>
      <c r="E731" s="21">
        <f t="shared" si="62"/>
        <v>41618</v>
      </c>
      <c r="F731" s="17" t="str">
        <f t="shared" si="63"/>
        <v>2013-12</v>
      </c>
      <c r="G731" s="25">
        <f t="shared" si="64"/>
        <v>48.34</v>
      </c>
    </row>
    <row r="732" spans="1:7" x14ac:dyDescent="0.25">
      <c r="A732" s="18" t="s">
        <v>1257</v>
      </c>
      <c r="B732" s="28">
        <v>48.52</v>
      </c>
      <c r="C732" s="16" t="str">
        <f t="shared" si="65"/>
        <v>2013</v>
      </c>
      <c r="D732" t="str">
        <f t="shared" si="66"/>
        <v>51</v>
      </c>
      <c r="E732" s="21">
        <f t="shared" si="62"/>
        <v>41625</v>
      </c>
      <c r="F732" s="17" t="str">
        <f t="shared" si="63"/>
        <v>2013-12</v>
      </c>
      <c r="G732" s="25">
        <f t="shared" si="64"/>
        <v>48.34</v>
      </c>
    </row>
    <row r="733" spans="1:7" x14ac:dyDescent="0.25">
      <c r="A733" s="18" t="s">
        <v>1256</v>
      </c>
      <c r="B733" s="28">
        <v>50.58</v>
      </c>
      <c r="C733" s="16" t="str">
        <f t="shared" si="65"/>
        <v>2013</v>
      </c>
      <c r="D733" t="str">
        <f t="shared" si="66"/>
        <v>52</v>
      </c>
      <c r="E733" s="21">
        <f t="shared" si="62"/>
        <v>41632</v>
      </c>
      <c r="F733" s="17" t="str">
        <f t="shared" si="63"/>
        <v>2013-12</v>
      </c>
      <c r="G733" s="25">
        <f t="shared" si="64"/>
        <v>48.34</v>
      </c>
    </row>
    <row r="734" spans="1:7" x14ac:dyDescent="0.25">
      <c r="A734" s="18" t="s">
        <v>1255</v>
      </c>
      <c r="B734" s="28">
        <v>50.34</v>
      </c>
      <c r="C734" s="16" t="str">
        <f t="shared" si="65"/>
        <v>2014</v>
      </c>
      <c r="D734" t="str">
        <f t="shared" si="66"/>
        <v>01</v>
      </c>
      <c r="E734" s="21">
        <f t="shared" si="62"/>
        <v>41640</v>
      </c>
      <c r="F734" s="17" t="str">
        <f t="shared" si="63"/>
        <v>2014-01</v>
      </c>
      <c r="G734" s="25">
        <f t="shared" si="64"/>
        <v>48.975999999999999</v>
      </c>
    </row>
    <row r="735" spans="1:7" x14ac:dyDescent="0.25">
      <c r="A735" s="18" t="s">
        <v>1254</v>
      </c>
      <c r="B735" s="28">
        <v>48.75</v>
      </c>
      <c r="C735" s="16" t="str">
        <f t="shared" si="65"/>
        <v>2014</v>
      </c>
      <c r="D735" t="str">
        <f t="shared" si="66"/>
        <v>02</v>
      </c>
      <c r="E735" s="21">
        <f t="shared" si="62"/>
        <v>41647</v>
      </c>
      <c r="F735" s="17" t="str">
        <f t="shared" si="63"/>
        <v>2014-01</v>
      </c>
      <c r="G735" s="25">
        <f t="shared" si="64"/>
        <v>48.975999999999999</v>
      </c>
    </row>
    <row r="736" spans="1:7" x14ac:dyDescent="0.25">
      <c r="A736" s="18" t="s">
        <v>1253</v>
      </c>
      <c r="B736" s="28">
        <v>49.27</v>
      </c>
      <c r="C736" s="16" t="str">
        <f t="shared" si="65"/>
        <v>2014</v>
      </c>
      <c r="D736" t="str">
        <f t="shared" si="66"/>
        <v>03</v>
      </c>
      <c r="E736" s="21">
        <f t="shared" si="62"/>
        <v>41654</v>
      </c>
      <c r="F736" s="17" t="str">
        <f t="shared" si="63"/>
        <v>2014-01</v>
      </c>
      <c r="G736" s="25">
        <f t="shared" si="64"/>
        <v>48.975999999999999</v>
      </c>
    </row>
    <row r="737" spans="1:7" x14ac:dyDescent="0.25">
      <c r="A737" s="18" t="s">
        <v>1252</v>
      </c>
      <c r="B737" s="28">
        <v>49.72</v>
      </c>
      <c r="C737" s="16" t="str">
        <f t="shared" si="65"/>
        <v>2014</v>
      </c>
      <c r="D737" t="str">
        <f t="shared" si="66"/>
        <v>04</v>
      </c>
      <c r="E737" s="21">
        <f t="shared" si="62"/>
        <v>41661</v>
      </c>
      <c r="F737" s="17" t="str">
        <f t="shared" si="63"/>
        <v>2014-01</v>
      </c>
      <c r="G737" s="25">
        <f t="shared" si="64"/>
        <v>48.975999999999999</v>
      </c>
    </row>
    <row r="738" spans="1:7" x14ac:dyDescent="0.25">
      <c r="A738" s="18" t="s">
        <v>1251</v>
      </c>
      <c r="B738" s="28">
        <v>46.8</v>
      </c>
      <c r="C738" s="16" t="str">
        <f t="shared" si="65"/>
        <v>2014</v>
      </c>
      <c r="D738" t="str">
        <f t="shared" si="66"/>
        <v>05</v>
      </c>
      <c r="E738" s="21">
        <f t="shared" si="62"/>
        <v>41668</v>
      </c>
      <c r="F738" s="17" t="str">
        <f t="shared" si="63"/>
        <v>2014-01</v>
      </c>
      <c r="G738" s="25">
        <f t="shared" si="64"/>
        <v>48.975999999999999</v>
      </c>
    </row>
    <row r="739" spans="1:7" x14ac:dyDescent="0.25">
      <c r="A739" s="18" t="s">
        <v>1250</v>
      </c>
      <c r="B739" s="28">
        <v>45.62</v>
      </c>
      <c r="C739" s="16" t="str">
        <f t="shared" si="65"/>
        <v>2014</v>
      </c>
      <c r="D739" t="str">
        <f t="shared" si="66"/>
        <v>06</v>
      </c>
      <c r="E739" s="21">
        <f t="shared" si="62"/>
        <v>41675</v>
      </c>
      <c r="F739" s="17" t="str">
        <f t="shared" si="63"/>
        <v>2014-02</v>
      </c>
      <c r="G739" s="25">
        <f t="shared" si="64"/>
        <v>47.6175</v>
      </c>
    </row>
    <row r="740" spans="1:7" x14ac:dyDescent="0.25">
      <c r="A740" s="18" t="s">
        <v>1249</v>
      </c>
      <c r="B740" s="28">
        <v>49.41</v>
      </c>
      <c r="C740" s="16" t="str">
        <f t="shared" si="65"/>
        <v>2014</v>
      </c>
      <c r="D740" t="str">
        <f t="shared" si="66"/>
        <v>07</v>
      </c>
      <c r="E740" s="21">
        <f t="shared" si="62"/>
        <v>41682</v>
      </c>
      <c r="F740" s="17" t="str">
        <f t="shared" si="63"/>
        <v>2014-02</v>
      </c>
      <c r="G740" s="25">
        <f t="shared" si="64"/>
        <v>47.6175</v>
      </c>
    </row>
    <row r="741" spans="1:7" x14ac:dyDescent="0.25">
      <c r="A741" s="18" t="s">
        <v>1248</v>
      </c>
      <c r="B741" s="28">
        <v>48.76</v>
      </c>
      <c r="C741" s="16" t="str">
        <f t="shared" si="65"/>
        <v>2014</v>
      </c>
      <c r="D741" t="str">
        <f t="shared" si="66"/>
        <v>08</v>
      </c>
      <c r="E741" s="21">
        <f t="shared" si="62"/>
        <v>41689</v>
      </c>
      <c r="F741" s="17" t="str">
        <f t="shared" si="63"/>
        <v>2014-02</v>
      </c>
      <c r="G741" s="25">
        <f t="shared" si="64"/>
        <v>47.6175</v>
      </c>
    </row>
    <row r="742" spans="1:7" x14ac:dyDescent="0.25">
      <c r="A742" s="18" t="s">
        <v>1247</v>
      </c>
      <c r="B742" s="28">
        <v>46.68</v>
      </c>
      <c r="C742" s="16" t="str">
        <f t="shared" si="65"/>
        <v>2014</v>
      </c>
      <c r="D742" t="str">
        <f t="shared" si="66"/>
        <v>09</v>
      </c>
      <c r="E742" s="21">
        <f t="shared" si="62"/>
        <v>41696</v>
      </c>
      <c r="F742" s="17" t="str">
        <f t="shared" si="63"/>
        <v>2014-02</v>
      </c>
      <c r="G742" s="25">
        <f t="shared" si="64"/>
        <v>47.6175</v>
      </c>
    </row>
    <row r="743" spans="1:7" x14ac:dyDescent="0.25">
      <c r="A743" s="18" t="s">
        <v>1246</v>
      </c>
      <c r="B743" s="28">
        <v>44.13</v>
      </c>
      <c r="C743" s="16" t="str">
        <f t="shared" si="65"/>
        <v>2014</v>
      </c>
      <c r="D743" t="str">
        <f t="shared" si="66"/>
        <v>10</v>
      </c>
      <c r="E743" s="21">
        <f t="shared" si="62"/>
        <v>41703</v>
      </c>
      <c r="F743" s="17" t="str">
        <f t="shared" si="63"/>
        <v>2014-03</v>
      </c>
      <c r="G743" s="25">
        <f t="shared" si="64"/>
        <v>43.915000000000006</v>
      </c>
    </row>
    <row r="744" spans="1:7" x14ac:dyDescent="0.25">
      <c r="A744" s="18" t="s">
        <v>1245</v>
      </c>
      <c r="B744" s="28">
        <v>44.07</v>
      </c>
      <c r="C744" s="16" t="str">
        <f t="shared" si="65"/>
        <v>2014</v>
      </c>
      <c r="D744" t="str">
        <f t="shared" si="66"/>
        <v>11</v>
      </c>
      <c r="E744" s="21">
        <f t="shared" si="62"/>
        <v>41710</v>
      </c>
      <c r="F744" s="17" t="str">
        <f t="shared" si="63"/>
        <v>2014-03</v>
      </c>
      <c r="G744" s="25">
        <f t="shared" si="64"/>
        <v>43.915000000000006</v>
      </c>
    </row>
    <row r="745" spans="1:7" x14ac:dyDescent="0.25">
      <c r="A745" s="18" t="s">
        <v>1244</v>
      </c>
      <c r="B745" s="28">
        <v>43.63</v>
      </c>
      <c r="C745" s="16" t="str">
        <f t="shared" si="65"/>
        <v>2014</v>
      </c>
      <c r="D745" t="str">
        <f t="shared" si="66"/>
        <v>12</v>
      </c>
      <c r="E745" s="21">
        <f t="shared" si="62"/>
        <v>41717</v>
      </c>
      <c r="F745" s="17" t="str">
        <f t="shared" si="63"/>
        <v>2014-03</v>
      </c>
      <c r="G745" s="25">
        <f t="shared" si="64"/>
        <v>43.915000000000006</v>
      </c>
    </row>
    <row r="746" spans="1:7" x14ac:dyDescent="0.25">
      <c r="A746" s="18" t="s">
        <v>1243</v>
      </c>
      <c r="B746" s="28">
        <v>43.83</v>
      </c>
      <c r="C746" s="16" t="str">
        <f t="shared" si="65"/>
        <v>2014</v>
      </c>
      <c r="D746" t="str">
        <f t="shared" si="66"/>
        <v>13</v>
      </c>
      <c r="E746" s="21">
        <f t="shared" si="62"/>
        <v>41724</v>
      </c>
      <c r="F746" s="17" t="str">
        <f t="shared" si="63"/>
        <v>2014-03</v>
      </c>
      <c r="G746" s="25">
        <f t="shared" si="64"/>
        <v>43.915000000000006</v>
      </c>
    </row>
    <row r="747" spans="1:7" x14ac:dyDescent="0.25">
      <c r="A747" s="18" t="s">
        <v>1242</v>
      </c>
      <c r="B747" s="28">
        <v>44.01</v>
      </c>
      <c r="C747" s="16" t="str">
        <f t="shared" si="65"/>
        <v>2014</v>
      </c>
      <c r="D747" t="str">
        <f t="shared" si="66"/>
        <v>14</v>
      </c>
      <c r="E747" s="21">
        <f t="shared" si="62"/>
        <v>41731</v>
      </c>
      <c r="F747" s="17" t="str">
        <f t="shared" si="63"/>
        <v>2014-04</v>
      </c>
      <c r="G747" s="25">
        <f t="shared" si="64"/>
        <v>45.333999999999996</v>
      </c>
    </row>
    <row r="748" spans="1:7" x14ac:dyDescent="0.25">
      <c r="A748" s="18" t="s">
        <v>1241</v>
      </c>
      <c r="B748" s="28">
        <v>44.35</v>
      </c>
      <c r="C748" s="16" t="str">
        <f t="shared" si="65"/>
        <v>2014</v>
      </c>
      <c r="D748" t="str">
        <f t="shared" si="66"/>
        <v>15</v>
      </c>
      <c r="E748" s="21">
        <f t="shared" si="62"/>
        <v>41738</v>
      </c>
      <c r="F748" s="17" t="str">
        <f t="shared" si="63"/>
        <v>2014-04</v>
      </c>
      <c r="G748" s="25">
        <f t="shared" si="64"/>
        <v>45.333999999999996</v>
      </c>
    </row>
    <row r="749" spans="1:7" x14ac:dyDescent="0.25">
      <c r="A749" s="18" t="s">
        <v>1240</v>
      </c>
      <c r="B749" s="28">
        <v>47.4</v>
      </c>
      <c r="C749" s="16" t="str">
        <f t="shared" si="65"/>
        <v>2014</v>
      </c>
      <c r="D749" t="str">
        <f t="shared" si="66"/>
        <v>16</v>
      </c>
      <c r="E749" s="21">
        <f t="shared" si="62"/>
        <v>41745</v>
      </c>
      <c r="F749" s="17" t="str">
        <f t="shared" si="63"/>
        <v>2014-04</v>
      </c>
      <c r="G749" s="25">
        <f t="shared" si="64"/>
        <v>45.333999999999996</v>
      </c>
    </row>
    <row r="750" spans="1:7" x14ac:dyDescent="0.25">
      <c r="A750" s="18" t="s">
        <v>1239</v>
      </c>
      <c r="B750" s="28">
        <v>46.29</v>
      </c>
      <c r="C750" s="16" t="str">
        <f t="shared" si="65"/>
        <v>2014</v>
      </c>
      <c r="D750" t="str">
        <f t="shared" si="66"/>
        <v>17</v>
      </c>
      <c r="E750" s="21">
        <f t="shared" si="62"/>
        <v>41752</v>
      </c>
      <c r="F750" s="17" t="str">
        <f t="shared" si="63"/>
        <v>2014-04</v>
      </c>
      <c r="G750" s="25">
        <f t="shared" si="64"/>
        <v>45.333999999999996</v>
      </c>
    </row>
    <row r="751" spans="1:7" x14ac:dyDescent="0.25">
      <c r="A751" s="18" t="s">
        <v>1238</v>
      </c>
      <c r="B751" s="28">
        <v>44.62</v>
      </c>
      <c r="C751" s="16" t="str">
        <f t="shared" si="65"/>
        <v>2014</v>
      </c>
      <c r="D751" t="str">
        <f t="shared" si="66"/>
        <v>18</v>
      </c>
      <c r="E751" s="21">
        <f t="shared" si="62"/>
        <v>41759</v>
      </c>
      <c r="F751" s="17" t="str">
        <f t="shared" si="63"/>
        <v>2014-04</v>
      </c>
      <c r="G751" s="25">
        <f t="shared" si="64"/>
        <v>45.333999999999996</v>
      </c>
    </row>
    <row r="752" spans="1:7" x14ac:dyDescent="0.25">
      <c r="A752" s="18" t="s">
        <v>1237</v>
      </c>
      <c r="B752" s="28">
        <v>42.03</v>
      </c>
      <c r="C752" s="16" t="str">
        <f t="shared" si="65"/>
        <v>2014</v>
      </c>
      <c r="D752" t="str">
        <f t="shared" si="66"/>
        <v>19</v>
      </c>
      <c r="E752" s="21">
        <f t="shared" si="62"/>
        <v>41766</v>
      </c>
      <c r="F752" s="17" t="str">
        <f t="shared" si="63"/>
        <v>2014-05</v>
      </c>
      <c r="G752" s="25">
        <f t="shared" si="64"/>
        <v>40.127499999999998</v>
      </c>
    </row>
    <row r="753" spans="1:7" x14ac:dyDescent="0.25">
      <c r="A753" s="18" t="s">
        <v>1236</v>
      </c>
      <c r="B753" s="28">
        <v>40.28</v>
      </c>
      <c r="C753" s="16" t="str">
        <f t="shared" si="65"/>
        <v>2014</v>
      </c>
      <c r="D753" t="str">
        <f t="shared" si="66"/>
        <v>20</v>
      </c>
      <c r="E753" s="21">
        <f t="shared" si="62"/>
        <v>41773</v>
      </c>
      <c r="F753" s="17" t="str">
        <f t="shared" si="63"/>
        <v>2014-05</v>
      </c>
      <c r="G753" s="25">
        <f t="shared" si="64"/>
        <v>40.127499999999998</v>
      </c>
    </row>
    <row r="754" spans="1:7" x14ac:dyDescent="0.25">
      <c r="A754" s="18" t="s">
        <v>1235</v>
      </c>
      <c r="B754" s="28">
        <v>39.369999999999997</v>
      </c>
      <c r="C754" s="16" t="str">
        <f t="shared" si="65"/>
        <v>2014</v>
      </c>
      <c r="D754" t="str">
        <f t="shared" si="66"/>
        <v>21</v>
      </c>
      <c r="E754" s="21">
        <f t="shared" si="62"/>
        <v>41780</v>
      </c>
      <c r="F754" s="17" t="str">
        <f t="shared" si="63"/>
        <v>2014-05</v>
      </c>
      <c r="G754" s="25">
        <f t="shared" si="64"/>
        <v>40.127499999999998</v>
      </c>
    </row>
    <row r="755" spans="1:7" x14ac:dyDescent="0.25">
      <c r="A755" s="18" t="s">
        <v>1234</v>
      </c>
      <c r="B755" s="28">
        <v>38.83</v>
      </c>
      <c r="C755" s="16" t="str">
        <f t="shared" si="65"/>
        <v>2014</v>
      </c>
      <c r="D755" t="str">
        <f t="shared" si="66"/>
        <v>22</v>
      </c>
      <c r="E755" s="21">
        <f t="shared" si="62"/>
        <v>41787</v>
      </c>
      <c r="F755" s="17" t="str">
        <f t="shared" si="63"/>
        <v>2014-05</v>
      </c>
      <c r="G755" s="25">
        <f t="shared" si="64"/>
        <v>40.127499999999998</v>
      </c>
    </row>
    <row r="756" spans="1:7" x14ac:dyDescent="0.25">
      <c r="A756" s="18" t="s">
        <v>1233</v>
      </c>
      <c r="B756" s="28">
        <v>37.65</v>
      </c>
      <c r="C756" s="16" t="str">
        <f t="shared" si="65"/>
        <v>2014</v>
      </c>
      <c r="D756" t="str">
        <f t="shared" si="66"/>
        <v>23</v>
      </c>
      <c r="E756" s="21">
        <f t="shared" si="62"/>
        <v>41794</v>
      </c>
      <c r="F756" s="17" t="str">
        <f t="shared" si="63"/>
        <v>2014-06</v>
      </c>
      <c r="G756" s="25">
        <f t="shared" si="64"/>
        <v>36.307499999999997</v>
      </c>
    </row>
    <row r="757" spans="1:7" x14ac:dyDescent="0.25">
      <c r="A757" s="18" t="s">
        <v>1232</v>
      </c>
      <c r="B757" s="28">
        <v>37.51</v>
      </c>
      <c r="C757" s="16" t="str">
        <f t="shared" si="65"/>
        <v>2014</v>
      </c>
      <c r="D757" t="str">
        <f t="shared" si="66"/>
        <v>24</v>
      </c>
      <c r="E757" s="21">
        <f t="shared" si="62"/>
        <v>41801</v>
      </c>
      <c r="F757" s="17" t="str">
        <f t="shared" si="63"/>
        <v>2014-06</v>
      </c>
      <c r="G757" s="25">
        <f t="shared" si="64"/>
        <v>36.307499999999997</v>
      </c>
    </row>
    <row r="758" spans="1:7" x14ac:dyDescent="0.25">
      <c r="A758" s="18" t="s">
        <v>1231</v>
      </c>
      <c r="B758" s="28">
        <v>36.47</v>
      </c>
      <c r="C758" s="16" t="str">
        <f t="shared" si="65"/>
        <v>2014</v>
      </c>
      <c r="D758" t="str">
        <f t="shared" si="66"/>
        <v>25</v>
      </c>
      <c r="E758" s="21">
        <f t="shared" si="62"/>
        <v>41808</v>
      </c>
      <c r="F758" s="17" t="str">
        <f t="shared" si="63"/>
        <v>2014-06</v>
      </c>
      <c r="G758" s="25">
        <f t="shared" si="64"/>
        <v>36.307499999999997</v>
      </c>
    </row>
    <row r="759" spans="1:7" x14ac:dyDescent="0.25">
      <c r="A759" s="18" t="s">
        <v>1230</v>
      </c>
      <c r="B759" s="28">
        <v>33.6</v>
      </c>
      <c r="C759" s="16" t="str">
        <f t="shared" si="65"/>
        <v>2014</v>
      </c>
      <c r="D759" t="str">
        <f t="shared" si="66"/>
        <v>26</v>
      </c>
      <c r="E759" s="21">
        <f t="shared" si="62"/>
        <v>41815</v>
      </c>
      <c r="F759" s="17" t="str">
        <f t="shared" si="63"/>
        <v>2014-06</v>
      </c>
      <c r="G759" s="25">
        <f t="shared" si="64"/>
        <v>36.307499999999997</v>
      </c>
    </row>
    <row r="760" spans="1:7" x14ac:dyDescent="0.25">
      <c r="A760" s="18" t="s">
        <v>1229</v>
      </c>
      <c r="B760" s="28">
        <v>37.6</v>
      </c>
      <c r="C760" s="16" t="str">
        <f t="shared" si="65"/>
        <v>2014</v>
      </c>
      <c r="D760" t="str">
        <f t="shared" si="66"/>
        <v>27</v>
      </c>
      <c r="E760" s="21">
        <f t="shared" si="62"/>
        <v>41822</v>
      </c>
      <c r="F760" s="17" t="str">
        <f t="shared" si="63"/>
        <v>2014-07</v>
      </c>
      <c r="G760" s="25">
        <f t="shared" si="64"/>
        <v>40.29</v>
      </c>
    </row>
    <row r="761" spans="1:7" x14ac:dyDescent="0.25">
      <c r="A761" s="18" t="s">
        <v>1228</v>
      </c>
      <c r="B761" s="28">
        <v>41.66</v>
      </c>
      <c r="C761" s="16" t="str">
        <f t="shared" si="65"/>
        <v>2014</v>
      </c>
      <c r="D761" t="str">
        <f t="shared" si="66"/>
        <v>28</v>
      </c>
      <c r="E761" s="21">
        <f t="shared" si="62"/>
        <v>41829</v>
      </c>
      <c r="F761" s="17" t="str">
        <f t="shared" si="63"/>
        <v>2014-07</v>
      </c>
      <c r="G761" s="25">
        <f t="shared" si="64"/>
        <v>40.29</v>
      </c>
    </row>
    <row r="762" spans="1:7" x14ac:dyDescent="0.25">
      <c r="A762" s="18" t="s">
        <v>1227</v>
      </c>
      <c r="B762" s="28">
        <v>42.26</v>
      </c>
      <c r="C762" s="16" t="str">
        <f t="shared" si="65"/>
        <v>2014</v>
      </c>
      <c r="D762" t="str">
        <f t="shared" si="66"/>
        <v>29</v>
      </c>
      <c r="E762" s="21">
        <f t="shared" si="62"/>
        <v>41836</v>
      </c>
      <c r="F762" s="17" t="str">
        <f t="shared" si="63"/>
        <v>2014-07</v>
      </c>
      <c r="G762" s="25">
        <f t="shared" si="64"/>
        <v>40.29</v>
      </c>
    </row>
    <row r="763" spans="1:7" x14ac:dyDescent="0.25">
      <c r="A763" s="18" t="s">
        <v>1226</v>
      </c>
      <c r="B763" s="28">
        <v>42.23</v>
      </c>
      <c r="C763" s="16" t="str">
        <f t="shared" si="65"/>
        <v>2014</v>
      </c>
      <c r="D763" t="str">
        <f t="shared" si="66"/>
        <v>30</v>
      </c>
      <c r="E763" s="21">
        <f t="shared" si="62"/>
        <v>41843</v>
      </c>
      <c r="F763" s="17" t="str">
        <f t="shared" si="63"/>
        <v>2014-07</v>
      </c>
      <c r="G763" s="25">
        <f t="shared" si="64"/>
        <v>40.29</v>
      </c>
    </row>
    <row r="764" spans="1:7" x14ac:dyDescent="0.25">
      <c r="A764" s="18" t="s">
        <v>1225</v>
      </c>
      <c r="B764" s="28">
        <v>37.700000000000003</v>
      </c>
      <c r="C764" s="16" t="str">
        <f t="shared" si="65"/>
        <v>2014</v>
      </c>
      <c r="D764" t="str">
        <f t="shared" si="66"/>
        <v>31</v>
      </c>
      <c r="E764" s="21">
        <f t="shared" si="62"/>
        <v>41850</v>
      </c>
      <c r="F764" s="17" t="str">
        <f t="shared" si="63"/>
        <v>2014-07</v>
      </c>
      <c r="G764" s="25">
        <f t="shared" si="64"/>
        <v>40.29</v>
      </c>
    </row>
    <row r="765" spans="1:7" x14ac:dyDescent="0.25">
      <c r="A765" s="18" t="s">
        <v>1224</v>
      </c>
      <c r="B765" s="28">
        <v>37.479999999999997</v>
      </c>
      <c r="C765" s="16" t="str">
        <f t="shared" si="65"/>
        <v>2014</v>
      </c>
      <c r="D765" t="str">
        <f t="shared" si="66"/>
        <v>32</v>
      </c>
      <c r="E765" s="21">
        <f t="shared" si="62"/>
        <v>41857</v>
      </c>
      <c r="F765" s="17" t="str">
        <f t="shared" si="63"/>
        <v>2014-08</v>
      </c>
      <c r="G765" s="25">
        <f t="shared" si="64"/>
        <v>35.78</v>
      </c>
    </row>
    <row r="766" spans="1:7" x14ac:dyDescent="0.25">
      <c r="A766" s="18" t="s">
        <v>1223</v>
      </c>
      <c r="B766" s="28">
        <v>35.82</v>
      </c>
      <c r="C766" s="16" t="str">
        <f t="shared" si="65"/>
        <v>2014</v>
      </c>
      <c r="D766" t="str">
        <f t="shared" si="66"/>
        <v>33</v>
      </c>
      <c r="E766" s="21">
        <f t="shared" si="62"/>
        <v>41864</v>
      </c>
      <c r="F766" s="17" t="str">
        <f t="shared" si="63"/>
        <v>2014-08</v>
      </c>
      <c r="G766" s="25">
        <f t="shared" si="64"/>
        <v>35.78</v>
      </c>
    </row>
    <row r="767" spans="1:7" x14ac:dyDescent="0.25">
      <c r="A767" s="18" t="s">
        <v>1222</v>
      </c>
      <c r="B767" s="28">
        <v>34.950000000000003</v>
      </c>
      <c r="C767" s="16" t="str">
        <f t="shared" si="65"/>
        <v>2014</v>
      </c>
      <c r="D767" t="str">
        <f t="shared" si="66"/>
        <v>34</v>
      </c>
      <c r="E767" s="21">
        <f t="shared" si="62"/>
        <v>41871</v>
      </c>
      <c r="F767" s="17" t="str">
        <f t="shared" si="63"/>
        <v>2014-08</v>
      </c>
      <c r="G767" s="25">
        <f t="shared" si="64"/>
        <v>35.78</v>
      </c>
    </row>
    <row r="768" spans="1:7" x14ac:dyDescent="0.25">
      <c r="A768" s="18" t="s">
        <v>1221</v>
      </c>
      <c r="B768" s="28">
        <v>34.869999999999997</v>
      </c>
      <c r="C768" s="16" t="str">
        <f t="shared" si="65"/>
        <v>2014</v>
      </c>
      <c r="D768" t="str">
        <f t="shared" si="66"/>
        <v>35</v>
      </c>
      <c r="E768" s="21">
        <f t="shared" si="62"/>
        <v>41878</v>
      </c>
      <c r="F768" s="17" t="str">
        <f t="shared" si="63"/>
        <v>2014-08</v>
      </c>
      <c r="G768" s="25">
        <f t="shared" si="64"/>
        <v>35.78</v>
      </c>
    </row>
    <row r="769" spans="1:7" x14ac:dyDescent="0.25">
      <c r="A769" s="18" t="s">
        <v>1220</v>
      </c>
      <c r="B769" s="28">
        <v>35.71</v>
      </c>
      <c r="C769" s="16" t="str">
        <f t="shared" si="65"/>
        <v>2014</v>
      </c>
      <c r="D769" t="str">
        <f t="shared" si="66"/>
        <v>36</v>
      </c>
      <c r="E769" s="21">
        <f t="shared" si="62"/>
        <v>41885</v>
      </c>
      <c r="F769" s="17" t="str">
        <f t="shared" si="63"/>
        <v>2014-09</v>
      </c>
      <c r="G769" s="25">
        <f t="shared" si="64"/>
        <v>34.905000000000001</v>
      </c>
    </row>
    <row r="770" spans="1:7" x14ac:dyDescent="0.25">
      <c r="A770" s="18" t="s">
        <v>1219</v>
      </c>
      <c r="B770" s="28">
        <v>34.43</v>
      </c>
      <c r="C770" s="16" t="str">
        <f t="shared" si="65"/>
        <v>2014</v>
      </c>
      <c r="D770" t="str">
        <f t="shared" si="66"/>
        <v>37</v>
      </c>
      <c r="E770" s="21">
        <f t="shared" si="62"/>
        <v>41892</v>
      </c>
      <c r="F770" s="17" t="str">
        <f t="shared" si="63"/>
        <v>2014-09</v>
      </c>
      <c r="G770" s="25">
        <f t="shared" si="64"/>
        <v>34.905000000000001</v>
      </c>
    </row>
    <row r="771" spans="1:7" x14ac:dyDescent="0.25">
      <c r="A771" s="18" t="s">
        <v>1218</v>
      </c>
      <c r="B771" s="28">
        <v>34.049999999999997</v>
      </c>
      <c r="C771" s="16" t="str">
        <f t="shared" si="65"/>
        <v>2014</v>
      </c>
      <c r="D771" t="str">
        <f t="shared" si="66"/>
        <v>38</v>
      </c>
      <c r="E771" s="21">
        <f t="shared" si="62"/>
        <v>41899</v>
      </c>
      <c r="F771" s="17" t="str">
        <f t="shared" si="63"/>
        <v>2014-09</v>
      </c>
      <c r="G771" s="25">
        <f t="shared" si="64"/>
        <v>34.905000000000001</v>
      </c>
    </row>
    <row r="772" spans="1:7" x14ac:dyDescent="0.25">
      <c r="A772" s="18" t="s">
        <v>1217</v>
      </c>
      <c r="B772" s="28">
        <v>35.43</v>
      </c>
      <c r="C772" s="16" t="str">
        <f t="shared" si="65"/>
        <v>2014</v>
      </c>
      <c r="D772" t="str">
        <f t="shared" si="66"/>
        <v>39</v>
      </c>
      <c r="E772" s="21">
        <f t="shared" si="62"/>
        <v>41906</v>
      </c>
      <c r="F772" s="17" t="str">
        <f t="shared" si="63"/>
        <v>2014-09</v>
      </c>
      <c r="G772" s="25">
        <f t="shared" si="64"/>
        <v>34.905000000000001</v>
      </c>
    </row>
    <row r="773" spans="1:7" x14ac:dyDescent="0.25">
      <c r="A773" s="18" t="s">
        <v>1216</v>
      </c>
      <c r="B773" s="28">
        <v>35.590000000000003</v>
      </c>
      <c r="C773" s="16" t="str">
        <f t="shared" si="65"/>
        <v>2014</v>
      </c>
      <c r="D773" t="str">
        <f t="shared" si="66"/>
        <v>40</v>
      </c>
      <c r="E773" s="21">
        <f t="shared" ref="E773:E836" si="67">DATE(C773,1,1)+(D773-1)*7</f>
        <v>41913</v>
      </c>
      <c r="F773" s="17" t="str">
        <f t="shared" ref="F773:F836" si="68">TEXT(E773,"éééé-hh")</f>
        <v>2014-10</v>
      </c>
      <c r="G773" s="25">
        <f t="shared" ref="G773:G836" si="69">AVERAGEIF($F$4:$F$1353,F773,$B$4:$B$1353)</f>
        <v>35.6</v>
      </c>
    </row>
    <row r="774" spans="1:7" x14ac:dyDescent="0.25">
      <c r="A774" s="18" t="s">
        <v>1215</v>
      </c>
      <c r="B774" s="28">
        <v>34.4</v>
      </c>
      <c r="C774" s="16" t="str">
        <f t="shared" si="65"/>
        <v>2014</v>
      </c>
      <c r="D774" t="str">
        <f t="shared" si="66"/>
        <v>41</v>
      </c>
      <c r="E774" s="21">
        <f t="shared" si="67"/>
        <v>41920</v>
      </c>
      <c r="F774" s="17" t="str">
        <f t="shared" si="68"/>
        <v>2014-10</v>
      </c>
      <c r="G774" s="25">
        <f t="shared" si="69"/>
        <v>35.6</v>
      </c>
    </row>
    <row r="775" spans="1:7" x14ac:dyDescent="0.25">
      <c r="A775" s="18" t="s">
        <v>1214</v>
      </c>
      <c r="B775" s="28">
        <v>34.44</v>
      </c>
      <c r="C775" s="16" t="str">
        <f t="shared" si="65"/>
        <v>2014</v>
      </c>
      <c r="D775" t="str">
        <f t="shared" si="66"/>
        <v>42</v>
      </c>
      <c r="E775" s="21">
        <f t="shared" si="67"/>
        <v>41927</v>
      </c>
      <c r="F775" s="17" t="str">
        <f t="shared" si="68"/>
        <v>2014-10</v>
      </c>
      <c r="G775" s="25">
        <f t="shared" si="69"/>
        <v>35.6</v>
      </c>
    </row>
    <row r="776" spans="1:7" x14ac:dyDescent="0.25">
      <c r="A776" s="18" t="s">
        <v>1213</v>
      </c>
      <c r="B776" s="28">
        <v>36.51</v>
      </c>
      <c r="C776" s="16" t="str">
        <f t="shared" si="65"/>
        <v>2014</v>
      </c>
      <c r="D776" t="str">
        <f t="shared" si="66"/>
        <v>43</v>
      </c>
      <c r="E776" s="21">
        <f t="shared" si="67"/>
        <v>41934</v>
      </c>
      <c r="F776" s="17" t="str">
        <f t="shared" si="68"/>
        <v>2014-10</v>
      </c>
      <c r="G776" s="25">
        <f t="shared" si="69"/>
        <v>35.6</v>
      </c>
    </row>
    <row r="777" spans="1:7" x14ac:dyDescent="0.25">
      <c r="A777" s="18" t="s">
        <v>1212</v>
      </c>
      <c r="B777" s="28">
        <v>37.06</v>
      </c>
      <c r="C777" s="16" t="str">
        <f t="shared" si="65"/>
        <v>2014</v>
      </c>
      <c r="D777" t="str">
        <f t="shared" si="66"/>
        <v>44</v>
      </c>
      <c r="E777" s="21">
        <f t="shared" si="67"/>
        <v>41941</v>
      </c>
      <c r="F777" s="17" t="str">
        <f t="shared" si="68"/>
        <v>2014-10</v>
      </c>
      <c r="G777" s="25">
        <f t="shared" si="69"/>
        <v>35.6</v>
      </c>
    </row>
    <row r="778" spans="1:7" x14ac:dyDescent="0.25">
      <c r="A778" s="18" t="s">
        <v>1211</v>
      </c>
      <c r="B778" s="28">
        <v>37.61</v>
      </c>
      <c r="C778" s="16" t="str">
        <f t="shared" si="65"/>
        <v>2014</v>
      </c>
      <c r="D778" t="str">
        <f t="shared" si="66"/>
        <v>45</v>
      </c>
      <c r="E778" s="21">
        <f t="shared" si="67"/>
        <v>41948</v>
      </c>
      <c r="F778" s="17" t="str">
        <f t="shared" si="68"/>
        <v>2014-11</v>
      </c>
      <c r="G778" s="25">
        <f t="shared" si="69"/>
        <v>40.674999999999997</v>
      </c>
    </row>
    <row r="779" spans="1:7" x14ac:dyDescent="0.25">
      <c r="A779" s="18" t="s">
        <v>1210</v>
      </c>
      <c r="B779" s="28">
        <v>39.950000000000003</v>
      </c>
      <c r="C779" s="16" t="str">
        <f t="shared" si="65"/>
        <v>2014</v>
      </c>
      <c r="D779" t="str">
        <f t="shared" si="66"/>
        <v>46</v>
      </c>
      <c r="E779" s="21">
        <f t="shared" si="67"/>
        <v>41955</v>
      </c>
      <c r="F779" s="17" t="str">
        <f t="shared" si="68"/>
        <v>2014-11</v>
      </c>
      <c r="G779" s="25">
        <f t="shared" si="69"/>
        <v>40.674999999999997</v>
      </c>
    </row>
    <row r="780" spans="1:7" x14ac:dyDescent="0.25">
      <c r="A780" s="18" t="s">
        <v>1209</v>
      </c>
      <c r="B780" s="28">
        <v>41.76</v>
      </c>
      <c r="C780" s="16" t="str">
        <f t="shared" si="65"/>
        <v>2014</v>
      </c>
      <c r="D780" t="str">
        <f t="shared" si="66"/>
        <v>47</v>
      </c>
      <c r="E780" s="21">
        <f t="shared" si="67"/>
        <v>41962</v>
      </c>
      <c r="F780" s="17" t="str">
        <f t="shared" si="68"/>
        <v>2014-11</v>
      </c>
      <c r="G780" s="25">
        <f t="shared" si="69"/>
        <v>40.674999999999997</v>
      </c>
    </row>
    <row r="781" spans="1:7" x14ac:dyDescent="0.25">
      <c r="A781" s="18" t="s">
        <v>1208</v>
      </c>
      <c r="B781" s="28">
        <v>43.38</v>
      </c>
      <c r="C781" s="16" t="str">
        <f t="shared" si="65"/>
        <v>2014</v>
      </c>
      <c r="D781" t="str">
        <f t="shared" si="66"/>
        <v>48</v>
      </c>
      <c r="E781" s="21">
        <f t="shared" si="67"/>
        <v>41969</v>
      </c>
      <c r="F781" s="17" t="str">
        <f t="shared" si="68"/>
        <v>2014-11</v>
      </c>
      <c r="G781" s="25">
        <f t="shared" si="69"/>
        <v>40.674999999999997</v>
      </c>
    </row>
    <row r="782" spans="1:7" x14ac:dyDescent="0.25">
      <c r="A782" s="18" t="s">
        <v>1207</v>
      </c>
      <c r="B782" s="28">
        <v>45.29</v>
      </c>
      <c r="C782" s="16" t="str">
        <f t="shared" si="65"/>
        <v>2014</v>
      </c>
      <c r="D782" t="str">
        <f t="shared" si="66"/>
        <v>49</v>
      </c>
      <c r="E782" s="21">
        <f t="shared" si="67"/>
        <v>41976</v>
      </c>
      <c r="F782" s="17" t="str">
        <f t="shared" si="68"/>
        <v>2014-12</v>
      </c>
      <c r="G782" s="25">
        <f t="shared" si="69"/>
        <v>45.422499999999999</v>
      </c>
    </row>
    <row r="783" spans="1:7" x14ac:dyDescent="0.25">
      <c r="A783" s="18" t="s">
        <v>1206</v>
      </c>
      <c r="B783" s="28">
        <v>46.84</v>
      </c>
      <c r="C783" s="16" t="str">
        <f t="shared" si="65"/>
        <v>2014</v>
      </c>
      <c r="D783" t="str">
        <f t="shared" si="66"/>
        <v>50</v>
      </c>
      <c r="E783" s="21">
        <f t="shared" si="67"/>
        <v>41983</v>
      </c>
      <c r="F783" s="17" t="str">
        <f t="shared" si="68"/>
        <v>2014-12</v>
      </c>
      <c r="G783" s="25">
        <f t="shared" si="69"/>
        <v>45.422499999999999</v>
      </c>
    </row>
    <row r="784" spans="1:7" x14ac:dyDescent="0.25">
      <c r="A784" s="18" t="s">
        <v>1205</v>
      </c>
      <c r="B784" s="28">
        <v>42.36</v>
      </c>
      <c r="C784" s="16" t="str">
        <f t="shared" si="65"/>
        <v>2014</v>
      </c>
      <c r="D784" t="str">
        <f t="shared" si="66"/>
        <v>51</v>
      </c>
      <c r="E784" s="21">
        <f t="shared" si="67"/>
        <v>41990</v>
      </c>
      <c r="F784" s="17" t="str">
        <f t="shared" si="68"/>
        <v>2014-12</v>
      </c>
      <c r="G784" s="25">
        <f t="shared" si="69"/>
        <v>45.422499999999999</v>
      </c>
    </row>
    <row r="785" spans="1:7" x14ac:dyDescent="0.25">
      <c r="A785" s="18" t="s">
        <v>1204</v>
      </c>
      <c r="B785" s="28">
        <v>47.2</v>
      </c>
      <c r="C785" s="16" t="str">
        <f t="shared" si="65"/>
        <v>2014</v>
      </c>
      <c r="D785" t="str">
        <f t="shared" si="66"/>
        <v>52</v>
      </c>
      <c r="E785" s="21">
        <f t="shared" si="67"/>
        <v>41997</v>
      </c>
      <c r="F785" s="17" t="str">
        <f t="shared" si="68"/>
        <v>2014-12</v>
      </c>
      <c r="G785" s="25">
        <f t="shared" si="69"/>
        <v>45.422499999999999</v>
      </c>
    </row>
    <row r="786" spans="1:7" x14ac:dyDescent="0.25">
      <c r="A786" s="18" t="s">
        <v>1203</v>
      </c>
      <c r="B786" s="28">
        <v>45.57</v>
      </c>
      <c r="C786" s="16" t="str">
        <f t="shared" si="65"/>
        <v>2015</v>
      </c>
      <c r="D786" t="str">
        <f t="shared" si="66"/>
        <v>01</v>
      </c>
      <c r="E786" s="21">
        <f t="shared" si="67"/>
        <v>42005</v>
      </c>
      <c r="F786" s="17" t="str">
        <f t="shared" si="68"/>
        <v>2015-01</v>
      </c>
      <c r="G786" s="25">
        <f t="shared" si="69"/>
        <v>44.341999999999999</v>
      </c>
    </row>
    <row r="787" spans="1:7" x14ac:dyDescent="0.25">
      <c r="A787" s="18" t="s">
        <v>1202</v>
      </c>
      <c r="B787" s="28">
        <v>45.77</v>
      </c>
      <c r="C787" s="16" t="str">
        <f t="shared" si="65"/>
        <v>2015</v>
      </c>
      <c r="D787" t="str">
        <f t="shared" si="66"/>
        <v>02</v>
      </c>
      <c r="E787" s="21">
        <f t="shared" si="67"/>
        <v>42012</v>
      </c>
      <c r="F787" s="17" t="str">
        <f t="shared" si="68"/>
        <v>2015-01</v>
      </c>
      <c r="G787" s="25">
        <f t="shared" si="69"/>
        <v>44.341999999999999</v>
      </c>
    </row>
    <row r="788" spans="1:7" x14ac:dyDescent="0.25">
      <c r="A788" s="18" t="s">
        <v>1201</v>
      </c>
      <c r="B788" s="28">
        <v>46.28</v>
      </c>
      <c r="C788" s="16" t="str">
        <f t="shared" ref="C788:C851" si="70">LEFT(A788,4)</f>
        <v>2015</v>
      </c>
      <c r="D788" t="str">
        <f t="shared" ref="D788:D851" si="71">RIGHT(A788,2)</f>
        <v>03</v>
      </c>
      <c r="E788" s="21">
        <f t="shared" si="67"/>
        <v>42019</v>
      </c>
      <c r="F788" s="17" t="str">
        <f t="shared" si="68"/>
        <v>2015-01</v>
      </c>
      <c r="G788" s="25">
        <f t="shared" si="69"/>
        <v>44.341999999999999</v>
      </c>
    </row>
    <row r="789" spans="1:7" x14ac:dyDescent="0.25">
      <c r="A789" s="18" t="s">
        <v>1200</v>
      </c>
      <c r="B789" s="28">
        <v>44.31</v>
      </c>
      <c r="C789" s="16" t="str">
        <f t="shared" si="70"/>
        <v>2015</v>
      </c>
      <c r="D789" t="str">
        <f t="shared" si="71"/>
        <v>04</v>
      </c>
      <c r="E789" s="21">
        <f t="shared" si="67"/>
        <v>42026</v>
      </c>
      <c r="F789" s="17" t="str">
        <f t="shared" si="68"/>
        <v>2015-01</v>
      </c>
      <c r="G789" s="25">
        <f t="shared" si="69"/>
        <v>44.341999999999999</v>
      </c>
    </row>
    <row r="790" spans="1:7" x14ac:dyDescent="0.25">
      <c r="A790" s="18" t="s">
        <v>1199</v>
      </c>
      <c r="B790" s="28">
        <v>39.78</v>
      </c>
      <c r="C790" s="16" t="str">
        <f t="shared" si="70"/>
        <v>2015</v>
      </c>
      <c r="D790" t="str">
        <f t="shared" si="71"/>
        <v>05</v>
      </c>
      <c r="E790" s="21">
        <f t="shared" si="67"/>
        <v>42033</v>
      </c>
      <c r="F790" s="17" t="str">
        <f t="shared" si="68"/>
        <v>2015-01</v>
      </c>
      <c r="G790" s="25">
        <f t="shared" si="69"/>
        <v>44.341999999999999</v>
      </c>
    </row>
    <row r="791" spans="1:7" x14ac:dyDescent="0.25">
      <c r="A791" s="18" t="s">
        <v>1198</v>
      </c>
      <c r="B791" s="28">
        <v>43.43</v>
      </c>
      <c r="C791" s="16" t="str">
        <f t="shared" si="70"/>
        <v>2015</v>
      </c>
      <c r="D791" t="str">
        <f t="shared" si="71"/>
        <v>06</v>
      </c>
      <c r="E791" s="21">
        <f t="shared" si="67"/>
        <v>42040</v>
      </c>
      <c r="F791" s="17" t="str">
        <f t="shared" si="68"/>
        <v>2015-02</v>
      </c>
      <c r="G791" s="25">
        <f t="shared" si="69"/>
        <v>42.267499999999998</v>
      </c>
    </row>
    <row r="792" spans="1:7" x14ac:dyDescent="0.25">
      <c r="A792" s="18" t="s">
        <v>1197</v>
      </c>
      <c r="B792" s="28">
        <v>44.78</v>
      </c>
      <c r="C792" s="16" t="str">
        <f t="shared" si="70"/>
        <v>2015</v>
      </c>
      <c r="D792" t="str">
        <f t="shared" si="71"/>
        <v>07</v>
      </c>
      <c r="E792" s="21">
        <f t="shared" si="67"/>
        <v>42047</v>
      </c>
      <c r="F792" s="17" t="str">
        <f t="shared" si="68"/>
        <v>2015-02</v>
      </c>
      <c r="G792" s="25">
        <f t="shared" si="69"/>
        <v>42.267499999999998</v>
      </c>
    </row>
    <row r="793" spans="1:7" x14ac:dyDescent="0.25">
      <c r="A793" s="18" t="s">
        <v>1196</v>
      </c>
      <c r="B793" s="28">
        <v>41.76</v>
      </c>
      <c r="C793" s="16" t="str">
        <f t="shared" si="70"/>
        <v>2015</v>
      </c>
      <c r="D793" t="str">
        <f t="shared" si="71"/>
        <v>08</v>
      </c>
      <c r="E793" s="21">
        <f t="shared" si="67"/>
        <v>42054</v>
      </c>
      <c r="F793" s="17" t="str">
        <f t="shared" si="68"/>
        <v>2015-02</v>
      </c>
      <c r="G793" s="25">
        <f t="shared" si="69"/>
        <v>42.267499999999998</v>
      </c>
    </row>
    <row r="794" spans="1:7" x14ac:dyDescent="0.25">
      <c r="A794" s="18" t="s">
        <v>1195</v>
      </c>
      <c r="B794" s="28">
        <v>39.1</v>
      </c>
      <c r="C794" s="16" t="str">
        <f t="shared" si="70"/>
        <v>2015</v>
      </c>
      <c r="D794" t="str">
        <f t="shared" si="71"/>
        <v>09</v>
      </c>
      <c r="E794" s="21">
        <f t="shared" si="67"/>
        <v>42061</v>
      </c>
      <c r="F794" s="17" t="str">
        <f t="shared" si="68"/>
        <v>2015-02</v>
      </c>
      <c r="G794" s="25">
        <f t="shared" si="69"/>
        <v>42.267499999999998</v>
      </c>
    </row>
    <row r="795" spans="1:7" x14ac:dyDescent="0.25">
      <c r="A795" s="18" t="s">
        <v>1194</v>
      </c>
      <c r="B795" s="28">
        <v>41.14</v>
      </c>
      <c r="C795" s="16" t="str">
        <f t="shared" si="70"/>
        <v>2015</v>
      </c>
      <c r="D795" t="str">
        <f t="shared" si="71"/>
        <v>10</v>
      </c>
      <c r="E795" s="21">
        <f t="shared" si="67"/>
        <v>42068</v>
      </c>
      <c r="F795" s="17" t="str">
        <f t="shared" si="68"/>
        <v>2015-03</v>
      </c>
      <c r="G795" s="25">
        <f t="shared" si="69"/>
        <v>41.43</v>
      </c>
    </row>
    <row r="796" spans="1:7" x14ac:dyDescent="0.25">
      <c r="A796" s="18" t="s">
        <v>1193</v>
      </c>
      <c r="B796" s="28">
        <v>42.47</v>
      </c>
      <c r="C796" s="16" t="str">
        <f t="shared" si="70"/>
        <v>2015</v>
      </c>
      <c r="D796" t="str">
        <f t="shared" si="71"/>
        <v>11</v>
      </c>
      <c r="E796" s="21">
        <f t="shared" si="67"/>
        <v>42075</v>
      </c>
      <c r="F796" s="17" t="str">
        <f t="shared" si="68"/>
        <v>2015-03</v>
      </c>
      <c r="G796" s="25">
        <f t="shared" si="69"/>
        <v>41.43</v>
      </c>
    </row>
    <row r="797" spans="1:7" x14ac:dyDescent="0.25">
      <c r="A797" s="18" t="s">
        <v>1192</v>
      </c>
      <c r="B797" s="28">
        <v>41.79</v>
      </c>
      <c r="C797" s="16" t="str">
        <f t="shared" si="70"/>
        <v>2015</v>
      </c>
      <c r="D797" t="str">
        <f t="shared" si="71"/>
        <v>12</v>
      </c>
      <c r="E797" s="21">
        <f t="shared" si="67"/>
        <v>42082</v>
      </c>
      <c r="F797" s="17" t="str">
        <f t="shared" si="68"/>
        <v>2015-03</v>
      </c>
      <c r="G797" s="25">
        <f t="shared" si="69"/>
        <v>41.43</v>
      </c>
    </row>
    <row r="798" spans="1:7" x14ac:dyDescent="0.25">
      <c r="A798" s="18" t="s">
        <v>1191</v>
      </c>
      <c r="B798" s="28">
        <v>40.32</v>
      </c>
      <c r="C798" s="16" t="str">
        <f t="shared" si="70"/>
        <v>2015</v>
      </c>
      <c r="D798" t="str">
        <f t="shared" si="71"/>
        <v>13</v>
      </c>
      <c r="E798" s="21">
        <f t="shared" si="67"/>
        <v>42089</v>
      </c>
      <c r="F798" s="17" t="str">
        <f t="shared" si="68"/>
        <v>2015-03</v>
      </c>
      <c r="G798" s="25">
        <f t="shared" si="69"/>
        <v>41.43</v>
      </c>
    </row>
    <row r="799" spans="1:7" x14ac:dyDescent="0.25">
      <c r="A799" s="18" t="s">
        <v>1190</v>
      </c>
      <c r="B799" s="28">
        <v>42.3</v>
      </c>
      <c r="C799" s="16" t="str">
        <f t="shared" si="70"/>
        <v>2015</v>
      </c>
      <c r="D799" t="str">
        <f t="shared" si="71"/>
        <v>14</v>
      </c>
      <c r="E799" s="21">
        <f t="shared" si="67"/>
        <v>42096</v>
      </c>
      <c r="F799" s="17" t="str">
        <f t="shared" si="68"/>
        <v>2015-04</v>
      </c>
      <c r="G799" s="25">
        <f t="shared" si="69"/>
        <v>40.152000000000001</v>
      </c>
    </row>
    <row r="800" spans="1:7" x14ac:dyDescent="0.25">
      <c r="A800" s="18" t="s">
        <v>1189</v>
      </c>
      <c r="B800" s="28">
        <v>42.24</v>
      </c>
      <c r="C800" s="16" t="str">
        <f t="shared" si="70"/>
        <v>2015</v>
      </c>
      <c r="D800" t="str">
        <f t="shared" si="71"/>
        <v>15</v>
      </c>
      <c r="E800" s="21">
        <f t="shared" si="67"/>
        <v>42103</v>
      </c>
      <c r="F800" s="17" t="str">
        <f t="shared" si="68"/>
        <v>2015-04</v>
      </c>
      <c r="G800" s="25">
        <f t="shared" si="69"/>
        <v>40.152000000000001</v>
      </c>
    </row>
    <row r="801" spans="1:7" x14ac:dyDescent="0.25">
      <c r="A801" s="18" t="s">
        <v>1188</v>
      </c>
      <c r="B801" s="28">
        <v>39.35</v>
      </c>
      <c r="C801" s="16" t="str">
        <f t="shared" si="70"/>
        <v>2015</v>
      </c>
      <c r="D801" t="str">
        <f t="shared" si="71"/>
        <v>16</v>
      </c>
      <c r="E801" s="21">
        <f t="shared" si="67"/>
        <v>42110</v>
      </c>
      <c r="F801" s="17" t="str">
        <f t="shared" si="68"/>
        <v>2015-04</v>
      </c>
      <c r="G801" s="25">
        <f t="shared" si="69"/>
        <v>40.152000000000001</v>
      </c>
    </row>
    <row r="802" spans="1:7" x14ac:dyDescent="0.25">
      <c r="A802" s="18" t="s">
        <v>1187</v>
      </c>
      <c r="B802" s="28">
        <v>37.619999999999997</v>
      </c>
      <c r="C802" s="16" t="str">
        <f t="shared" si="70"/>
        <v>2015</v>
      </c>
      <c r="D802" t="str">
        <f t="shared" si="71"/>
        <v>17</v>
      </c>
      <c r="E802" s="21">
        <f t="shared" si="67"/>
        <v>42117</v>
      </c>
      <c r="F802" s="17" t="str">
        <f t="shared" si="68"/>
        <v>2015-04</v>
      </c>
      <c r="G802" s="25">
        <f t="shared" si="69"/>
        <v>40.152000000000001</v>
      </c>
    </row>
    <row r="803" spans="1:7" x14ac:dyDescent="0.25">
      <c r="A803" s="18" t="s">
        <v>1186</v>
      </c>
      <c r="B803" s="28">
        <v>39.25</v>
      </c>
      <c r="C803" s="16" t="str">
        <f t="shared" si="70"/>
        <v>2015</v>
      </c>
      <c r="D803" t="str">
        <f t="shared" si="71"/>
        <v>18</v>
      </c>
      <c r="E803" s="21">
        <f t="shared" si="67"/>
        <v>42124</v>
      </c>
      <c r="F803" s="17" t="str">
        <f t="shared" si="68"/>
        <v>2015-04</v>
      </c>
      <c r="G803" s="25">
        <f t="shared" si="69"/>
        <v>40.152000000000001</v>
      </c>
    </row>
    <row r="804" spans="1:7" x14ac:dyDescent="0.25">
      <c r="A804" s="18" t="s">
        <v>1185</v>
      </c>
      <c r="B804" s="28">
        <v>36.99</v>
      </c>
      <c r="C804" s="16" t="str">
        <f t="shared" si="70"/>
        <v>2015</v>
      </c>
      <c r="D804" t="str">
        <f t="shared" si="71"/>
        <v>19</v>
      </c>
      <c r="E804" s="21">
        <f t="shared" si="67"/>
        <v>42131</v>
      </c>
      <c r="F804" s="17" t="str">
        <f t="shared" si="68"/>
        <v>2015-05</v>
      </c>
      <c r="G804" s="25">
        <f t="shared" si="69"/>
        <v>38.379999999999995</v>
      </c>
    </row>
    <row r="805" spans="1:7" x14ac:dyDescent="0.25">
      <c r="A805" s="18" t="s">
        <v>1184</v>
      </c>
      <c r="B805" s="28">
        <v>39.96</v>
      </c>
      <c r="C805" s="16" t="str">
        <f t="shared" si="70"/>
        <v>2015</v>
      </c>
      <c r="D805" t="str">
        <f t="shared" si="71"/>
        <v>20</v>
      </c>
      <c r="E805" s="21">
        <f t="shared" si="67"/>
        <v>42138</v>
      </c>
      <c r="F805" s="17" t="str">
        <f t="shared" si="68"/>
        <v>2015-05</v>
      </c>
      <c r="G805" s="25">
        <f t="shared" si="69"/>
        <v>38.379999999999995</v>
      </c>
    </row>
    <row r="806" spans="1:7" x14ac:dyDescent="0.25">
      <c r="A806" s="18" t="s">
        <v>1183</v>
      </c>
      <c r="B806" s="28">
        <v>38.65</v>
      </c>
      <c r="C806" s="16" t="str">
        <f t="shared" si="70"/>
        <v>2015</v>
      </c>
      <c r="D806" t="str">
        <f t="shared" si="71"/>
        <v>21</v>
      </c>
      <c r="E806" s="21">
        <f t="shared" si="67"/>
        <v>42145</v>
      </c>
      <c r="F806" s="17" t="str">
        <f t="shared" si="68"/>
        <v>2015-05</v>
      </c>
      <c r="G806" s="25">
        <f t="shared" si="69"/>
        <v>38.379999999999995</v>
      </c>
    </row>
    <row r="807" spans="1:7" x14ac:dyDescent="0.25">
      <c r="A807" s="18" t="s">
        <v>1182</v>
      </c>
      <c r="B807" s="28">
        <v>37.92</v>
      </c>
      <c r="C807" s="16" t="str">
        <f t="shared" si="70"/>
        <v>2015</v>
      </c>
      <c r="D807" t="str">
        <f t="shared" si="71"/>
        <v>22</v>
      </c>
      <c r="E807" s="21">
        <f t="shared" si="67"/>
        <v>42152</v>
      </c>
      <c r="F807" s="17" t="str">
        <f t="shared" si="68"/>
        <v>2015-05</v>
      </c>
      <c r="G807" s="25">
        <f t="shared" si="69"/>
        <v>38.379999999999995</v>
      </c>
    </row>
    <row r="808" spans="1:7" x14ac:dyDescent="0.25">
      <c r="A808" s="18" t="s">
        <v>1181</v>
      </c>
      <c r="B808" s="28">
        <v>38.770000000000003</v>
      </c>
      <c r="C808" s="16" t="str">
        <f t="shared" si="70"/>
        <v>2015</v>
      </c>
      <c r="D808" t="str">
        <f t="shared" si="71"/>
        <v>23</v>
      </c>
      <c r="E808" s="21">
        <f t="shared" si="67"/>
        <v>42159</v>
      </c>
      <c r="F808" s="17" t="str">
        <f t="shared" si="68"/>
        <v>2015-06</v>
      </c>
      <c r="G808" s="25">
        <f t="shared" si="69"/>
        <v>40.977499999999999</v>
      </c>
    </row>
    <row r="809" spans="1:7" x14ac:dyDescent="0.25">
      <c r="A809" s="18" t="s">
        <v>1180</v>
      </c>
      <c r="B809" s="28">
        <v>41.51</v>
      </c>
      <c r="C809" s="16" t="str">
        <f t="shared" si="70"/>
        <v>2015</v>
      </c>
      <c r="D809" t="str">
        <f t="shared" si="71"/>
        <v>24</v>
      </c>
      <c r="E809" s="21">
        <f t="shared" si="67"/>
        <v>42166</v>
      </c>
      <c r="F809" s="17" t="str">
        <f t="shared" si="68"/>
        <v>2015-06</v>
      </c>
      <c r="G809" s="25">
        <f t="shared" si="69"/>
        <v>40.977499999999999</v>
      </c>
    </row>
    <row r="810" spans="1:7" x14ac:dyDescent="0.25">
      <c r="A810" s="18" t="s">
        <v>1179</v>
      </c>
      <c r="B810" s="28">
        <v>42.69</v>
      </c>
      <c r="C810" s="16" t="str">
        <f t="shared" si="70"/>
        <v>2015</v>
      </c>
      <c r="D810" t="str">
        <f t="shared" si="71"/>
        <v>25</v>
      </c>
      <c r="E810" s="21">
        <f t="shared" si="67"/>
        <v>42173</v>
      </c>
      <c r="F810" s="17" t="str">
        <f t="shared" si="68"/>
        <v>2015-06</v>
      </c>
      <c r="G810" s="25">
        <f t="shared" si="69"/>
        <v>40.977499999999999</v>
      </c>
    </row>
    <row r="811" spans="1:7" x14ac:dyDescent="0.25">
      <c r="A811" s="18" t="s">
        <v>1178</v>
      </c>
      <c r="B811" s="28">
        <v>40.94</v>
      </c>
      <c r="C811" s="16" t="str">
        <f t="shared" si="70"/>
        <v>2015</v>
      </c>
      <c r="D811" t="str">
        <f t="shared" si="71"/>
        <v>26</v>
      </c>
      <c r="E811" s="21">
        <f t="shared" si="67"/>
        <v>42180</v>
      </c>
      <c r="F811" s="17" t="str">
        <f t="shared" si="68"/>
        <v>2015-06</v>
      </c>
      <c r="G811" s="25">
        <f t="shared" si="69"/>
        <v>40.977499999999999</v>
      </c>
    </row>
    <row r="812" spans="1:7" x14ac:dyDescent="0.25">
      <c r="A812" s="18" t="s">
        <v>1177</v>
      </c>
      <c r="B812" s="28">
        <v>39.76</v>
      </c>
      <c r="C812" s="16" t="str">
        <f t="shared" si="70"/>
        <v>2015</v>
      </c>
      <c r="D812" t="str">
        <f t="shared" si="71"/>
        <v>27</v>
      </c>
      <c r="E812" s="21">
        <f t="shared" si="67"/>
        <v>42187</v>
      </c>
      <c r="F812" s="17" t="str">
        <f t="shared" si="68"/>
        <v>2015-07</v>
      </c>
      <c r="G812" s="25">
        <f t="shared" si="69"/>
        <v>43.738</v>
      </c>
    </row>
    <row r="813" spans="1:7" x14ac:dyDescent="0.25">
      <c r="A813" s="18" t="s">
        <v>1176</v>
      </c>
      <c r="B813" s="28">
        <v>42.26</v>
      </c>
      <c r="C813" s="16" t="str">
        <f t="shared" si="70"/>
        <v>2015</v>
      </c>
      <c r="D813" t="str">
        <f t="shared" si="71"/>
        <v>28</v>
      </c>
      <c r="E813" s="21">
        <f t="shared" si="67"/>
        <v>42194</v>
      </c>
      <c r="F813" s="17" t="str">
        <f t="shared" si="68"/>
        <v>2015-07</v>
      </c>
      <c r="G813" s="25">
        <f t="shared" si="69"/>
        <v>43.738</v>
      </c>
    </row>
    <row r="814" spans="1:7" x14ac:dyDescent="0.25">
      <c r="A814" s="18" t="s">
        <v>1175</v>
      </c>
      <c r="B814" s="28">
        <v>44.81</v>
      </c>
      <c r="C814" s="16" t="str">
        <f t="shared" si="70"/>
        <v>2015</v>
      </c>
      <c r="D814" t="str">
        <f t="shared" si="71"/>
        <v>29</v>
      </c>
      <c r="E814" s="21">
        <f t="shared" si="67"/>
        <v>42201</v>
      </c>
      <c r="F814" s="17" t="str">
        <f t="shared" si="68"/>
        <v>2015-07</v>
      </c>
      <c r="G814" s="25">
        <f t="shared" si="69"/>
        <v>43.738</v>
      </c>
    </row>
    <row r="815" spans="1:7" x14ac:dyDescent="0.25">
      <c r="A815" s="18" t="s">
        <v>1174</v>
      </c>
      <c r="B815" s="28">
        <v>46.23</v>
      </c>
      <c r="C815" s="16" t="str">
        <f t="shared" si="70"/>
        <v>2015</v>
      </c>
      <c r="D815" t="str">
        <f t="shared" si="71"/>
        <v>30</v>
      </c>
      <c r="E815" s="21">
        <f t="shared" si="67"/>
        <v>42208</v>
      </c>
      <c r="F815" s="17" t="str">
        <f t="shared" si="68"/>
        <v>2015-07</v>
      </c>
      <c r="G815" s="25">
        <f t="shared" si="69"/>
        <v>43.738</v>
      </c>
    </row>
    <row r="816" spans="1:7" x14ac:dyDescent="0.25">
      <c r="A816" s="18" t="s">
        <v>1173</v>
      </c>
      <c r="B816" s="28">
        <v>45.63</v>
      </c>
      <c r="C816" s="16" t="str">
        <f t="shared" si="70"/>
        <v>2015</v>
      </c>
      <c r="D816" t="str">
        <f t="shared" si="71"/>
        <v>31</v>
      </c>
      <c r="E816" s="21">
        <f t="shared" si="67"/>
        <v>42215</v>
      </c>
      <c r="F816" s="17" t="str">
        <f t="shared" si="68"/>
        <v>2015-07</v>
      </c>
      <c r="G816" s="25">
        <f t="shared" si="69"/>
        <v>43.738</v>
      </c>
    </row>
    <row r="817" spans="1:7" x14ac:dyDescent="0.25">
      <c r="A817" s="18" t="s">
        <v>1172</v>
      </c>
      <c r="B817" s="28">
        <v>46.68</v>
      </c>
      <c r="C817" s="16" t="str">
        <f t="shared" si="70"/>
        <v>2015</v>
      </c>
      <c r="D817" t="str">
        <f t="shared" si="71"/>
        <v>32</v>
      </c>
      <c r="E817" s="21">
        <f t="shared" si="67"/>
        <v>42222</v>
      </c>
      <c r="F817" s="17" t="str">
        <f t="shared" si="68"/>
        <v>2015-08</v>
      </c>
      <c r="G817" s="25">
        <f t="shared" si="69"/>
        <v>43.527500000000003</v>
      </c>
    </row>
    <row r="818" spans="1:7" x14ac:dyDescent="0.25">
      <c r="A818" s="18" t="s">
        <v>1171</v>
      </c>
      <c r="B818" s="28">
        <v>46.63</v>
      </c>
      <c r="C818" s="16" t="str">
        <f t="shared" si="70"/>
        <v>2015</v>
      </c>
      <c r="D818" t="str">
        <f t="shared" si="71"/>
        <v>33</v>
      </c>
      <c r="E818" s="21">
        <f t="shared" si="67"/>
        <v>42229</v>
      </c>
      <c r="F818" s="17" t="str">
        <f t="shared" si="68"/>
        <v>2015-08</v>
      </c>
      <c r="G818" s="25">
        <f t="shared" si="69"/>
        <v>43.527500000000003</v>
      </c>
    </row>
    <row r="819" spans="1:7" x14ac:dyDescent="0.25">
      <c r="A819" s="18" t="s">
        <v>1170</v>
      </c>
      <c r="B819" s="28">
        <v>41.74</v>
      </c>
      <c r="C819" s="16" t="str">
        <f t="shared" si="70"/>
        <v>2015</v>
      </c>
      <c r="D819" t="str">
        <f t="shared" si="71"/>
        <v>34</v>
      </c>
      <c r="E819" s="21">
        <f t="shared" si="67"/>
        <v>42236</v>
      </c>
      <c r="F819" s="17" t="str">
        <f t="shared" si="68"/>
        <v>2015-08</v>
      </c>
      <c r="G819" s="25">
        <f t="shared" si="69"/>
        <v>43.527500000000003</v>
      </c>
    </row>
    <row r="820" spans="1:7" x14ac:dyDescent="0.25">
      <c r="A820" s="18" t="s">
        <v>1169</v>
      </c>
      <c r="B820" s="28">
        <v>39.06</v>
      </c>
      <c r="C820" s="16" t="str">
        <f t="shared" si="70"/>
        <v>2015</v>
      </c>
      <c r="D820" t="str">
        <f t="shared" si="71"/>
        <v>35</v>
      </c>
      <c r="E820" s="21">
        <f t="shared" si="67"/>
        <v>42243</v>
      </c>
      <c r="F820" s="17" t="str">
        <f t="shared" si="68"/>
        <v>2015-08</v>
      </c>
      <c r="G820" s="25">
        <f t="shared" si="69"/>
        <v>43.527500000000003</v>
      </c>
    </row>
    <row r="821" spans="1:7" x14ac:dyDescent="0.25">
      <c r="A821" s="18" t="s">
        <v>1168</v>
      </c>
      <c r="B821" s="28">
        <v>43.03</v>
      </c>
      <c r="C821" s="16" t="str">
        <f t="shared" si="70"/>
        <v>2015</v>
      </c>
      <c r="D821" t="str">
        <f t="shared" si="71"/>
        <v>36</v>
      </c>
      <c r="E821" s="21">
        <f t="shared" si="67"/>
        <v>42250</v>
      </c>
      <c r="F821" s="17" t="str">
        <f t="shared" si="68"/>
        <v>2015-09</v>
      </c>
      <c r="G821" s="25">
        <f t="shared" si="69"/>
        <v>42.034999999999997</v>
      </c>
    </row>
    <row r="822" spans="1:7" x14ac:dyDescent="0.25">
      <c r="A822" s="18" t="s">
        <v>1167</v>
      </c>
      <c r="B822" s="28">
        <v>43.18</v>
      </c>
      <c r="C822" s="16" t="str">
        <f t="shared" si="70"/>
        <v>2015</v>
      </c>
      <c r="D822" t="str">
        <f t="shared" si="71"/>
        <v>37</v>
      </c>
      <c r="E822" s="21">
        <f t="shared" si="67"/>
        <v>42257</v>
      </c>
      <c r="F822" s="17" t="str">
        <f t="shared" si="68"/>
        <v>2015-09</v>
      </c>
      <c r="G822" s="25">
        <f t="shared" si="69"/>
        <v>42.034999999999997</v>
      </c>
    </row>
    <row r="823" spans="1:7" x14ac:dyDescent="0.25">
      <c r="A823" s="18" t="s">
        <v>1166</v>
      </c>
      <c r="B823" s="28">
        <v>41.54</v>
      </c>
      <c r="C823" s="16" t="str">
        <f t="shared" si="70"/>
        <v>2015</v>
      </c>
      <c r="D823" t="str">
        <f t="shared" si="71"/>
        <v>38</v>
      </c>
      <c r="E823" s="21">
        <f t="shared" si="67"/>
        <v>42264</v>
      </c>
      <c r="F823" s="17" t="str">
        <f t="shared" si="68"/>
        <v>2015-09</v>
      </c>
      <c r="G823" s="25">
        <f t="shared" si="69"/>
        <v>42.034999999999997</v>
      </c>
    </row>
    <row r="824" spans="1:7" x14ac:dyDescent="0.25">
      <c r="A824" s="18" t="s">
        <v>1165</v>
      </c>
      <c r="B824" s="28">
        <v>40.39</v>
      </c>
      <c r="C824" s="16" t="str">
        <f t="shared" si="70"/>
        <v>2015</v>
      </c>
      <c r="D824" t="str">
        <f t="shared" si="71"/>
        <v>39</v>
      </c>
      <c r="E824" s="21">
        <f t="shared" si="67"/>
        <v>42271</v>
      </c>
      <c r="F824" s="17" t="str">
        <f t="shared" si="68"/>
        <v>2015-09</v>
      </c>
      <c r="G824" s="25">
        <f t="shared" si="69"/>
        <v>42.034999999999997</v>
      </c>
    </row>
    <row r="825" spans="1:7" x14ac:dyDescent="0.25">
      <c r="A825" s="18" t="s">
        <v>1164</v>
      </c>
      <c r="B825" s="28">
        <v>40.07</v>
      </c>
      <c r="C825" s="16" t="str">
        <f t="shared" si="70"/>
        <v>2015</v>
      </c>
      <c r="D825" t="str">
        <f t="shared" si="71"/>
        <v>40</v>
      </c>
      <c r="E825" s="21">
        <f t="shared" si="67"/>
        <v>42278</v>
      </c>
      <c r="F825" s="17" t="str">
        <f t="shared" si="68"/>
        <v>2015-10</v>
      </c>
      <c r="G825" s="25">
        <f t="shared" si="69"/>
        <v>41.701999999999998</v>
      </c>
    </row>
    <row r="826" spans="1:7" x14ac:dyDescent="0.25">
      <c r="A826" s="18" t="s">
        <v>1163</v>
      </c>
      <c r="B826" s="28">
        <v>43.09</v>
      </c>
      <c r="C826" s="16" t="str">
        <f t="shared" si="70"/>
        <v>2015</v>
      </c>
      <c r="D826" t="str">
        <f t="shared" si="71"/>
        <v>41</v>
      </c>
      <c r="E826" s="21">
        <f t="shared" si="67"/>
        <v>42285</v>
      </c>
      <c r="F826" s="17" t="str">
        <f t="shared" si="68"/>
        <v>2015-10</v>
      </c>
      <c r="G826" s="25">
        <f t="shared" si="69"/>
        <v>41.701999999999998</v>
      </c>
    </row>
    <row r="827" spans="1:7" x14ac:dyDescent="0.25">
      <c r="A827" s="18" t="s">
        <v>1162</v>
      </c>
      <c r="B827" s="28">
        <v>42.43</v>
      </c>
      <c r="C827" s="16" t="str">
        <f t="shared" si="70"/>
        <v>2015</v>
      </c>
      <c r="D827" t="str">
        <f t="shared" si="71"/>
        <v>42</v>
      </c>
      <c r="E827" s="21">
        <f t="shared" si="67"/>
        <v>42292</v>
      </c>
      <c r="F827" s="17" t="str">
        <f t="shared" si="68"/>
        <v>2015-10</v>
      </c>
      <c r="G827" s="25">
        <f t="shared" si="69"/>
        <v>41.701999999999998</v>
      </c>
    </row>
    <row r="828" spans="1:7" x14ac:dyDescent="0.25">
      <c r="A828" s="18" t="s">
        <v>1161</v>
      </c>
      <c r="B828" s="28">
        <v>41.06</v>
      </c>
      <c r="C828" s="16" t="str">
        <f t="shared" si="70"/>
        <v>2015</v>
      </c>
      <c r="D828" t="str">
        <f t="shared" si="71"/>
        <v>43</v>
      </c>
      <c r="E828" s="21">
        <f t="shared" si="67"/>
        <v>42299</v>
      </c>
      <c r="F828" s="17" t="str">
        <f t="shared" si="68"/>
        <v>2015-10</v>
      </c>
      <c r="G828" s="25">
        <f t="shared" si="69"/>
        <v>41.701999999999998</v>
      </c>
    </row>
    <row r="829" spans="1:7" x14ac:dyDescent="0.25">
      <c r="A829" s="18" t="s">
        <v>1160</v>
      </c>
      <c r="B829" s="28">
        <v>41.86</v>
      </c>
      <c r="C829" s="16" t="str">
        <f t="shared" si="70"/>
        <v>2015</v>
      </c>
      <c r="D829" t="str">
        <f t="shared" si="71"/>
        <v>44</v>
      </c>
      <c r="E829" s="21">
        <f t="shared" si="67"/>
        <v>42306</v>
      </c>
      <c r="F829" s="17" t="str">
        <f t="shared" si="68"/>
        <v>2015-10</v>
      </c>
      <c r="G829" s="25">
        <f t="shared" si="69"/>
        <v>41.701999999999998</v>
      </c>
    </row>
    <row r="830" spans="1:7" x14ac:dyDescent="0.25">
      <c r="A830" s="18" t="s">
        <v>1159</v>
      </c>
      <c r="B830" s="28">
        <v>42.98</v>
      </c>
      <c r="C830" s="16" t="str">
        <f t="shared" si="70"/>
        <v>2015</v>
      </c>
      <c r="D830" t="str">
        <f t="shared" si="71"/>
        <v>45</v>
      </c>
      <c r="E830" s="21">
        <f t="shared" si="67"/>
        <v>42313</v>
      </c>
      <c r="F830" s="17" t="str">
        <f t="shared" si="68"/>
        <v>2015-11</v>
      </c>
      <c r="G830" s="25">
        <f t="shared" si="69"/>
        <v>44.699999999999996</v>
      </c>
    </row>
    <row r="831" spans="1:7" x14ac:dyDescent="0.25">
      <c r="A831" s="18" t="s">
        <v>1158</v>
      </c>
      <c r="B831" s="28">
        <v>42.52</v>
      </c>
      <c r="C831" s="16" t="str">
        <f t="shared" si="70"/>
        <v>2015</v>
      </c>
      <c r="D831" t="str">
        <f t="shared" si="71"/>
        <v>46</v>
      </c>
      <c r="E831" s="21">
        <f t="shared" si="67"/>
        <v>42320</v>
      </c>
      <c r="F831" s="17" t="str">
        <f t="shared" si="68"/>
        <v>2015-11</v>
      </c>
      <c r="G831" s="25">
        <f t="shared" si="69"/>
        <v>44.699999999999996</v>
      </c>
    </row>
    <row r="832" spans="1:7" x14ac:dyDescent="0.25">
      <c r="A832" s="18" t="s">
        <v>1157</v>
      </c>
      <c r="B832" s="28">
        <v>44.51</v>
      </c>
      <c r="C832" s="16" t="str">
        <f t="shared" si="70"/>
        <v>2015</v>
      </c>
      <c r="D832" t="str">
        <f t="shared" si="71"/>
        <v>47</v>
      </c>
      <c r="E832" s="21">
        <f t="shared" si="67"/>
        <v>42327</v>
      </c>
      <c r="F832" s="17" t="str">
        <f t="shared" si="68"/>
        <v>2015-11</v>
      </c>
      <c r="G832" s="25">
        <f t="shared" si="69"/>
        <v>44.699999999999996</v>
      </c>
    </row>
    <row r="833" spans="1:7" x14ac:dyDescent="0.25">
      <c r="A833" s="18" t="s">
        <v>1156</v>
      </c>
      <c r="B833" s="28">
        <v>48.79</v>
      </c>
      <c r="C833" s="16" t="str">
        <f t="shared" si="70"/>
        <v>2015</v>
      </c>
      <c r="D833" t="str">
        <f t="shared" si="71"/>
        <v>48</v>
      </c>
      <c r="E833" s="21">
        <f t="shared" si="67"/>
        <v>42334</v>
      </c>
      <c r="F833" s="17" t="str">
        <f t="shared" si="68"/>
        <v>2015-11</v>
      </c>
      <c r="G833" s="25">
        <f t="shared" si="69"/>
        <v>44.699999999999996</v>
      </c>
    </row>
    <row r="834" spans="1:7" x14ac:dyDescent="0.25">
      <c r="A834" s="18" t="s">
        <v>1155</v>
      </c>
      <c r="B834" s="28">
        <v>50.06</v>
      </c>
      <c r="C834" s="16" t="str">
        <f t="shared" si="70"/>
        <v>2015</v>
      </c>
      <c r="D834" t="str">
        <f t="shared" si="71"/>
        <v>49</v>
      </c>
      <c r="E834" s="21">
        <f t="shared" si="67"/>
        <v>42341</v>
      </c>
      <c r="F834" s="17" t="str">
        <f t="shared" si="68"/>
        <v>2015-12</v>
      </c>
      <c r="G834" s="25">
        <f t="shared" si="69"/>
        <v>51.746000000000002</v>
      </c>
    </row>
    <row r="835" spans="1:7" x14ac:dyDescent="0.25">
      <c r="A835" s="18" t="s">
        <v>1154</v>
      </c>
      <c r="B835" s="28">
        <v>49.05</v>
      </c>
      <c r="C835" s="16" t="str">
        <f t="shared" si="70"/>
        <v>2015</v>
      </c>
      <c r="D835" t="str">
        <f t="shared" si="71"/>
        <v>50</v>
      </c>
      <c r="E835" s="21">
        <f t="shared" si="67"/>
        <v>42348</v>
      </c>
      <c r="F835" s="17" t="str">
        <f t="shared" si="68"/>
        <v>2015-12</v>
      </c>
      <c r="G835" s="25">
        <f t="shared" si="69"/>
        <v>51.746000000000002</v>
      </c>
    </row>
    <row r="836" spans="1:7" x14ac:dyDescent="0.25">
      <c r="A836" s="18" t="s">
        <v>1153</v>
      </c>
      <c r="B836" s="28">
        <v>51.3</v>
      </c>
      <c r="C836" s="16" t="str">
        <f t="shared" si="70"/>
        <v>2015</v>
      </c>
      <c r="D836" t="str">
        <f t="shared" si="71"/>
        <v>51</v>
      </c>
      <c r="E836" s="21">
        <f t="shared" si="67"/>
        <v>42355</v>
      </c>
      <c r="F836" s="17" t="str">
        <f t="shared" si="68"/>
        <v>2015-12</v>
      </c>
      <c r="G836" s="25">
        <f t="shared" si="69"/>
        <v>51.746000000000002</v>
      </c>
    </row>
    <row r="837" spans="1:7" x14ac:dyDescent="0.25">
      <c r="A837" s="18" t="s">
        <v>1152</v>
      </c>
      <c r="B837" s="28">
        <v>53.26</v>
      </c>
      <c r="C837" s="16" t="str">
        <f t="shared" si="70"/>
        <v>2015</v>
      </c>
      <c r="D837" t="str">
        <f t="shared" si="71"/>
        <v>52</v>
      </c>
      <c r="E837" s="21">
        <f t="shared" ref="E837:E900" si="72">DATE(C837,1,1)+(D837-1)*7</f>
        <v>42362</v>
      </c>
      <c r="F837" s="17" t="str">
        <f t="shared" ref="F837:F900" si="73">TEXT(E837,"éééé-hh")</f>
        <v>2015-12</v>
      </c>
      <c r="G837" s="25">
        <f t="shared" ref="G837:G900" si="74">AVERAGEIF($F$4:$F$1353,F837,$B$4:$B$1353)</f>
        <v>51.746000000000002</v>
      </c>
    </row>
    <row r="838" spans="1:7" x14ac:dyDescent="0.25">
      <c r="A838" s="18" t="s">
        <v>1151</v>
      </c>
      <c r="B838" s="28">
        <v>55.06</v>
      </c>
      <c r="C838" s="16" t="str">
        <f t="shared" si="70"/>
        <v>2015</v>
      </c>
      <c r="D838" t="str">
        <f t="shared" si="71"/>
        <v>53</v>
      </c>
      <c r="E838" s="21">
        <f t="shared" si="72"/>
        <v>42369</v>
      </c>
      <c r="F838" s="17" t="str">
        <f t="shared" si="73"/>
        <v>2015-12</v>
      </c>
      <c r="G838" s="25">
        <f t="shared" si="74"/>
        <v>51.746000000000002</v>
      </c>
    </row>
    <row r="839" spans="1:7" x14ac:dyDescent="0.25">
      <c r="A839" s="18" t="s">
        <v>1150</v>
      </c>
      <c r="B839" s="28">
        <v>57.27</v>
      </c>
      <c r="C839" s="16" t="str">
        <f t="shared" si="70"/>
        <v>2016</v>
      </c>
      <c r="D839" t="str">
        <f t="shared" si="71"/>
        <v>01</v>
      </c>
      <c r="E839" s="21">
        <f t="shared" si="72"/>
        <v>42370</v>
      </c>
      <c r="F839" s="17" t="str">
        <f t="shared" si="73"/>
        <v>2016-01</v>
      </c>
      <c r="G839" s="25">
        <f t="shared" si="74"/>
        <v>54.796000000000006</v>
      </c>
    </row>
    <row r="840" spans="1:7" x14ac:dyDescent="0.25">
      <c r="A840" s="18" t="s">
        <v>1149</v>
      </c>
      <c r="B840" s="28">
        <v>61.64</v>
      </c>
      <c r="C840" s="16" t="str">
        <f t="shared" si="70"/>
        <v>2016</v>
      </c>
      <c r="D840" t="str">
        <f t="shared" si="71"/>
        <v>02</v>
      </c>
      <c r="E840" s="21">
        <f t="shared" si="72"/>
        <v>42377</v>
      </c>
      <c r="F840" s="17" t="str">
        <f t="shared" si="73"/>
        <v>2016-01</v>
      </c>
      <c r="G840" s="25">
        <f t="shared" si="74"/>
        <v>54.796000000000006</v>
      </c>
    </row>
    <row r="841" spans="1:7" x14ac:dyDescent="0.25">
      <c r="A841" s="18" t="s">
        <v>1148</v>
      </c>
      <c r="B841" s="28">
        <v>54.56</v>
      </c>
      <c r="C841" s="16" t="str">
        <f t="shared" si="70"/>
        <v>2016</v>
      </c>
      <c r="D841" t="str">
        <f t="shared" si="71"/>
        <v>03</v>
      </c>
      <c r="E841" s="21">
        <f t="shared" si="72"/>
        <v>42384</v>
      </c>
      <c r="F841" s="17" t="str">
        <f t="shared" si="73"/>
        <v>2016-01</v>
      </c>
      <c r="G841" s="25">
        <f t="shared" si="74"/>
        <v>54.796000000000006</v>
      </c>
    </row>
    <row r="842" spans="1:7" x14ac:dyDescent="0.25">
      <c r="A842" s="18" t="s">
        <v>1147</v>
      </c>
      <c r="B842" s="28">
        <v>49.24</v>
      </c>
      <c r="C842" s="16" t="str">
        <f t="shared" si="70"/>
        <v>2016</v>
      </c>
      <c r="D842" t="str">
        <f t="shared" si="71"/>
        <v>04</v>
      </c>
      <c r="E842" s="21">
        <f t="shared" si="72"/>
        <v>42391</v>
      </c>
      <c r="F842" s="17" t="str">
        <f t="shared" si="73"/>
        <v>2016-01</v>
      </c>
      <c r="G842" s="25">
        <f t="shared" si="74"/>
        <v>54.796000000000006</v>
      </c>
    </row>
    <row r="843" spans="1:7" x14ac:dyDescent="0.25">
      <c r="A843" s="18" t="s">
        <v>1146</v>
      </c>
      <c r="B843" s="28">
        <v>51.27</v>
      </c>
      <c r="C843" s="16" t="str">
        <f t="shared" si="70"/>
        <v>2016</v>
      </c>
      <c r="D843" t="str">
        <f t="shared" si="71"/>
        <v>05</v>
      </c>
      <c r="E843" s="21">
        <f t="shared" si="72"/>
        <v>42398</v>
      </c>
      <c r="F843" s="17" t="str">
        <f t="shared" si="73"/>
        <v>2016-01</v>
      </c>
      <c r="G843" s="25">
        <f t="shared" si="74"/>
        <v>54.796000000000006</v>
      </c>
    </row>
    <row r="844" spans="1:7" x14ac:dyDescent="0.25">
      <c r="A844" s="18" t="s">
        <v>1145</v>
      </c>
      <c r="B844" s="28">
        <v>53.21</v>
      </c>
      <c r="C844" s="16" t="str">
        <f t="shared" si="70"/>
        <v>2016</v>
      </c>
      <c r="D844" t="str">
        <f t="shared" si="71"/>
        <v>06</v>
      </c>
      <c r="E844" s="21">
        <f t="shared" si="72"/>
        <v>42405</v>
      </c>
      <c r="F844" s="17" t="str">
        <f t="shared" si="73"/>
        <v>2016-02</v>
      </c>
      <c r="G844" s="25">
        <f t="shared" si="74"/>
        <v>56.794999999999995</v>
      </c>
    </row>
    <row r="845" spans="1:7" x14ac:dyDescent="0.25">
      <c r="A845" s="18" t="s">
        <v>1144</v>
      </c>
      <c r="B845" s="28">
        <v>56.95</v>
      </c>
      <c r="C845" s="16" t="str">
        <f t="shared" si="70"/>
        <v>2016</v>
      </c>
      <c r="D845" t="str">
        <f t="shared" si="71"/>
        <v>07</v>
      </c>
      <c r="E845" s="21">
        <f t="shared" si="72"/>
        <v>42412</v>
      </c>
      <c r="F845" s="17" t="str">
        <f t="shared" si="73"/>
        <v>2016-02</v>
      </c>
      <c r="G845" s="25">
        <f t="shared" si="74"/>
        <v>56.794999999999995</v>
      </c>
    </row>
    <row r="846" spans="1:7" x14ac:dyDescent="0.25">
      <c r="A846" s="18" t="s">
        <v>1143</v>
      </c>
      <c r="B846" s="28">
        <v>58.54</v>
      </c>
      <c r="C846" s="16" t="str">
        <f t="shared" si="70"/>
        <v>2016</v>
      </c>
      <c r="D846" t="str">
        <f t="shared" si="71"/>
        <v>08</v>
      </c>
      <c r="E846" s="21">
        <f t="shared" si="72"/>
        <v>42419</v>
      </c>
      <c r="F846" s="17" t="str">
        <f t="shared" si="73"/>
        <v>2016-02</v>
      </c>
      <c r="G846" s="25">
        <f t="shared" si="74"/>
        <v>56.794999999999995</v>
      </c>
    </row>
    <row r="847" spans="1:7" x14ac:dyDescent="0.25">
      <c r="A847" s="18" t="s">
        <v>1142</v>
      </c>
      <c r="B847" s="28">
        <v>58.48</v>
      </c>
      <c r="C847" s="16" t="str">
        <f t="shared" si="70"/>
        <v>2016</v>
      </c>
      <c r="D847" t="str">
        <f t="shared" si="71"/>
        <v>09</v>
      </c>
      <c r="E847" s="21">
        <f t="shared" si="72"/>
        <v>42426</v>
      </c>
      <c r="F847" s="17" t="str">
        <f t="shared" si="73"/>
        <v>2016-02</v>
      </c>
      <c r="G847" s="25">
        <f t="shared" si="74"/>
        <v>56.794999999999995</v>
      </c>
    </row>
    <row r="848" spans="1:7" x14ac:dyDescent="0.25">
      <c r="A848" s="18" t="s">
        <v>1141</v>
      </c>
      <c r="B848" s="28">
        <v>56.07</v>
      </c>
      <c r="C848" s="16" t="str">
        <f t="shared" si="70"/>
        <v>2016</v>
      </c>
      <c r="D848" t="str">
        <f t="shared" si="71"/>
        <v>10</v>
      </c>
      <c r="E848" s="21">
        <f t="shared" si="72"/>
        <v>42433</v>
      </c>
      <c r="F848" s="17" t="str">
        <f t="shared" si="73"/>
        <v>2016-03</v>
      </c>
      <c r="G848" s="25">
        <f t="shared" si="74"/>
        <v>59.61</v>
      </c>
    </row>
    <row r="849" spans="1:7" x14ac:dyDescent="0.25">
      <c r="A849" s="18" t="s">
        <v>1140</v>
      </c>
      <c r="B849" s="28">
        <v>57.88</v>
      </c>
      <c r="C849" s="16" t="str">
        <f t="shared" si="70"/>
        <v>2016</v>
      </c>
      <c r="D849" t="str">
        <f t="shared" si="71"/>
        <v>11</v>
      </c>
      <c r="E849" s="21">
        <f t="shared" si="72"/>
        <v>42440</v>
      </c>
      <c r="F849" s="17" t="str">
        <f t="shared" si="73"/>
        <v>2016-03</v>
      </c>
      <c r="G849" s="25">
        <f t="shared" si="74"/>
        <v>59.61</v>
      </c>
    </row>
    <row r="850" spans="1:7" x14ac:dyDescent="0.25">
      <c r="A850" s="18" t="s">
        <v>1139</v>
      </c>
      <c r="B850" s="28">
        <v>62.51</v>
      </c>
      <c r="C850" s="16" t="str">
        <f t="shared" si="70"/>
        <v>2016</v>
      </c>
      <c r="D850" t="str">
        <f t="shared" si="71"/>
        <v>12</v>
      </c>
      <c r="E850" s="21">
        <f t="shared" si="72"/>
        <v>42447</v>
      </c>
      <c r="F850" s="17" t="str">
        <f t="shared" si="73"/>
        <v>2016-03</v>
      </c>
      <c r="G850" s="25">
        <f t="shared" si="74"/>
        <v>59.61</v>
      </c>
    </row>
    <row r="851" spans="1:7" x14ac:dyDescent="0.25">
      <c r="A851" s="18" t="s">
        <v>1138</v>
      </c>
      <c r="B851" s="28">
        <v>61.98</v>
      </c>
      <c r="C851" s="16" t="str">
        <f t="shared" si="70"/>
        <v>2016</v>
      </c>
      <c r="D851" t="str">
        <f t="shared" si="71"/>
        <v>13</v>
      </c>
      <c r="E851" s="21">
        <f t="shared" si="72"/>
        <v>42454</v>
      </c>
      <c r="F851" s="17" t="str">
        <f t="shared" si="73"/>
        <v>2016-03</v>
      </c>
      <c r="G851" s="25">
        <f t="shared" si="74"/>
        <v>59.61</v>
      </c>
    </row>
    <row r="852" spans="1:7" x14ac:dyDescent="0.25">
      <c r="A852" s="18" t="s">
        <v>1137</v>
      </c>
      <c r="B852" s="28">
        <v>59.03</v>
      </c>
      <c r="C852" s="16" t="str">
        <f t="shared" ref="C852:C915" si="75">LEFT(A852,4)</f>
        <v>2016</v>
      </c>
      <c r="D852" t="str">
        <f t="shared" ref="D852:D915" si="76">RIGHT(A852,2)</f>
        <v>14</v>
      </c>
      <c r="E852" s="21">
        <f t="shared" si="72"/>
        <v>42461</v>
      </c>
      <c r="F852" s="17" t="str">
        <f t="shared" si="73"/>
        <v>2016-04</v>
      </c>
      <c r="G852" s="25">
        <f t="shared" si="74"/>
        <v>56.718000000000004</v>
      </c>
    </row>
    <row r="853" spans="1:7" x14ac:dyDescent="0.25">
      <c r="A853" s="18" t="s">
        <v>1136</v>
      </c>
      <c r="B853" s="28">
        <v>55.56</v>
      </c>
      <c r="C853" s="16" t="str">
        <f t="shared" si="75"/>
        <v>2016</v>
      </c>
      <c r="D853" t="str">
        <f t="shared" si="76"/>
        <v>15</v>
      </c>
      <c r="E853" s="21">
        <f t="shared" si="72"/>
        <v>42468</v>
      </c>
      <c r="F853" s="17" t="str">
        <f t="shared" si="73"/>
        <v>2016-04</v>
      </c>
      <c r="G853" s="25">
        <f t="shared" si="74"/>
        <v>56.718000000000004</v>
      </c>
    </row>
    <row r="854" spans="1:7" x14ac:dyDescent="0.25">
      <c r="A854" s="18" t="s">
        <v>1135</v>
      </c>
      <c r="B854" s="28">
        <v>56.47</v>
      </c>
      <c r="C854" s="16" t="str">
        <f t="shared" si="75"/>
        <v>2016</v>
      </c>
      <c r="D854" t="str">
        <f t="shared" si="76"/>
        <v>16</v>
      </c>
      <c r="E854" s="21">
        <f t="shared" si="72"/>
        <v>42475</v>
      </c>
      <c r="F854" s="17" t="str">
        <f t="shared" si="73"/>
        <v>2016-04</v>
      </c>
      <c r="G854" s="25">
        <f t="shared" si="74"/>
        <v>56.718000000000004</v>
      </c>
    </row>
    <row r="855" spans="1:7" x14ac:dyDescent="0.25">
      <c r="A855" s="18" t="s">
        <v>1134</v>
      </c>
      <c r="B855" s="28">
        <v>55.65</v>
      </c>
      <c r="C855" s="16" t="str">
        <f t="shared" si="75"/>
        <v>2016</v>
      </c>
      <c r="D855" t="str">
        <f t="shared" si="76"/>
        <v>17</v>
      </c>
      <c r="E855" s="21">
        <f t="shared" si="72"/>
        <v>42482</v>
      </c>
      <c r="F855" s="17" t="str">
        <f t="shared" si="73"/>
        <v>2016-04</v>
      </c>
      <c r="G855" s="25">
        <f t="shared" si="74"/>
        <v>56.718000000000004</v>
      </c>
    </row>
    <row r="856" spans="1:7" x14ac:dyDescent="0.25">
      <c r="A856" s="18" t="s">
        <v>1133</v>
      </c>
      <c r="B856" s="28">
        <v>56.88</v>
      </c>
      <c r="C856" s="16" t="str">
        <f t="shared" si="75"/>
        <v>2016</v>
      </c>
      <c r="D856" t="str">
        <f t="shared" si="76"/>
        <v>18</v>
      </c>
      <c r="E856" s="21">
        <f t="shared" si="72"/>
        <v>42489</v>
      </c>
      <c r="F856" s="17" t="str">
        <f t="shared" si="73"/>
        <v>2016-04</v>
      </c>
      <c r="G856" s="25">
        <f t="shared" si="74"/>
        <v>56.718000000000004</v>
      </c>
    </row>
    <row r="857" spans="1:7" x14ac:dyDescent="0.25">
      <c r="A857" s="18" t="s">
        <v>1132</v>
      </c>
      <c r="B857" s="28">
        <v>62.19</v>
      </c>
      <c r="C857" s="16" t="str">
        <f t="shared" si="75"/>
        <v>2016</v>
      </c>
      <c r="D857" t="str">
        <f t="shared" si="76"/>
        <v>19</v>
      </c>
      <c r="E857" s="21">
        <f t="shared" si="72"/>
        <v>42496</v>
      </c>
      <c r="F857" s="17" t="str">
        <f t="shared" si="73"/>
        <v>2016-05</v>
      </c>
      <c r="G857" s="25">
        <f t="shared" si="74"/>
        <v>60.805</v>
      </c>
    </row>
    <row r="858" spans="1:7" x14ac:dyDescent="0.25">
      <c r="A858" s="18" t="s">
        <v>1131</v>
      </c>
      <c r="B858" s="28">
        <v>65.709999999999994</v>
      </c>
      <c r="C858" s="16" t="str">
        <f t="shared" si="75"/>
        <v>2016</v>
      </c>
      <c r="D858" t="str">
        <f t="shared" si="76"/>
        <v>20</v>
      </c>
      <c r="E858" s="21">
        <f t="shared" si="72"/>
        <v>42503</v>
      </c>
      <c r="F858" s="17" t="str">
        <f t="shared" si="73"/>
        <v>2016-05</v>
      </c>
      <c r="G858" s="25">
        <f t="shared" si="74"/>
        <v>60.805</v>
      </c>
    </row>
    <row r="859" spans="1:7" x14ac:dyDescent="0.25">
      <c r="A859" s="18" t="s">
        <v>1130</v>
      </c>
      <c r="B859" s="28">
        <v>57.41</v>
      </c>
      <c r="C859" s="16" t="str">
        <f t="shared" si="75"/>
        <v>2016</v>
      </c>
      <c r="D859" t="str">
        <f t="shared" si="76"/>
        <v>21</v>
      </c>
      <c r="E859" s="21">
        <f t="shared" si="72"/>
        <v>42510</v>
      </c>
      <c r="F859" s="17" t="str">
        <f t="shared" si="73"/>
        <v>2016-05</v>
      </c>
      <c r="G859" s="25">
        <f t="shared" si="74"/>
        <v>60.805</v>
      </c>
    </row>
    <row r="860" spans="1:7" x14ac:dyDescent="0.25">
      <c r="A860" s="18" t="s">
        <v>1129</v>
      </c>
      <c r="B860" s="28">
        <v>57.91</v>
      </c>
      <c r="C860" s="16" t="str">
        <f t="shared" si="75"/>
        <v>2016</v>
      </c>
      <c r="D860" t="str">
        <f t="shared" si="76"/>
        <v>22</v>
      </c>
      <c r="E860" s="21">
        <f t="shared" si="72"/>
        <v>42517</v>
      </c>
      <c r="F860" s="17" t="str">
        <f t="shared" si="73"/>
        <v>2016-05</v>
      </c>
      <c r="G860" s="25">
        <f t="shared" si="74"/>
        <v>60.805</v>
      </c>
    </row>
    <row r="861" spans="1:7" x14ac:dyDescent="0.25">
      <c r="A861" s="18" t="s">
        <v>1128</v>
      </c>
      <c r="B861" s="28">
        <v>64.7</v>
      </c>
      <c r="C861" s="16" t="str">
        <f t="shared" si="75"/>
        <v>2016</v>
      </c>
      <c r="D861" t="str">
        <f t="shared" si="76"/>
        <v>23</v>
      </c>
      <c r="E861" s="21">
        <f t="shared" si="72"/>
        <v>42524</v>
      </c>
      <c r="F861" s="17" t="str">
        <f t="shared" si="73"/>
        <v>2016-06</v>
      </c>
      <c r="G861" s="25">
        <f t="shared" si="74"/>
        <v>66.64</v>
      </c>
    </row>
    <row r="862" spans="1:7" x14ac:dyDescent="0.25">
      <c r="A862" s="18" t="s">
        <v>1127</v>
      </c>
      <c r="B862" s="28">
        <v>69.44</v>
      </c>
      <c r="C862" s="16" t="str">
        <f t="shared" si="75"/>
        <v>2016</v>
      </c>
      <c r="D862" t="str">
        <f t="shared" si="76"/>
        <v>24</v>
      </c>
      <c r="E862" s="21">
        <f t="shared" si="72"/>
        <v>42531</v>
      </c>
      <c r="F862" s="17" t="str">
        <f t="shared" si="73"/>
        <v>2016-06</v>
      </c>
      <c r="G862" s="25">
        <f t="shared" si="74"/>
        <v>66.64</v>
      </c>
    </row>
    <row r="863" spans="1:7" x14ac:dyDescent="0.25">
      <c r="A863" s="18" t="s">
        <v>1126</v>
      </c>
      <c r="B863" s="28">
        <v>67.400000000000006</v>
      </c>
      <c r="C863" s="16" t="str">
        <f t="shared" si="75"/>
        <v>2016</v>
      </c>
      <c r="D863" t="str">
        <f t="shared" si="76"/>
        <v>25</v>
      </c>
      <c r="E863" s="21">
        <f t="shared" si="72"/>
        <v>42538</v>
      </c>
      <c r="F863" s="17" t="str">
        <f t="shared" si="73"/>
        <v>2016-06</v>
      </c>
      <c r="G863" s="25">
        <f t="shared" si="74"/>
        <v>66.64</v>
      </c>
    </row>
    <row r="864" spans="1:7" x14ac:dyDescent="0.25">
      <c r="A864" s="18" t="s">
        <v>1125</v>
      </c>
      <c r="B864" s="28">
        <v>65.02</v>
      </c>
      <c r="C864" s="16" t="str">
        <f t="shared" si="75"/>
        <v>2016</v>
      </c>
      <c r="D864" t="str">
        <f t="shared" si="76"/>
        <v>26</v>
      </c>
      <c r="E864" s="21">
        <f t="shared" si="72"/>
        <v>42545</v>
      </c>
      <c r="F864" s="17" t="str">
        <f t="shared" si="73"/>
        <v>2016-06</v>
      </c>
      <c r="G864" s="25">
        <f t="shared" si="74"/>
        <v>66.64</v>
      </c>
    </row>
    <row r="865" spans="1:7" x14ac:dyDescent="0.25">
      <c r="A865" s="18" t="s">
        <v>1124</v>
      </c>
      <c r="B865" s="28">
        <v>70.959999999999994</v>
      </c>
      <c r="C865" s="16" t="str">
        <f t="shared" si="75"/>
        <v>2016</v>
      </c>
      <c r="D865" t="str">
        <f t="shared" si="76"/>
        <v>27</v>
      </c>
      <c r="E865" s="21">
        <f t="shared" si="72"/>
        <v>42552</v>
      </c>
      <c r="F865" s="17" t="str">
        <f t="shared" si="73"/>
        <v>2016-07</v>
      </c>
      <c r="G865" s="25">
        <f t="shared" si="74"/>
        <v>64.677999999999997</v>
      </c>
    </row>
    <row r="866" spans="1:7" x14ac:dyDescent="0.25">
      <c r="A866" s="18" t="s">
        <v>1123</v>
      </c>
      <c r="B866" s="28">
        <v>70.38</v>
      </c>
      <c r="C866" s="16" t="str">
        <f t="shared" si="75"/>
        <v>2016</v>
      </c>
      <c r="D866" t="str">
        <f t="shared" si="76"/>
        <v>28</v>
      </c>
      <c r="E866" s="21">
        <f t="shared" si="72"/>
        <v>42559</v>
      </c>
      <c r="F866" s="17" t="str">
        <f t="shared" si="73"/>
        <v>2016-07</v>
      </c>
      <c r="G866" s="25">
        <f t="shared" si="74"/>
        <v>64.677999999999997</v>
      </c>
    </row>
    <row r="867" spans="1:7" x14ac:dyDescent="0.25">
      <c r="A867" s="18" t="s">
        <v>1122</v>
      </c>
      <c r="B867" s="28">
        <v>65.12</v>
      </c>
      <c r="C867" s="16" t="str">
        <f t="shared" si="75"/>
        <v>2016</v>
      </c>
      <c r="D867" t="str">
        <f t="shared" si="76"/>
        <v>29</v>
      </c>
      <c r="E867" s="21">
        <f t="shared" si="72"/>
        <v>42566</v>
      </c>
      <c r="F867" s="17" t="str">
        <f t="shared" si="73"/>
        <v>2016-07</v>
      </c>
      <c r="G867" s="25">
        <f t="shared" si="74"/>
        <v>64.677999999999997</v>
      </c>
    </row>
    <row r="868" spans="1:7" x14ac:dyDescent="0.25">
      <c r="A868" s="18" t="s">
        <v>1121</v>
      </c>
      <c r="B868" s="28">
        <v>59.41</v>
      </c>
      <c r="C868" s="16" t="str">
        <f t="shared" si="75"/>
        <v>2016</v>
      </c>
      <c r="D868" t="str">
        <f t="shared" si="76"/>
        <v>30</v>
      </c>
      <c r="E868" s="21">
        <f t="shared" si="72"/>
        <v>42573</v>
      </c>
      <c r="F868" s="17" t="str">
        <f t="shared" si="73"/>
        <v>2016-07</v>
      </c>
      <c r="G868" s="25">
        <f t="shared" si="74"/>
        <v>64.677999999999997</v>
      </c>
    </row>
    <row r="869" spans="1:7" x14ac:dyDescent="0.25">
      <c r="A869" s="18" t="s">
        <v>1120</v>
      </c>
      <c r="B869" s="28">
        <v>57.52</v>
      </c>
      <c r="C869" s="16" t="str">
        <f t="shared" si="75"/>
        <v>2016</v>
      </c>
      <c r="D869" t="str">
        <f t="shared" si="76"/>
        <v>31</v>
      </c>
      <c r="E869" s="21">
        <f t="shared" si="72"/>
        <v>42580</v>
      </c>
      <c r="F869" s="17" t="str">
        <f t="shared" si="73"/>
        <v>2016-07</v>
      </c>
      <c r="G869" s="25">
        <f t="shared" si="74"/>
        <v>64.677999999999997</v>
      </c>
    </row>
    <row r="870" spans="1:7" x14ac:dyDescent="0.25">
      <c r="A870" s="18" t="s">
        <v>1119</v>
      </c>
      <c r="B870" s="28">
        <v>59.61</v>
      </c>
      <c r="C870" s="16" t="str">
        <f t="shared" si="75"/>
        <v>2016</v>
      </c>
      <c r="D870" t="str">
        <f t="shared" si="76"/>
        <v>32</v>
      </c>
      <c r="E870" s="21">
        <f t="shared" si="72"/>
        <v>42587</v>
      </c>
      <c r="F870" s="17" t="str">
        <f t="shared" si="73"/>
        <v>2016-08</v>
      </c>
      <c r="G870" s="25">
        <f t="shared" si="74"/>
        <v>57.917499999999997</v>
      </c>
    </row>
    <row r="871" spans="1:7" x14ac:dyDescent="0.25">
      <c r="A871" s="18" t="s">
        <v>1118</v>
      </c>
      <c r="B871" s="28">
        <v>59.23</v>
      </c>
      <c r="C871" s="16" t="str">
        <f t="shared" si="75"/>
        <v>2016</v>
      </c>
      <c r="D871" t="str">
        <f t="shared" si="76"/>
        <v>33</v>
      </c>
      <c r="E871" s="21">
        <f t="shared" si="72"/>
        <v>42594</v>
      </c>
      <c r="F871" s="17" t="str">
        <f t="shared" si="73"/>
        <v>2016-08</v>
      </c>
      <c r="G871" s="25">
        <f t="shared" si="74"/>
        <v>57.917499999999997</v>
      </c>
    </row>
    <row r="872" spans="1:7" x14ac:dyDescent="0.25">
      <c r="A872" s="18" t="s">
        <v>1117</v>
      </c>
      <c r="B872" s="28">
        <v>56.36</v>
      </c>
      <c r="C872" s="16" t="str">
        <f t="shared" si="75"/>
        <v>2016</v>
      </c>
      <c r="D872" t="str">
        <f t="shared" si="76"/>
        <v>34</v>
      </c>
      <c r="E872" s="21">
        <f t="shared" si="72"/>
        <v>42601</v>
      </c>
      <c r="F872" s="17" t="str">
        <f t="shared" si="73"/>
        <v>2016-08</v>
      </c>
      <c r="G872" s="25">
        <f t="shared" si="74"/>
        <v>57.917499999999997</v>
      </c>
    </row>
    <row r="873" spans="1:7" x14ac:dyDescent="0.25">
      <c r="A873" s="18" t="s">
        <v>1116</v>
      </c>
      <c r="B873" s="28">
        <v>56.47</v>
      </c>
      <c r="C873" s="16" t="str">
        <f t="shared" si="75"/>
        <v>2016</v>
      </c>
      <c r="D873" t="str">
        <f t="shared" si="76"/>
        <v>35</v>
      </c>
      <c r="E873" s="21">
        <f t="shared" si="72"/>
        <v>42608</v>
      </c>
      <c r="F873" s="17" t="str">
        <f t="shared" si="73"/>
        <v>2016-08</v>
      </c>
      <c r="G873" s="25">
        <f t="shared" si="74"/>
        <v>57.917499999999997</v>
      </c>
    </row>
    <row r="874" spans="1:7" x14ac:dyDescent="0.25">
      <c r="A874" s="18" t="s">
        <v>1115</v>
      </c>
      <c r="B874" s="28">
        <v>55.28</v>
      </c>
      <c r="C874" s="16" t="str">
        <f t="shared" si="75"/>
        <v>2016</v>
      </c>
      <c r="D874" t="str">
        <f t="shared" si="76"/>
        <v>36</v>
      </c>
      <c r="E874" s="21">
        <f t="shared" si="72"/>
        <v>42615</v>
      </c>
      <c r="F874" s="17" t="str">
        <f t="shared" si="73"/>
        <v>2016-09</v>
      </c>
      <c r="G874" s="25">
        <f t="shared" si="74"/>
        <v>55.089999999999996</v>
      </c>
    </row>
    <row r="875" spans="1:7" x14ac:dyDescent="0.25">
      <c r="A875" s="18" t="s">
        <v>1114</v>
      </c>
      <c r="B875" s="28">
        <v>52.78</v>
      </c>
      <c r="C875" s="16" t="str">
        <f t="shared" si="75"/>
        <v>2016</v>
      </c>
      <c r="D875" t="str">
        <f t="shared" si="76"/>
        <v>37</v>
      </c>
      <c r="E875" s="21">
        <f t="shared" si="72"/>
        <v>42622</v>
      </c>
      <c r="F875" s="17" t="str">
        <f t="shared" si="73"/>
        <v>2016-09</v>
      </c>
      <c r="G875" s="25">
        <f t="shared" si="74"/>
        <v>55.089999999999996</v>
      </c>
    </row>
    <row r="876" spans="1:7" x14ac:dyDescent="0.25">
      <c r="A876" s="18" t="s">
        <v>1113</v>
      </c>
      <c r="B876" s="28">
        <v>53.36</v>
      </c>
      <c r="C876" s="16" t="str">
        <f t="shared" si="75"/>
        <v>2016</v>
      </c>
      <c r="D876" t="str">
        <f t="shared" si="76"/>
        <v>38</v>
      </c>
      <c r="E876" s="21">
        <f t="shared" si="72"/>
        <v>42629</v>
      </c>
      <c r="F876" s="17" t="str">
        <f t="shared" si="73"/>
        <v>2016-09</v>
      </c>
      <c r="G876" s="25">
        <f t="shared" si="74"/>
        <v>55.089999999999996</v>
      </c>
    </row>
    <row r="877" spans="1:7" x14ac:dyDescent="0.25">
      <c r="A877" s="18" t="s">
        <v>1112</v>
      </c>
      <c r="B877" s="28">
        <v>55.39</v>
      </c>
      <c r="C877" s="16" t="str">
        <f t="shared" si="75"/>
        <v>2016</v>
      </c>
      <c r="D877" t="str">
        <f t="shared" si="76"/>
        <v>39</v>
      </c>
      <c r="E877" s="21">
        <f t="shared" si="72"/>
        <v>42636</v>
      </c>
      <c r="F877" s="17" t="str">
        <f t="shared" si="73"/>
        <v>2016-09</v>
      </c>
      <c r="G877" s="25">
        <f t="shared" si="74"/>
        <v>55.089999999999996</v>
      </c>
    </row>
    <row r="878" spans="1:7" x14ac:dyDescent="0.25">
      <c r="A878" s="18" t="s">
        <v>1111</v>
      </c>
      <c r="B878" s="28">
        <v>58.64</v>
      </c>
      <c r="C878" s="16" t="str">
        <f t="shared" si="75"/>
        <v>2016</v>
      </c>
      <c r="D878" t="str">
        <f t="shared" si="76"/>
        <v>40</v>
      </c>
      <c r="E878" s="21">
        <f t="shared" si="72"/>
        <v>42643</v>
      </c>
      <c r="F878" s="17" t="str">
        <f t="shared" si="73"/>
        <v>2016-09</v>
      </c>
      <c r="G878" s="25">
        <f t="shared" si="74"/>
        <v>55.089999999999996</v>
      </c>
    </row>
    <row r="879" spans="1:7" x14ac:dyDescent="0.25">
      <c r="A879" s="18" t="s">
        <v>1110</v>
      </c>
      <c r="B879" s="28">
        <v>59.67</v>
      </c>
      <c r="C879" s="16" t="str">
        <f t="shared" si="75"/>
        <v>2016</v>
      </c>
      <c r="D879" t="str">
        <f t="shared" si="76"/>
        <v>41</v>
      </c>
      <c r="E879" s="21">
        <f t="shared" si="72"/>
        <v>42650</v>
      </c>
      <c r="F879" s="17" t="str">
        <f t="shared" si="73"/>
        <v>2016-10</v>
      </c>
      <c r="G879" s="25">
        <f t="shared" si="74"/>
        <v>60.795000000000002</v>
      </c>
    </row>
    <row r="880" spans="1:7" x14ac:dyDescent="0.25">
      <c r="A880" s="18" t="s">
        <v>1109</v>
      </c>
      <c r="B880" s="28">
        <v>61.36</v>
      </c>
      <c r="C880" s="16" t="str">
        <f t="shared" si="75"/>
        <v>2016</v>
      </c>
      <c r="D880" t="str">
        <f t="shared" si="76"/>
        <v>42</v>
      </c>
      <c r="E880" s="21">
        <f t="shared" si="72"/>
        <v>42657</v>
      </c>
      <c r="F880" s="17" t="str">
        <f t="shared" si="73"/>
        <v>2016-10</v>
      </c>
      <c r="G880" s="25">
        <f t="shared" si="74"/>
        <v>60.795000000000002</v>
      </c>
    </row>
    <row r="881" spans="1:7" x14ac:dyDescent="0.25">
      <c r="A881" s="18" t="s">
        <v>1108</v>
      </c>
      <c r="B881" s="28">
        <v>61.5</v>
      </c>
      <c r="C881" s="16" t="str">
        <f t="shared" si="75"/>
        <v>2016</v>
      </c>
      <c r="D881" t="str">
        <f t="shared" si="76"/>
        <v>43</v>
      </c>
      <c r="E881" s="21">
        <f t="shared" si="72"/>
        <v>42664</v>
      </c>
      <c r="F881" s="17" t="str">
        <f t="shared" si="73"/>
        <v>2016-10</v>
      </c>
      <c r="G881" s="25">
        <f t="shared" si="74"/>
        <v>60.795000000000002</v>
      </c>
    </row>
    <row r="882" spans="1:7" x14ac:dyDescent="0.25">
      <c r="A882" s="18" t="s">
        <v>1107</v>
      </c>
      <c r="B882" s="28">
        <v>60.65</v>
      </c>
      <c r="C882" s="16" t="str">
        <f t="shared" si="75"/>
        <v>2016</v>
      </c>
      <c r="D882" t="str">
        <f t="shared" si="76"/>
        <v>44</v>
      </c>
      <c r="E882" s="21">
        <f t="shared" si="72"/>
        <v>42671</v>
      </c>
      <c r="F882" s="17" t="str">
        <f t="shared" si="73"/>
        <v>2016-10</v>
      </c>
      <c r="G882" s="25">
        <f t="shared" si="74"/>
        <v>60.795000000000002</v>
      </c>
    </row>
    <row r="883" spans="1:7" x14ac:dyDescent="0.25">
      <c r="A883" s="18" t="s">
        <v>1106</v>
      </c>
      <c r="B883" s="28">
        <v>59.63</v>
      </c>
      <c r="C883" s="16" t="str">
        <f t="shared" si="75"/>
        <v>2016</v>
      </c>
      <c r="D883" t="str">
        <f t="shared" si="76"/>
        <v>45</v>
      </c>
      <c r="E883" s="21">
        <f t="shared" si="72"/>
        <v>42678</v>
      </c>
      <c r="F883" s="17" t="str">
        <f t="shared" si="73"/>
        <v>2016-11</v>
      </c>
      <c r="G883" s="25">
        <f t="shared" si="74"/>
        <v>62.15</v>
      </c>
    </row>
    <row r="884" spans="1:7" x14ac:dyDescent="0.25">
      <c r="A884" s="18" t="s">
        <v>1105</v>
      </c>
      <c r="B884" s="28">
        <v>63.57</v>
      </c>
      <c r="C884" s="16" t="str">
        <f t="shared" si="75"/>
        <v>2016</v>
      </c>
      <c r="D884" t="str">
        <f t="shared" si="76"/>
        <v>46</v>
      </c>
      <c r="E884" s="21">
        <f t="shared" si="72"/>
        <v>42685</v>
      </c>
      <c r="F884" s="17" t="str">
        <f t="shared" si="73"/>
        <v>2016-11</v>
      </c>
      <c r="G884" s="25">
        <f t="shared" si="74"/>
        <v>62.15</v>
      </c>
    </row>
    <row r="885" spans="1:7" x14ac:dyDescent="0.25">
      <c r="A885" s="18" t="s">
        <v>1104</v>
      </c>
      <c r="B885" s="28">
        <v>62.46</v>
      </c>
      <c r="C885" s="16" t="str">
        <f t="shared" si="75"/>
        <v>2016</v>
      </c>
      <c r="D885" t="str">
        <f t="shared" si="76"/>
        <v>47</v>
      </c>
      <c r="E885" s="21">
        <f t="shared" si="72"/>
        <v>42692</v>
      </c>
      <c r="F885" s="17" t="str">
        <f t="shared" si="73"/>
        <v>2016-11</v>
      </c>
      <c r="G885" s="25">
        <f t="shared" si="74"/>
        <v>62.15</v>
      </c>
    </row>
    <row r="886" spans="1:7" x14ac:dyDescent="0.25">
      <c r="A886" s="18" t="s">
        <v>1103</v>
      </c>
      <c r="B886" s="28">
        <v>62.94</v>
      </c>
      <c r="C886" s="16" t="str">
        <f t="shared" si="75"/>
        <v>2016</v>
      </c>
      <c r="D886" t="str">
        <f t="shared" si="76"/>
        <v>48</v>
      </c>
      <c r="E886" s="21">
        <f t="shared" si="72"/>
        <v>42699</v>
      </c>
      <c r="F886" s="17" t="str">
        <f t="shared" si="73"/>
        <v>2016-11</v>
      </c>
      <c r="G886" s="25">
        <f t="shared" si="74"/>
        <v>62.15</v>
      </c>
    </row>
    <row r="887" spans="1:7" x14ac:dyDescent="0.25">
      <c r="A887" s="18" t="s">
        <v>1102</v>
      </c>
      <c r="B887" s="28">
        <v>66.44</v>
      </c>
      <c r="C887" s="16" t="str">
        <f t="shared" si="75"/>
        <v>2016</v>
      </c>
      <c r="D887" t="str">
        <f t="shared" si="76"/>
        <v>49</v>
      </c>
      <c r="E887" s="21">
        <f t="shared" si="72"/>
        <v>42706</v>
      </c>
      <c r="F887" s="17" t="str">
        <f t="shared" si="73"/>
        <v>2016-12</v>
      </c>
      <c r="G887" s="25">
        <f t="shared" si="74"/>
        <v>70.585000000000008</v>
      </c>
    </row>
    <row r="888" spans="1:7" x14ac:dyDescent="0.25">
      <c r="A888" s="18" t="s">
        <v>1101</v>
      </c>
      <c r="B888" s="28">
        <v>69.28</v>
      </c>
      <c r="C888" s="16" t="str">
        <f t="shared" si="75"/>
        <v>2016</v>
      </c>
      <c r="D888" t="str">
        <f t="shared" si="76"/>
        <v>50</v>
      </c>
      <c r="E888" s="21">
        <f t="shared" si="72"/>
        <v>42713</v>
      </c>
      <c r="F888" s="17" t="str">
        <f t="shared" si="73"/>
        <v>2016-12</v>
      </c>
      <c r="G888" s="25">
        <f t="shared" si="74"/>
        <v>70.585000000000008</v>
      </c>
    </row>
    <row r="889" spans="1:7" x14ac:dyDescent="0.25">
      <c r="A889" s="18" t="s">
        <v>1100</v>
      </c>
      <c r="B889" s="28">
        <v>73.09</v>
      </c>
      <c r="C889" s="16" t="str">
        <f t="shared" si="75"/>
        <v>2016</v>
      </c>
      <c r="D889" t="str">
        <f t="shared" si="76"/>
        <v>51</v>
      </c>
      <c r="E889" s="21">
        <f t="shared" si="72"/>
        <v>42720</v>
      </c>
      <c r="F889" s="17" t="str">
        <f t="shared" si="73"/>
        <v>2016-12</v>
      </c>
      <c r="G889" s="25">
        <f t="shared" si="74"/>
        <v>70.585000000000008</v>
      </c>
    </row>
    <row r="890" spans="1:7" x14ac:dyDescent="0.25">
      <c r="A890" s="18" t="s">
        <v>1099</v>
      </c>
      <c r="B890" s="28">
        <v>73.53</v>
      </c>
      <c r="C890" s="16" t="str">
        <f t="shared" si="75"/>
        <v>2016</v>
      </c>
      <c r="D890" t="str">
        <f t="shared" si="76"/>
        <v>52</v>
      </c>
      <c r="E890" s="21">
        <f t="shared" si="72"/>
        <v>42727</v>
      </c>
      <c r="F890" s="17" t="str">
        <f t="shared" si="73"/>
        <v>2016-12</v>
      </c>
      <c r="G890" s="25">
        <f t="shared" si="74"/>
        <v>70.585000000000008</v>
      </c>
    </row>
    <row r="891" spans="1:7" x14ac:dyDescent="0.25">
      <c r="A891" s="18" t="s">
        <v>1098</v>
      </c>
      <c r="B891" s="28">
        <v>75.25</v>
      </c>
      <c r="C891" s="16" t="str">
        <f t="shared" si="75"/>
        <v>2017</v>
      </c>
      <c r="D891" t="str">
        <f t="shared" si="76"/>
        <v>01</v>
      </c>
      <c r="E891" s="21">
        <f t="shared" si="72"/>
        <v>42736</v>
      </c>
      <c r="F891" s="17" t="str">
        <f t="shared" si="73"/>
        <v>2017-01</v>
      </c>
      <c r="G891" s="25">
        <f t="shared" si="74"/>
        <v>71.305999999999997</v>
      </c>
    </row>
    <row r="892" spans="1:7" x14ac:dyDescent="0.25">
      <c r="A892" s="18" t="s">
        <v>1097</v>
      </c>
      <c r="B892" s="28">
        <v>72.42</v>
      </c>
      <c r="C892" s="16" t="str">
        <f t="shared" si="75"/>
        <v>2017</v>
      </c>
      <c r="D892" t="str">
        <f t="shared" si="76"/>
        <v>02</v>
      </c>
      <c r="E892" s="21">
        <f t="shared" si="72"/>
        <v>42743</v>
      </c>
      <c r="F892" s="17" t="str">
        <f t="shared" si="73"/>
        <v>2017-01</v>
      </c>
      <c r="G892" s="25">
        <f t="shared" si="74"/>
        <v>71.305999999999997</v>
      </c>
    </row>
    <row r="893" spans="1:7" x14ac:dyDescent="0.25">
      <c r="A893" s="18" t="s">
        <v>1096</v>
      </c>
      <c r="B893" s="28">
        <v>72.5</v>
      </c>
      <c r="C893" s="16" t="str">
        <f t="shared" si="75"/>
        <v>2017</v>
      </c>
      <c r="D893" t="str">
        <f t="shared" si="76"/>
        <v>03</v>
      </c>
      <c r="E893" s="21">
        <f t="shared" si="72"/>
        <v>42750</v>
      </c>
      <c r="F893" s="17" t="str">
        <f t="shared" si="73"/>
        <v>2017-01</v>
      </c>
      <c r="G893" s="25">
        <f t="shared" si="74"/>
        <v>71.305999999999997</v>
      </c>
    </row>
    <row r="894" spans="1:7" x14ac:dyDescent="0.25">
      <c r="A894" s="18" t="s">
        <v>1095</v>
      </c>
      <c r="B894" s="28">
        <v>70.349999999999994</v>
      </c>
      <c r="C894" s="16" t="str">
        <f t="shared" si="75"/>
        <v>2017</v>
      </c>
      <c r="D894" t="str">
        <f t="shared" si="76"/>
        <v>04</v>
      </c>
      <c r="E894" s="21">
        <f t="shared" si="72"/>
        <v>42757</v>
      </c>
      <c r="F894" s="17" t="str">
        <f t="shared" si="73"/>
        <v>2017-01</v>
      </c>
      <c r="G894" s="25">
        <f t="shared" si="74"/>
        <v>71.305999999999997</v>
      </c>
    </row>
    <row r="895" spans="1:7" x14ac:dyDescent="0.25">
      <c r="A895" s="18" t="s">
        <v>1094</v>
      </c>
      <c r="B895" s="28">
        <v>66.010000000000005</v>
      </c>
      <c r="C895" s="16" t="str">
        <f t="shared" si="75"/>
        <v>2017</v>
      </c>
      <c r="D895" t="str">
        <f t="shared" si="76"/>
        <v>05</v>
      </c>
      <c r="E895" s="21">
        <f t="shared" si="72"/>
        <v>42764</v>
      </c>
      <c r="F895" s="17" t="str">
        <f t="shared" si="73"/>
        <v>2017-01</v>
      </c>
      <c r="G895" s="25">
        <f t="shared" si="74"/>
        <v>71.305999999999997</v>
      </c>
    </row>
    <row r="896" spans="1:7" x14ac:dyDescent="0.25">
      <c r="A896" s="18" t="s">
        <v>1093</v>
      </c>
      <c r="B896" s="28">
        <v>64.959999999999994</v>
      </c>
      <c r="C896" s="16" t="str">
        <f t="shared" si="75"/>
        <v>2017</v>
      </c>
      <c r="D896" t="str">
        <f t="shared" si="76"/>
        <v>06</v>
      </c>
      <c r="E896" s="21">
        <f t="shared" si="72"/>
        <v>42771</v>
      </c>
      <c r="F896" s="17" t="str">
        <f t="shared" si="73"/>
        <v>2017-02</v>
      </c>
      <c r="G896" s="25">
        <f t="shared" si="74"/>
        <v>62.947500000000005</v>
      </c>
    </row>
    <row r="897" spans="1:7" x14ac:dyDescent="0.25">
      <c r="A897" s="18" t="s">
        <v>1092</v>
      </c>
      <c r="B897" s="28">
        <v>64.08</v>
      </c>
      <c r="C897" s="16" t="str">
        <f t="shared" si="75"/>
        <v>2017</v>
      </c>
      <c r="D897" t="str">
        <f t="shared" si="76"/>
        <v>07</v>
      </c>
      <c r="E897" s="21">
        <f t="shared" si="72"/>
        <v>42778</v>
      </c>
      <c r="F897" s="17" t="str">
        <f t="shared" si="73"/>
        <v>2017-02</v>
      </c>
      <c r="G897" s="25">
        <f t="shared" si="74"/>
        <v>62.947500000000005</v>
      </c>
    </row>
    <row r="898" spans="1:7" x14ac:dyDescent="0.25">
      <c r="A898" s="18" t="s">
        <v>1091</v>
      </c>
      <c r="B898" s="28">
        <v>63.2</v>
      </c>
      <c r="C898" s="16" t="str">
        <f t="shared" si="75"/>
        <v>2017</v>
      </c>
      <c r="D898" t="str">
        <f t="shared" si="76"/>
        <v>08</v>
      </c>
      <c r="E898" s="21">
        <f t="shared" si="72"/>
        <v>42785</v>
      </c>
      <c r="F898" s="17" t="str">
        <f t="shared" si="73"/>
        <v>2017-02</v>
      </c>
      <c r="G898" s="25">
        <f t="shared" si="74"/>
        <v>62.947500000000005</v>
      </c>
    </row>
    <row r="899" spans="1:7" x14ac:dyDescent="0.25">
      <c r="A899" s="18" t="s">
        <v>1090</v>
      </c>
      <c r="B899" s="28">
        <v>59.55</v>
      </c>
      <c r="C899" s="16" t="str">
        <f t="shared" si="75"/>
        <v>2017</v>
      </c>
      <c r="D899" t="str">
        <f t="shared" si="76"/>
        <v>09</v>
      </c>
      <c r="E899" s="21">
        <f t="shared" si="72"/>
        <v>42792</v>
      </c>
      <c r="F899" s="17" t="str">
        <f t="shared" si="73"/>
        <v>2017-02</v>
      </c>
      <c r="G899" s="25">
        <f t="shared" si="74"/>
        <v>62.947500000000005</v>
      </c>
    </row>
    <row r="900" spans="1:7" x14ac:dyDescent="0.25">
      <c r="A900" s="18" t="s">
        <v>1089</v>
      </c>
      <c r="B900" s="28">
        <v>58.36</v>
      </c>
      <c r="C900" s="16" t="str">
        <f t="shared" si="75"/>
        <v>2017</v>
      </c>
      <c r="D900" t="str">
        <f t="shared" si="76"/>
        <v>10</v>
      </c>
      <c r="E900" s="21">
        <f t="shared" si="72"/>
        <v>42799</v>
      </c>
      <c r="F900" s="17" t="str">
        <f t="shared" si="73"/>
        <v>2017-03</v>
      </c>
      <c r="G900" s="25">
        <f t="shared" si="74"/>
        <v>61.7</v>
      </c>
    </row>
    <row r="901" spans="1:7" x14ac:dyDescent="0.25">
      <c r="A901" s="18" t="s">
        <v>1088</v>
      </c>
      <c r="B901" s="28">
        <v>61.98</v>
      </c>
      <c r="C901" s="16" t="str">
        <f t="shared" si="75"/>
        <v>2017</v>
      </c>
      <c r="D901" t="str">
        <f t="shared" si="76"/>
        <v>11</v>
      </c>
      <c r="E901" s="21">
        <f t="shared" ref="E901:E964" si="77">DATE(C901,1,1)+(D901-1)*7</f>
        <v>42806</v>
      </c>
      <c r="F901" s="17" t="str">
        <f t="shared" ref="F901:F964" si="78">TEXT(E901,"éééé-hh")</f>
        <v>2017-03</v>
      </c>
      <c r="G901" s="25">
        <f t="shared" ref="G901:G964" si="79">AVERAGEIF($F$4:$F$1353,F901,$B$4:$B$1353)</f>
        <v>61.7</v>
      </c>
    </row>
    <row r="902" spans="1:7" x14ac:dyDescent="0.25">
      <c r="A902" s="18" t="s">
        <v>1087</v>
      </c>
      <c r="B902" s="28">
        <v>63.76</v>
      </c>
      <c r="C902" s="16" t="str">
        <f t="shared" si="75"/>
        <v>2017</v>
      </c>
      <c r="D902" t="str">
        <f t="shared" si="76"/>
        <v>12</v>
      </c>
      <c r="E902" s="21">
        <f t="shared" si="77"/>
        <v>42813</v>
      </c>
      <c r="F902" s="17" t="str">
        <f t="shared" si="78"/>
        <v>2017-03</v>
      </c>
      <c r="G902" s="25">
        <f t="shared" si="79"/>
        <v>61.7</v>
      </c>
    </row>
    <row r="903" spans="1:7" x14ac:dyDescent="0.25">
      <c r="A903" s="18" t="s">
        <v>1086</v>
      </c>
      <c r="B903" s="28">
        <v>62.7</v>
      </c>
      <c r="C903" s="16" t="str">
        <f t="shared" si="75"/>
        <v>2017</v>
      </c>
      <c r="D903" t="str">
        <f t="shared" si="76"/>
        <v>13</v>
      </c>
      <c r="E903" s="21">
        <f t="shared" si="77"/>
        <v>42820</v>
      </c>
      <c r="F903" s="17" t="str">
        <f t="shared" si="78"/>
        <v>2017-03</v>
      </c>
      <c r="G903" s="25">
        <f t="shared" si="79"/>
        <v>61.7</v>
      </c>
    </row>
    <row r="904" spans="1:7" x14ac:dyDescent="0.25">
      <c r="A904" s="18" t="s">
        <v>1085</v>
      </c>
      <c r="B904" s="28">
        <v>62.82</v>
      </c>
      <c r="C904" s="16" t="str">
        <f t="shared" si="75"/>
        <v>2017</v>
      </c>
      <c r="D904" t="str">
        <f t="shared" si="76"/>
        <v>14</v>
      </c>
      <c r="E904" s="21">
        <f t="shared" si="77"/>
        <v>42827</v>
      </c>
      <c r="F904" s="17" t="str">
        <f t="shared" si="78"/>
        <v>2017-04</v>
      </c>
      <c r="G904" s="25">
        <f t="shared" si="79"/>
        <v>64.152000000000001</v>
      </c>
    </row>
    <row r="905" spans="1:7" x14ac:dyDescent="0.25">
      <c r="A905" s="18" t="s">
        <v>1084</v>
      </c>
      <c r="B905" s="28">
        <v>65.13</v>
      </c>
      <c r="C905" s="16" t="str">
        <f t="shared" si="75"/>
        <v>2017</v>
      </c>
      <c r="D905" t="str">
        <f t="shared" si="76"/>
        <v>15</v>
      </c>
      <c r="E905" s="21">
        <f t="shared" si="77"/>
        <v>42834</v>
      </c>
      <c r="F905" s="17" t="str">
        <f t="shared" si="78"/>
        <v>2017-04</v>
      </c>
      <c r="G905" s="25">
        <f t="shared" si="79"/>
        <v>64.152000000000001</v>
      </c>
    </row>
    <row r="906" spans="1:7" x14ac:dyDescent="0.25">
      <c r="A906" s="18" t="s">
        <v>1083</v>
      </c>
      <c r="B906" s="28">
        <v>64.849999999999994</v>
      </c>
      <c r="C906" s="16" t="str">
        <f t="shared" si="75"/>
        <v>2017</v>
      </c>
      <c r="D906" t="str">
        <f t="shared" si="76"/>
        <v>16</v>
      </c>
      <c r="E906" s="21">
        <f t="shared" si="77"/>
        <v>42841</v>
      </c>
      <c r="F906" s="17" t="str">
        <f t="shared" si="78"/>
        <v>2017-04</v>
      </c>
      <c r="G906" s="25">
        <f t="shared" si="79"/>
        <v>64.152000000000001</v>
      </c>
    </row>
    <row r="907" spans="1:7" x14ac:dyDescent="0.25">
      <c r="A907" s="18" t="s">
        <v>1082</v>
      </c>
      <c r="B907" s="28">
        <v>62.17</v>
      </c>
      <c r="C907" s="16" t="str">
        <f t="shared" si="75"/>
        <v>2017</v>
      </c>
      <c r="D907" t="str">
        <f t="shared" si="76"/>
        <v>17</v>
      </c>
      <c r="E907" s="21">
        <f t="shared" si="77"/>
        <v>42848</v>
      </c>
      <c r="F907" s="17" t="str">
        <f t="shared" si="78"/>
        <v>2017-04</v>
      </c>
      <c r="G907" s="25">
        <f t="shared" si="79"/>
        <v>64.152000000000001</v>
      </c>
    </row>
    <row r="908" spans="1:7" x14ac:dyDescent="0.25">
      <c r="A908" s="18" t="s">
        <v>1081</v>
      </c>
      <c r="B908" s="28">
        <v>65.790000000000006</v>
      </c>
      <c r="C908" s="16" t="str">
        <f t="shared" si="75"/>
        <v>2017</v>
      </c>
      <c r="D908" t="str">
        <f t="shared" si="76"/>
        <v>18</v>
      </c>
      <c r="E908" s="21">
        <f t="shared" si="77"/>
        <v>42855</v>
      </c>
      <c r="F908" s="17" t="str">
        <f t="shared" si="78"/>
        <v>2017-04</v>
      </c>
      <c r="G908" s="25">
        <f t="shared" si="79"/>
        <v>64.152000000000001</v>
      </c>
    </row>
    <row r="909" spans="1:7" x14ac:dyDescent="0.25">
      <c r="A909" s="18" t="s">
        <v>1080</v>
      </c>
      <c r="B909" s="28">
        <v>70.180000000000007</v>
      </c>
      <c r="C909" s="16" t="str">
        <f t="shared" si="75"/>
        <v>2017</v>
      </c>
      <c r="D909" t="str">
        <f t="shared" si="76"/>
        <v>19</v>
      </c>
      <c r="E909" s="21">
        <f t="shared" si="77"/>
        <v>42862</v>
      </c>
      <c r="F909" s="17" t="str">
        <f t="shared" si="78"/>
        <v>2017-05</v>
      </c>
      <c r="G909" s="25">
        <f t="shared" si="79"/>
        <v>70.209999999999994</v>
      </c>
    </row>
    <row r="910" spans="1:7" x14ac:dyDescent="0.25">
      <c r="A910" s="18" t="s">
        <v>1079</v>
      </c>
      <c r="B910" s="28">
        <v>72.47</v>
      </c>
      <c r="C910" s="16" t="str">
        <f t="shared" si="75"/>
        <v>2017</v>
      </c>
      <c r="D910" t="str">
        <f t="shared" si="76"/>
        <v>20</v>
      </c>
      <c r="E910" s="21">
        <f t="shared" si="77"/>
        <v>42869</v>
      </c>
      <c r="F910" s="17" t="str">
        <f t="shared" si="78"/>
        <v>2017-05</v>
      </c>
      <c r="G910" s="25">
        <f t="shared" si="79"/>
        <v>70.209999999999994</v>
      </c>
    </row>
    <row r="911" spans="1:7" x14ac:dyDescent="0.25">
      <c r="A911" s="18" t="s">
        <v>1078</v>
      </c>
      <c r="B911" s="28">
        <v>72.17</v>
      </c>
      <c r="C911" s="16" t="str">
        <f t="shared" si="75"/>
        <v>2017</v>
      </c>
      <c r="D911" t="str">
        <f t="shared" si="76"/>
        <v>21</v>
      </c>
      <c r="E911" s="21">
        <f t="shared" si="77"/>
        <v>42876</v>
      </c>
      <c r="F911" s="17" t="str">
        <f t="shared" si="78"/>
        <v>2017-05</v>
      </c>
      <c r="G911" s="25">
        <f t="shared" si="79"/>
        <v>70.209999999999994</v>
      </c>
    </row>
    <row r="912" spans="1:7" x14ac:dyDescent="0.25">
      <c r="A912" s="18" t="s">
        <v>1077</v>
      </c>
      <c r="B912" s="28">
        <v>66.02</v>
      </c>
      <c r="C912" s="16" t="str">
        <f t="shared" si="75"/>
        <v>2017</v>
      </c>
      <c r="D912" t="str">
        <f t="shared" si="76"/>
        <v>22</v>
      </c>
      <c r="E912" s="21">
        <f t="shared" si="77"/>
        <v>42883</v>
      </c>
      <c r="F912" s="17" t="str">
        <f t="shared" si="78"/>
        <v>2017-05</v>
      </c>
      <c r="G912" s="25">
        <f t="shared" si="79"/>
        <v>70.209999999999994</v>
      </c>
    </row>
    <row r="913" spans="1:7" x14ac:dyDescent="0.25">
      <c r="A913" s="18" t="s">
        <v>1076</v>
      </c>
      <c r="B913" s="28">
        <v>69.91</v>
      </c>
      <c r="C913" s="16" t="str">
        <f t="shared" si="75"/>
        <v>2017</v>
      </c>
      <c r="D913" t="str">
        <f t="shared" si="76"/>
        <v>23</v>
      </c>
      <c r="E913" s="21">
        <f t="shared" si="77"/>
        <v>42890</v>
      </c>
      <c r="F913" s="17" t="str">
        <f t="shared" si="78"/>
        <v>2017-06</v>
      </c>
      <c r="G913" s="25">
        <f t="shared" si="79"/>
        <v>69.025000000000006</v>
      </c>
    </row>
    <row r="914" spans="1:7" x14ac:dyDescent="0.25">
      <c r="A914" s="18" t="s">
        <v>1075</v>
      </c>
      <c r="B914" s="28">
        <v>67.87</v>
      </c>
      <c r="C914" s="16" t="str">
        <f t="shared" si="75"/>
        <v>2017</v>
      </c>
      <c r="D914" t="str">
        <f t="shared" si="76"/>
        <v>24</v>
      </c>
      <c r="E914" s="21">
        <f t="shared" si="77"/>
        <v>42897</v>
      </c>
      <c r="F914" s="17" t="str">
        <f t="shared" si="78"/>
        <v>2017-06</v>
      </c>
      <c r="G914" s="25">
        <f t="shared" si="79"/>
        <v>69.025000000000006</v>
      </c>
    </row>
    <row r="915" spans="1:7" x14ac:dyDescent="0.25">
      <c r="A915" s="18" t="s">
        <v>1074</v>
      </c>
      <c r="B915" s="28">
        <v>68.959999999999994</v>
      </c>
      <c r="C915" s="16" t="str">
        <f t="shared" si="75"/>
        <v>2017</v>
      </c>
      <c r="D915" t="str">
        <f t="shared" si="76"/>
        <v>25</v>
      </c>
      <c r="E915" s="21">
        <f t="shared" si="77"/>
        <v>42904</v>
      </c>
      <c r="F915" s="17" t="str">
        <f t="shared" si="78"/>
        <v>2017-06</v>
      </c>
      <c r="G915" s="25">
        <f t="shared" si="79"/>
        <v>69.025000000000006</v>
      </c>
    </row>
    <row r="916" spans="1:7" x14ac:dyDescent="0.25">
      <c r="A916" s="18" t="s">
        <v>1073</v>
      </c>
      <c r="B916" s="28">
        <v>69.36</v>
      </c>
      <c r="C916" s="16" t="str">
        <f t="shared" ref="C916:C979" si="80">LEFT(A916,4)</f>
        <v>2017</v>
      </c>
      <c r="D916" t="str">
        <f t="shared" ref="D916:D979" si="81">RIGHT(A916,2)</f>
        <v>26</v>
      </c>
      <c r="E916" s="21">
        <f t="shared" si="77"/>
        <v>42911</v>
      </c>
      <c r="F916" s="17" t="str">
        <f t="shared" si="78"/>
        <v>2017-06</v>
      </c>
      <c r="G916" s="25">
        <f t="shared" si="79"/>
        <v>69.025000000000006</v>
      </c>
    </row>
    <row r="917" spans="1:7" x14ac:dyDescent="0.25">
      <c r="A917" s="18" t="s">
        <v>1072</v>
      </c>
      <c r="B917" s="28">
        <v>65.709999999999994</v>
      </c>
      <c r="C917" s="16" t="str">
        <f t="shared" si="80"/>
        <v>2017</v>
      </c>
      <c r="D917" t="str">
        <f t="shared" si="81"/>
        <v>27</v>
      </c>
      <c r="E917" s="21">
        <f t="shared" si="77"/>
        <v>42918</v>
      </c>
      <c r="F917" s="17" t="str">
        <f t="shared" si="78"/>
        <v>2017-07</v>
      </c>
      <c r="G917" s="25">
        <f t="shared" si="79"/>
        <v>63.342000000000006</v>
      </c>
    </row>
    <row r="918" spans="1:7" x14ac:dyDescent="0.25">
      <c r="A918" s="18" t="s">
        <v>1071</v>
      </c>
      <c r="B918" s="28">
        <v>63.22</v>
      </c>
      <c r="C918" s="16" t="str">
        <f t="shared" si="80"/>
        <v>2017</v>
      </c>
      <c r="D918" t="str">
        <f t="shared" si="81"/>
        <v>28</v>
      </c>
      <c r="E918" s="21">
        <f t="shared" si="77"/>
        <v>42925</v>
      </c>
      <c r="F918" s="17" t="str">
        <f t="shared" si="78"/>
        <v>2017-07</v>
      </c>
      <c r="G918" s="25">
        <f t="shared" si="79"/>
        <v>63.342000000000006</v>
      </c>
    </row>
    <row r="919" spans="1:7" x14ac:dyDescent="0.25">
      <c r="A919" s="18" t="s">
        <v>1070</v>
      </c>
      <c r="B919" s="28">
        <v>65.12</v>
      </c>
      <c r="C919" s="16" t="str">
        <f t="shared" si="80"/>
        <v>2017</v>
      </c>
      <c r="D919" t="str">
        <f t="shared" si="81"/>
        <v>29</v>
      </c>
      <c r="E919" s="21">
        <f t="shared" si="77"/>
        <v>42932</v>
      </c>
      <c r="F919" s="17" t="str">
        <f t="shared" si="78"/>
        <v>2017-07</v>
      </c>
      <c r="G919" s="25">
        <f t="shared" si="79"/>
        <v>63.342000000000006</v>
      </c>
    </row>
    <row r="920" spans="1:7" x14ac:dyDescent="0.25">
      <c r="A920" s="18" t="s">
        <v>1069</v>
      </c>
      <c r="B920" s="28">
        <v>62.11</v>
      </c>
      <c r="C920" s="16" t="str">
        <f t="shared" si="80"/>
        <v>2017</v>
      </c>
      <c r="D920" t="str">
        <f t="shared" si="81"/>
        <v>30</v>
      </c>
      <c r="E920" s="21">
        <f t="shared" si="77"/>
        <v>42939</v>
      </c>
      <c r="F920" s="17" t="str">
        <f t="shared" si="78"/>
        <v>2017-07</v>
      </c>
      <c r="G920" s="25">
        <f t="shared" si="79"/>
        <v>63.342000000000006</v>
      </c>
    </row>
    <row r="921" spans="1:7" x14ac:dyDescent="0.25">
      <c r="A921" s="18" t="s">
        <v>1068</v>
      </c>
      <c r="B921" s="28">
        <v>60.55</v>
      </c>
      <c r="C921" s="16" t="str">
        <f t="shared" si="80"/>
        <v>2017</v>
      </c>
      <c r="D921" t="str">
        <f t="shared" si="81"/>
        <v>31</v>
      </c>
      <c r="E921" s="21">
        <f t="shared" si="77"/>
        <v>42946</v>
      </c>
      <c r="F921" s="17" t="str">
        <f t="shared" si="78"/>
        <v>2017-07</v>
      </c>
      <c r="G921" s="25">
        <f t="shared" si="79"/>
        <v>63.342000000000006</v>
      </c>
    </row>
    <row r="922" spans="1:7" x14ac:dyDescent="0.25">
      <c r="A922" s="18" t="s">
        <v>1067</v>
      </c>
      <c r="B922" s="28">
        <v>59.53</v>
      </c>
      <c r="C922" s="16" t="str">
        <f t="shared" si="80"/>
        <v>2017</v>
      </c>
      <c r="D922" t="str">
        <f t="shared" si="81"/>
        <v>32</v>
      </c>
      <c r="E922" s="21">
        <f t="shared" si="77"/>
        <v>42953</v>
      </c>
      <c r="F922" s="17" t="str">
        <f t="shared" si="78"/>
        <v>2017-08</v>
      </c>
      <c r="G922" s="25">
        <f t="shared" si="79"/>
        <v>56.712499999999991</v>
      </c>
    </row>
    <row r="923" spans="1:7" x14ac:dyDescent="0.25">
      <c r="A923" s="18" t="s">
        <v>1066</v>
      </c>
      <c r="B923" s="28">
        <v>55.63</v>
      </c>
      <c r="C923" s="16" t="str">
        <f t="shared" si="80"/>
        <v>2017</v>
      </c>
      <c r="D923" t="str">
        <f t="shared" si="81"/>
        <v>33</v>
      </c>
      <c r="E923" s="21">
        <f t="shared" si="77"/>
        <v>42960</v>
      </c>
      <c r="F923" s="17" t="str">
        <f t="shared" si="78"/>
        <v>2017-08</v>
      </c>
      <c r="G923" s="25">
        <f t="shared" si="79"/>
        <v>56.712499999999991</v>
      </c>
    </row>
    <row r="924" spans="1:7" x14ac:dyDescent="0.25">
      <c r="A924" s="18" t="s">
        <v>1065</v>
      </c>
      <c r="B924" s="28">
        <v>56.8</v>
      </c>
      <c r="C924" s="16" t="str">
        <f t="shared" si="80"/>
        <v>2017</v>
      </c>
      <c r="D924" t="str">
        <f t="shared" si="81"/>
        <v>34</v>
      </c>
      <c r="E924" s="21">
        <f t="shared" si="77"/>
        <v>42967</v>
      </c>
      <c r="F924" s="17" t="str">
        <f t="shared" si="78"/>
        <v>2017-08</v>
      </c>
      <c r="G924" s="25">
        <f t="shared" si="79"/>
        <v>56.712499999999991</v>
      </c>
    </row>
    <row r="925" spans="1:7" x14ac:dyDescent="0.25">
      <c r="A925" s="18" t="s">
        <v>1064</v>
      </c>
      <c r="B925" s="28">
        <v>54.89</v>
      </c>
      <c r="C925" s="16" t="str">
        <f t="shared" si="80"/>
        <v>2017</v>
      </c>
      <c r="D925" t="str">
        <f t="shared" si="81"/>
        <v>35</v>
      </c>
      <c r="E925" s="21">
        <f t="shared" si="77"/>
        <v>42974</v>
      </c>
      <c r="F925" s="17" t="str">
        <f t="shared" si="78"/>
        <v>2017-08</v>
      </c>
      <c r="G925" s="25">
        <f t="shared" si="79"/>
        <v>56.712499999999991</v>
      </c>
    </row>
    <row r="926" spans="1:7" x14ac:dyDescent="0.25">
      <c r="A926" s="18" t="s">
        <v>1063</v>
      </c>
      <c r="B926" s="28">
        <v>55.56</v>
      </c>
      <c r="C926" s="16" t="str">
        <f t="shared" si="80"/>
        <v>2017</v>
      </c>
      <c r="D926" t="str">
        <f t="shared" si="81"/>
        <v>36</v>
      </c>
      <c r="E926" s="21">
        <f t="shared" si="77"/>
        <v>42981</v>
      </c>
      <c r="F926" s="17" t="str">
        <f t="shared" si="78"/>
        <v>2017-09</v>
      </c>
      <c r="G926" s="25">
        <f t="shared" si="79"/>
        <v>55.48</v>
      </c>
    </row>
    <row r="927" spans="1:7" x14ac:dyDescent="0.25">
      <c r="A927" s="18" t="s">
        <v>1062</v>
      </c>
      <c r="B927" s="28">
        <v>53.85</v>
      </c>
      <c r="C927" s="16" t="str">
        <f t="shared" si="80"/>
        <v>2017</v>
      </c>
      <c r="D927" t="str">
        <f t="shared" si="81"/>
        <v>37</v>
      </c>
      <c r="E927" s="21">
        <f t="shared" si="77"/>
        <v>42988</v>
      </c>
      <c r="F927" s="17" t="str">
        <f t="shared" si="78"/>
        <v>2017-09</v>
      </c>
      <c r="G927" s="25">
        <f t="shared" si="79"/>
        <v>55.48</v>
      </c>
    </row>
    <row r="928" spans="1:7" x14ac:dyDescent="0.25">
      <c r="A928" s="18" t="s">
        <v>1061</v>
      </c>
      <c r="B928" s="28">
        <v>55.3</v>
      </c>
      <c r="C928" s="16" t="str">
        <f t="shared" si="80"/>
        <v>2017</v>
      </c>
      <c r="D928" t="str">
        <f t="shared" si="81"/>
        <v>38</v>
      </c>
      <c r="E928" s="21">
        <f t="shared" si="77"/>
        <v>42995</v>
      </c>
      <c r="F928" s="17" t="str">
        <f t="shared" si="78"/>
        <v>2017-09</v>
      </c>
      <c r="G928" s="25">
        <f t="shared" si="79"/>
        <v>55.48</v>
      </c>
    </row>
    <row r="929" spans="1:7" x14ac:dyDescent="0.25">
      <c r="A929" s="18" t="s">
        <v>1060</v>
      </c>
      <c r="B929" s="28">
        <v>57.21</v>
      </c>
      <c r="C929" s="16" t="str">
        <f t="shared" si="80"/>
        <v>2017</v>
      </c>
      <c r="D929" t="str">
        <f t="shared" si="81"/>
        <v>39</v>
      </c>
      <c r="E929" s="21">
        <f t="shared" si="77"/>
        <v>43002</v>
      </c>
      <c r="F929" s="17" t="str">
        <f t="shared" si="78"/>
        <v>2017-09</v>
      </c>
      <c r="G929" s="25">
        <f t="shared" si="79"/>
        <v>55.48</v>
      </c>
    </row>
    <row r="930" spans="1:7" x14ac:dyDescent="0.25">
      <c r="A930" s="18" t="s">
        <v>1059</v>
      </c>
      <c r="B930" s="28">
        <v>56.61</v>
      </c>
      <c r="C930" s="16" t="str">
        <f t="shared" si="80"/>
        <v>2017</v>
      </c>
      <c r="D930" t="str">
        <f t="shared" si="81"/>
        <v>40</v>
      </c>
      <c r="E930" s="21">
        <f t="shared" si="77"/>
        <v>43009</v>
      </c>
      <c r="F930" s="17" t="str">
        <f t="shared" si="78"/>
        <v>2017-10</v>
      </c>
      <c r="G930" s="25">
        <f t="shared" si="79"/>
        <v>53.734000000000002</v>
      </c>
    </row>
    <row r="931" spans="1:7" x14ac:dyDescent="0.25">
      <c r="A931" s="18" t="s">
        <v>1058</v>
      </c>
      <c r="B931" s="28">
        <v>54.52</v>
      </c>
      <c r="C931" s="16" t="str">
        <f t="shared" si="80"/>
        <v>2017</v>
      </c>
      <c r="D931" t="str">
        <f t="shared" si="81"/>
        <v>41</v>
      </c>
      <c r="E931" s="21">
        <f t="shared" si="77"/>
        <v>43016</v>
      </c>
      <c r="F931" s="17" t="str">
        <f t="shared" si="78"/>
        <v>2017-10</v>
      </c>
      <c r="G931" s="25">
        <f t="shared" si="79"/>
        <v>53.734000000000002</v>
      </c>
    </row>
    <row r="932" spans="1:7" x14ac:dyDescent="0.25">
      <c r="A932" s="18" t="s">
        <v>1057</v>
      </c>
      <c r="B932" s="28">
        <v>55.32</v>
      </c>
      <c r="C932" s="16" t="str">
        <f t="shared" si="80"/>
        <v>2017</v>
      </c>
      <c r="D932" t="str">
        <f t="shared" si="81"/>
        <v>42</v>
      </c>
      <c r="E932" s="21">
        <f t="shared" si="77"/>
        <v>43023</v>
      </c>
      <c r="F932" s="17" t="str">
        <f t="shared" si="78"/>
        <v>2017-10</v>
      </c>
      <c r="G932" s="25">
        <f t="shared" si="79"/>
        <v>53.734000000000002</v>
      </c>
    </row>
    <row r="933" spans="1:7" x14ac:dyDescent="0.25">
      <c r="A933" s="18" t="s">
        <v>1056</v>
      </c>
      <c r="B933" s="28">
        <v>53.17</v>
      </c>
      <c r="C933" s="16" t="str">
        <f t="shared" si="80"/>
        <v>2017</v>
      </c>
      <c r="D933" t="str">
        <f t="shared" si="81"/>
        <v>43</v>
      </c>
      <c r="E933" s="21">
        <f t="shared" si="77"/>
        <v>43030</v>
      </c>
      <c r="F933" s="17" t="str">
        <f t="shared" si="78"/>
        <v>2017-10</v>
      </c>
      <c r="G933" s="25">
        <f t="shared" si="79"/>
        <v>53.734000000000002</v>
      </c>
    </row>
    <row r="934" spans="1:7" x14ac:dyDescent="0.25">
      <c r="A934" s="18" t="s">
        <v>1055</v>
      </c>
      <c r="B934" s="28">
        <v>49.05</v>
      </c>
      <c r="C934" s="16" t="str">
        <f t="shared" si="80"/>
        <v>2017</v>
      </c>
      <c r="D934" t="str">
        <f t="shared" si="81"/>
        <v>44</v>
      </c>
      <c r="E934" s="21">
        <f t="shared" si="77"/>
        <v>43037</v>
      </c>
      <c r="F934" s="17" t="str">
        <f t="shared" si="78"/>
        <v>2017-10</v>
      </c>
      <c r="G934" s="25">
        <f t="shared" si="79"/>
        <v>53.734000000000002</v>
      </c>
    </row>
    <row r="935" spans="1:7" x14ac:dyDescent="0.25">
      <c r="A935" s="18" t="s">
        <v>1054</v>
      </c>
      <c r="B935" s="28">
        <v>51.25</v>
      </c>
      <c r="C935" s="16" t="str">
        <f t="shared" si="80"/>
        <v>2017</v>
      </c>
      <c r="D935" t="str">
        <f t="shared" si="81"/>
        <v>45</v>
      </c>
      <c r="E935" s="21">
        <f t="shared" si="77"/>
        <v>43044</v>
      </c>
      <c r="F935" s="17" t="str">
        <f t="shared" si="78"/>
        <v>2017-11</v>
      </c>
      <c r="G935" s="25">
        <f t="shared" si="79"/>
        <v>50.702500000000001</v>
      </c>
    </row>
    <row r="936" spans="1:7" x14ac:dyDescent="0.25">
      <c r="A936" s="18" t="s">
        <v>1053</v>
      </c>
      <c r="B936" s="28">
        <v>53.89</v>
      </c>
      <c r="C936" s="16" t="str">
        <f t="shared" si="80"/>
        <v>2017</v>
      </c>
      <c r="D936" t="str">
        <f t="shared" si="81"/>
        <v>46</v>
      </c>
      <c r="E936" s="21">
        <f t="shared" si="77"/>
        <v>43051</v>
      </c>
      <c r="F936" s="17" t="str">
        <f t="shared" si="78"/>
        <v>2017-11</v>
      </c>
      <c r="G936" s="25">
        <f t="shared" si="79"/>
        <v>50.702500000000001</v>
      </c>
    </row>
    <row r="937" spans="1:7" x14ac:dyDescent="0.25">
      <c r="A937" s="18" t="s">
        <v>1052</v>
      </c>
      <c r="B937" s="28">
        <v>49.02</v>
      </c>
      <c r="C937" s="16" t="str">
        <f t="shared" si="80"/>
        <v>2017</v>
      </c>
      <c r="D937" t="str">
        <f t="shared" si="81"/>
        <v>47</v>
      </c>
      <c r="E937" s="21">
        <f t="shared" si="77"/>
        <v>43058</v>
      </c>
      <c r="F937" s="17" t="str">
        <f t="shared" si="78"/>
        <v>2017-11</v>
      </c>
      <c r="G937" s="25">
        <f t="shared" si="79"/>
        <v>50.702500000000001</v>
      </c>
    </row>
    <row r="938" spans="1:7" x14ac:dyDescent="0.25">
      <c r="A938" s="18" t="s">
        <v>1051</v>
      </c>
      <c r="B938" s="28">
        <v>48.65</v>
      </c>
      <c r="C938" s="16" t="str">
        <f t="shared" si="80"/>
        <v>2017</v>
      </c>
      <c r="D938" t="str">
        <f t="shared" si="81"/>
        <v>48</v>
      </c>
      <c r="E938" s="21">
        <f t="shared" si="77"/>
        <v>43065</v>
      </c>
      <c r="F938" s="17" t="str">
        <f t="shared" si="78"/>
        <v>2017-11</v>
      </c>
      <c r="G938" s="25">
        <f t="shared" si="79"/>
        <v>50.702500000000001</v>
      </c>
    </row>
    <row r="939" spans="1:7" x14ac:dyDescent="0.25">
      <c r="A939" s="18" t="s">
        <v>1050</v>
      </c>
      <c r="B939" s="28">
        <v>53.36</v>
      </c>
      <c r="C939" s="16" t="str">
        <f t="shared" si="80"/>
        <v>2017</v>
      </c>
      <c r="D939" t="str">
        <f t="shared" si="81"/>
        <v>49</v>
      </c>
      <c r="E939" s="21">
        <f t="shared" si="77"/>
        <v>43072</v>
      </c>
      <c r="F939" s="17" t="str">
        <f t="shared" si="78"/>
        <v>2017-12</v>
      </c>
      <c r="G939" s="25">
        <f t="shared" si="79"/>
        <v>54.519999999999996</v>
      </c>
    </row>
    <row r="940" spans="1:7" x14ac:dyDescent="0.25">
      <c r="A940" s="18" t="s">
        <v>1049</v>
      </c>
      <c r="B940" s="28">
        <v>53.76</v>
      </c>
      <c r="C940" s="16" t="str">
        <f t="shared" si="80"/>
        <v>2017</v>
      </c>
      <c r="D940" t="str">
        <f t="shared" si="81"/>
        <v>50</v>
      </c>
      <c r="E940" s="21">
        <f t="shared" si="77"/>
        <v>43079</v>
      </c>
      <c r="F940" s="17" t="str">
        <f t="shared" si="78"/>
        <v>2017-12</v>
      </c>
      <c r="G940" s="25">
        <f t="shared" si="79"/>
        <v>54.519999999999996</v>
      </c>
    </row>
    <row r="941" spans="1:7" x14ac:dyDescent="0.25">
      <c r="A941" s="18" t="s">
        <v>1048</v>
      </c>
      <c r="B941" s="28">
        <v>54.73</v>
      </c>
      <c r="C941" s="16" t="str">
        <f t="shared" si="80"/>
        <v>2017</v>
      </c>
      <c r="D941" t="str">
        <f t="shared" si="81"/>
        <v>51</v>
      </c>
      <c r="E941" s="21">
        <f t="shared" si="77"/>
        <v>43086</v>
      </c>
      <c r="F941" s="17" t="str">
        <f t="shared" si="78"/>
        <v>2017-12</v>
      </c>
      <c r="G941" s="25">
        <f t="shared" si="79"/>
        <v>54.519999999999996</v>
      </c>
    </row>
    <row r="942" spans="1:7" x14ac:dyDescent="0.25">
      <c r="A942" s="18" t="s">
        <v>1047</v>
      </c>
      <c r="B942" s="28">
        <v>56.23</v>
      </c>
      <c r="C942" s="16" t="str">
        <f t="shared" si="80"/>
        <v>2017</v>
      </c>
      <c r="D942" t="str">
        <f t="shared" si="81"/>
        <v>52</v>
      </c>
      <c r="E942" s="21">
        <f t="shared" si="77"/>
        <v>43093</v>
      </c>
      <c r="F942" s="17" t="str">
        <f t="shared" si="78"/>
        <v>2017-12</v>
      </c>
      <c r="G942" s="25">
        <f t="shared" si="79"/>
        <v>54.519999999999996</v>
      </c>
    </row>
    <row r="943" spans="1:7" x14ac:dyDescent="0.25">
      <c r="A943" s="18" t="s">
        <v>1046</v>
      </c>
      <c r="B943" s="28">
        <v>58.52</v>
      </c>
      <c r="C943" s="16" t="str">
        <f t="shared" si="80"/>
        <v>2018</v>
      </c>
      <c r="D943" t="str">
        <f t="shared" si="81"/>
        <v>01</v>
      </c>
      <c r="E943" s="21">
        <f t="shared" si="77"/>
        <v>43101</v>
      </c>
      <c r="F943" s="17" t="str">
        <f t="shared" si="78"/>
        <v>2018-01</v>
      </c>
      <c r="G943" s="25">
        <f t="shared" si="79"/>
        <v>57.016000000000005</v>
      </c>
    </row>
    <row r="944" spans="1:7" x14ac:dyDescent="0.25">
      <c r="A944" s="18" t="s">
        <v>1045</v>
      </c>
      <c r="B944" s="28">
        <v>57.28</v>
      </c>
      <c r="C944" s="16" t="str">
        <f t="shared" si="80"/>
        <v>2018</v>
      </c>
      <c r="D944" t="str">
        <f t="shared" si="81"/>
        <v>02</v>
      </c>
      <c r="E944" s="21">
        <f t="shared" si="77"/>
        <v>43108</v>
      </c>
      <c r="F944" s="17" t="str">
        <f t="shared" si="78"/>
        <v>2018-01</v>
      </c>
      <c r="G944" s="25">
        <f t="shared" si="79"/>
        <v>57.016000000000005</v>
      </c>
    </row>
    <row r="945" spans="1:7" x14ac:dyDescent="0.25">
      <c r="A945" s="18" t="s">
        <v>1044</v>
      </c>
      <c r="B945" s="28">
        <v>55.46</v>
      </c>
      <c r="C945" s="16" t="str">
        <f t="shared" si="80"/>
        <v>2018</v>
      </c>
      <c r="D945" t="str">
        <f t="shared" si="81"/>
        <v>03</v>
      </c>
      <c r="E945" s="21">
        <f t="shared" si="77"/>
        <v>43115</v>
      </c>
      <c r="F945" s="17" t="str">
        <f t="shared" si="78"/>
        <v>2018-01</v>
      </c>
      <c r="G945" s="25">
        <f t="shared" si="79"/>
        <v>57.016000000000005</v>
      </c>
    </row>
    <row r="946" spans="1:7" x14ac:dyDescent="0.25">
      <c r="A946" s="18" t="s">
        <v>1043</v>
      </c>
      <c r="B946" s="28">
        <v>56.96</v>
      </c>
      <c r="C946" s="16" t="str">
        <f t="shared" si="80"/>
        <v>2018</v>
      </c>
      <c r="D946" t="str">
        <f t="shared" si="81"/>
        <v>04</v>
      </c>
      <c r="E946" s="21">
        <f t="shared" si="77"/>
        <v>43122</v>
      </c>
      <c r="F946" s="17" t="str">
        <f t="shared" si="78"/>
        <v>2018-01</v>
      </c>
      <c r="G946" s="25">
        <f t="shared" si="79"/>
        <v>57.016000000000005</v>
      </c>
    </row>
    <row r="947" spans="1:7" x14ac:dyDescent="0.25">
      <c r="A947" s="18" t="s">
        <v>1042</v>
      </c>
      <c r="B947" s="28">
        <v>56.86</v>
      </c>
      <c r="C947" s="16" t="str">
        <f t="shared" si="80"/>
        <v>2018</v>
      </c>
      <c r="D947" t="str">
        <f t="shared" si="81"/>
        <v>05</v>
      </c>
      <c r="E947" s="21">
        <f t="shared" si="77"/>
        <v>43129</v>
      </c>
      <c r="F947" s="17" t="str">
        <f t="shared" si="78"/>
        <v>2018-01</v>
      </c>
      <c r="G947" s="25">
        <f t="shared" si="79"/>
        <v>57.016000000000005</v>
      </c>
    </row>
    <row r="948" spans="1:7" x14ac:dyDescent="0.25">
      <c r="A948" s="18" t="s">
        <v>1041</v>
      </c>
      <c r="B948" s="28">
        <v>54.69</v>
      </c>
      <c r="C948" s="16" t="str">
        <f t="shared" si="80"/>
        <v>2018</v>
      </c>
      <c r="D948" t="str">
        <f t="shared" si="81"/>
        <v>06</v>
      </c>
      <c r="E948" s="21">
        <f t="shared" si="77"/>
        <v>43136</v>
      </c>
      <c r="F948" s="17" t="str">
        <f t="shared" si="78"/>
        <v>2018-02</v>
      </c>
      <c r="G948" s="25">
        <f t="shared" si="79"/>
        <v>59.642500000000005</v>
      </c>
    </row>
    <row r="949" spans="1:7" x14ac:dyDescent="0.25">
      <c r="A949" s="18" t="s">
        <v>1040</v>
      </c>
      <c r="B949" s="28">
        <v>56.52</v>
      </c>
      <c r="C949" s="16" t="str">
        <f t="shared" si="80"/>
        <v>2018</v>
      </c>
      <c r="D949" t="str">
        <f t="shared" si="81"/>
        <v>07</v>
      </c>
      <c r="E949" s="21">
        <f t="shared" si="77"/>
        <v>43143</v>
      </c>
      <c r="F949" s="17" t="str">
        <f t="shared" si="78"/>
        <v>2018-02</v>
      </c>
      <c r="G949" s="25">
        <f t="shared" si="79"/>
        <v>59.642500000000005</v>
      </c>
    </row>
    <row r="950" spans="1:7" x14ac:dyDescent="0.25">
      <c r="A950" s="18" t="s">
        <v>1039</v>
      </c>
      <c r="B950" s="28">
        <v>62.2</v>
      </c>
      <c r="C950" s="16" t="str">
        <f t="shared" si="80"/>
        <v>2018</v>
      </c>
      <c r="D950" t="str">
        <f t="shared" si="81"/>
        <v>08</v>
      </c>
      <c r="E950" s="21">
        <f t="shared" si="77"/>
        <v>43150</v>
      </c>
      <c r="F950" s="17" t="str">
        <f t="shared" si="78"/>
        <v>2018-02</v>
      </c>
      <c r="G950" s="25">
        <f t="shared" si="79"/>
        <v>59.642500000000005</v>
      </c>
    </row>
    <row r="951" spans="1:7" x14ac:dyDescent="0.25">
      <c r="A951" s="18" t="s">
        <v>1038</v>
      </c>
      <c r="B951" s="28">
        <v>65.16</v>
      </c>
      <c r="C951" s="16" t="str">
        <f t="shared" si="80"/>
        <v>2018</v>
      </c>
      <c r="D951" t="str">
        <f t="shared" si="81"/>
        <v>09</v>
      </c>
      <c r="E951" s="21">
        <f t="shared" si="77"/>
        <v>43157</v>
      </c>
      <c r="F951" s="17" t="str">
        <f t="shared" si="78"/>
        <v>2018-02</v>
      </c>
      <c r="G951" s="25">
        <f t="shared" si="79"/>
        <v>59.642500000000005</v>
      </c>
    </row>
    <row r="952" spans="1:7" x14ac:dyDescent="0.25">
      <c r="A952" s="18" t="s">
        <v>1037</v>
      </c>
      <c r="B952" s="28">
        <v>67.569999999999993</v>
      </c>
      <c r="C952" s="16" t="str">
        <f t="shared" si="80"/>
        <v>2018</v>
      </c>
      <c r="D952" t="str">
        <f t="shared" si="81"/>
        <v>10</v>
      </c>
      <c r="E952" s="21">
        <f t="shared" si="77"/>
        <v>43164</v>
      </c>
      <c r="F952" s="17" t="str">
        <f t="shared" si="78"/>
        <v>2018-03</v>
      </c>
      <c r="G952" s="25">
        <f t="shared" si="79"/>
        <v>68.094999999999999</v>
      </c>
    </row>
    <row r="953" spans="1:7" x14ac:dyDescent="0.25">
      <c r="A953" s="18" t="s">
        <v>1036</v>
      </c>
      <c r="B953" s="28">
        <v>67.94</v>
      </c>
      <c r="C953" s="16" t="str">
        <f t="shared" si="80"/>
        <v>2018</v>
      </c>
      <c r="D953" t="str">
        <f t="shared" si="81"/>
        <v>11</v>
      </c>
      <c r="E953" s="21">
        <f t="shared" si="77"/>
        <v>43171</v>
      </c>
      <c r="F953" s="17" t="str">
        <f t="shared" si="78"/>
        <v>2018-03</v>
      </c>
      <c r="G953" s="25">
        <f t="shared" si="79"/>
        <v>68.094999999999999</v>
      </c>
    </row>
    <row r="954" spans="1:7" x14ac:dyDescent="0.25">
      <c r="A954" s="18" t="s">
        <v>1035</v>
      </c>
      <c r="B954" s="28">
        <v>65.12</v>
      </c>
      <c r="C954" s="16" t="str">
        <f t="shared" si="80"/>
        <v>2018</v>
      </c>
      <c r="D954" t="str">
        <f t="shared" si="81"/>
        <v>12</v>
      </c>
      <c r="E954" s="21">
        <f t="shared" si="77"/>
        <v>43178</v>
      </c>
      <c r="F954" s="17" t="str">
        <f t="shared" si="78"/>
        <v>2018-03</v>
      </c>
      <c r="G954" s="25">
        <f t="shared" si="79"/>
        <v>68.094999999999999</v>
      </c>
    </row>
    <row r="955" spans="1:7" x14ac:dyDescent="0.25">
      <c r="A955" s="18" t="s">
        <v>1034</v>
      </c>
      <c r="B955" s="28">
        <v>71.75</v>
      </c>
      <c r="C955" s="16" t="str">
        <f t="shared" si="80"/>
        <v>2018</v>
      </c>
      <c r="D955" t="str">
        <f t="shared" si="81"/>
        <v>13</v>
      </c>
      <c r="E955" s="21">
        <f t="shared" si="77"/>
        <v>43185</v>
      </c>
      <c r="F955" s="17" t="str">
        <f t="shared" si="78"/>
        <v>2018-03</v>
      </c>
      <c r="G955" s="25">
        <f t="shared" si="79"/>
        <v>68.094999999999999</v>
      </c>
    </row>
    <row r="956" spans="1:7" x14ac:dyDescent="0.25">
      <c r="A956" s="18" t="s">
        <v>1033</v>
      </c>
      <c r="B956" s="28">
        <v>71.5</v>
      </c>
      <c r="C956" s="16" t="str">
        <f t="shared" si="80"/>
        <v>2018</v>
      </c>
      <c r="D956" t="str">
        <f t="shared" si="81"/>
        <v>14</v>
      </c>
      <c r="E956" s="21">
        <f t="shared" si="77"/>
        <v>43192</v>
      </c>
      <c r="F956" s="17" t="str">
        <f t="shared" si="78"/>
        <v>2018-04</v>
      </c>
      <c r="G956" s="25">
        <f t="shared" si="79"/>
        <v>68.996000000000009</v>
      </c>
    </row>
    <row r="957" spans="1:7" x14ac:dyDescent="0.25">
      <c r="A957" s="18" t="s">
        <v>1032</v>
      </c>
      <c r="B957" s="28">
        <v>68.209999999999994</v>
      </c>
      <c r="C957" s="16" t="str">
        <f t="shared" si="80"/>
        <v>2018</v>
      </c>
      <c r="D957" t="str">
        <f t="shared" si="81"/>
        <v>15</v>
      </c>
      <c r="E957" s="21">
        <f t="shared" si="77"/>
        <v>43199</v>
      </c>
      <c r="F957" s="17" t="str">
        <f t="shared" si="78"/>
        <v>2018-04</v>
      </c>
      <c r="G957" s="25">
        <f t="shared" si="79"/>
        <v>68.996000000000009</v>
      </c>
    </row>
    <row r="958" spans="1:7" x14ac:dyDescent="0.25">
      <c r="A958" s="18" t="s">
        <v>1031</v>
      </c>
      <c r="B958" s="28">
        <v>67.319999999999993</v>
      </c>
      <c r="C958" s="16" t="str">
        <f t="shared" si="80"/>
        <v>2018</v>
      </c>
      <c r="D958" t="str">
        <f t="shared" si="81"/>
        <v>16</v>
      </c>
      <c r="E958" s="21">
        <f t="shared" si="77"/>
        <v>43206</v>
      </c>
      <c r="F958" s="17" t="str">
        <f t="shared" si="78"/>
        <v>2018-04</v>
      </c>
      <c r="G958" s="25">
        <f t="shared" si="79"/>
        <v>68.996000000000009</v>
      </c>
    </row>
    <row r="959" spans="1:7" x14ac:dyDescent="0.25">
      <c r="A959" s="18" t="s">
        <v>1030</v>
      </c>
      <c r="B959" s="28">
        <v>66.790000000000006</v>
      </c>
      <c r="C959" s="16" t="str">
        <f t="shared" si="80"/>
        <v>2018</v>
      </c>
      <c r="D959" t="str">
        <f t="shared" si="81"/>
        <v>17</v>
      </c>
      <c r="E959" s="21">
        <f t="shared" si="77"/>
        <v>43213</v>
      </c>
      <c r="F959" s="17" t="str">
        <f t="shared" si="78"/>
        <v>2018-04</v>
      </c>
      <c r="G959" s="25">
        <f t="shared" si="79"/>
        <v>68.996000000000009</v>
      </c>
    </row>
    <row r="960" spans="1:7" x14ac:dyDescent="0.25">
      <c r="A960" s="18" t="s">
        <v>1029</v>
      </c>
      <c r="B960" s="28">
        <v>71.16</v>
      </c>
      <c r="C960" s="16" t="str">
        <f t="shared" si="80"/>
        <v>2018</v>
      </c>
      <c r="D960" t="str">
        <f t="shared" si="81"/>
        <v>18</v>
      </c>
      <c r="E960" s="21">
        <f t="shared" si="77"/>
        <v>43220</v>
      </c>
      <c r="F960" s="17" t="str">
        <f t="shared" si="78"/>
        <v>2018-04</v>
      </c>
      <c r="G960" s="25">
        <f t="shared" si="79"/>
        <v>68.996000000000009</v>
      </c>
    </row>
    <row r="961" spans="1:7" x14ac:dyDescent="0.25">
      <c r="A961" s="18" t="s">
        <v>1028</v>
      </c>
      <c r="B961" s="28">
        <v>75.400000000000006</v>
      </c>
      <c r="C961" s="16" t="str">
        <f t="shared" si="80"/>
        <v>2018</v>
      </c>
      <c r="D961" t="str">
        <f t="shared" si="81"/>
        <v>19</v>
      </c>
      <c r="E961" s="21">
        <f t="shared" si="77"/>
        <v>43227</v>
      </c>
      <c r="F961" s="17" t="str">
        <f t="shared" si="78"/>
        <v>2018-05</v>
      </c>
      <c r="G961" s="25">
        <f t="shared" si="79"/>
        <v>72.842500000000001</v>
      </c>
    </row>
    <row r="962" spans="1:7" x14ac:dyDescent="0.25">
      <c r="A962" s="18" t="s">
        <v>1027</v>
      </c>
      <c r="B962" s="28">
        <v>76.09</v>
      </c>
      <c r="C962" s="16" t="str">
        <f t="shared" si="80"/>
        <v>2018</v>
      </c>
      <c r="D962" t="str">
        <f t="shared" si="81"/>
        <v>20</v>
      </c>
      <c r="E962" s="21">
        <f t="shared" si="77"/>
        <v>43234</v>
      </c>
      <c r="F962" s="17" t="str">
        <f t="shared" si="78"/>
        <v>2018-05</v>
      </c>
      <c r="G962" s="25">
        <f t="shared" si="79"/>
        <v>72.842500000000001</v>
      </c>
    </row>
    <row r="963" spans="1:7" x14ac:dyDescent="0.25">
      <c r="A963" s="18" t="s">
        <v>1026</v>
      </c>
      <c r="B963" s="28">
        <v>73.709999999999994</v>
      </c>
      <c r="C963" s="16" t="str">
        <f t="shared" si="80"/>
        <v>2018</v>
      </c>
      <c r="D963" t="str">
        <f t="shared" si="81"/>
        <v>21</v>
      </c>
      <c r="E963" s="21">
        <f t="shared" si="77"/>
        <v>43241</v>
      </c>
      <c r="F963" s="17" t="str">
        <f t="shared" si="78"/>
        <v>2018-05</v>
      </c>
      <c r="G963" s="25">
        <f t="shared" si="79"/>
        <v>72.842500000000001</v>
      </c>
    </row>
    <row r="964" spans="1:7" x14ac:dyDescent="0.25">
      <c r="A964" s="18" t="s">
        <v>1025</v>
      </c>
      <c r="B964" s="28">
        <v>66.17</v>
      </c>
      <c r="C964" s="16" t="str">
        <f t="shared" si="80"/>
        <v>2018</v>
      </c>
      <c r="D964" t="str">
        <f t="shared" si="81"/>
        <v>22</v>
      </c>
      <c r="E964" s="21">
        <f t="shared" si="77"/>
        <v>43248</v>
      </c>
      <c r="F964" s="17" t="str">
        <f t="shared" si="78"/>
        <v>2018-05</v>
      </c>
      <c r="G964" s="25">
        <f t="shared" si="79"/>
        <v>72.842500000000001</v>
      </c>
    </row>
    <row r="965" spans="1:7" x14ac:dyDescent="0.25">
      <c r="A965" s="18" t="s">
        <v>1024</v>
      </c>
      <c r="B965" s="28">
        <v>61.34</v>
      </c>
      <c r="C965" s="16" t="str">
        <f t="shared" si="80"/>
        <v>2018</v>
      </c>
      <c r="D965" t="str">
        <f t="shared" si="81"/>
        <v>23</v>
      </c>
      <c r="E965" s="21">
        <f t="shared" ref="E965:E1028" si="82">DATE(C965,1,1)+(D965-1)*7</f>
        <v>43255</v>
      </c>
      <c r="F965" s="17" t="str">
        <f t="shared" ref="F965:F1028" si="83">TEXT(E965,"éééé-hh")</f>
        <v>2018-06</v>
      </c>
      <c r="G965" s="25">
        <f t="shared" ref="G965:G1028" si="84">AVERAGEIF($F$4:$F$1353,F965,$B$4:$B$1353)</f>
        <v>61.572500000000005</v>
      </c>
    </row>
    <row r="966" spans="1:7" x14ac:dyDescent="0.25">
      <c r="A966" s="18" t="s">
        <v>1023</v>
      </c>
      <c r="B966" s="28">
        <v>65</v>
      </c>
      <c r="C966" s="16" t="str">
        <f t="shared" si="80"/>
        <v>2018</v>
      </c>
      <c r="D966" t="str">
        <f t="shared" si="81"/>
        <v>24</v>
      </c>
      <c r="E966" s="21">
        <f t="shared" si="82"/>
        <v>43262</v>
      </c>
      <c r="F966" s="17" t="str">
        <f t="shared" si="83"/>
        <v>2018-06</v>
      </c>
      <c r="G966" s="25">
        <f t="shared" si="84"/>
        <v>61.572500000000005</v>
      </c>
    </row>
    <row r="967" spans="1:7" x14ac:dyDescent="0.25">
      <c r="A967" s="18" t="s">
        <v>1022</v>
      </c>
      <c r="B967" s="28">
        <v>61.7</v>
      </c>
      <c r="C967" s="16" t="str">
        <f t="shared" si="80"/>
        <v>2018</v>
      </c>
      <c r="D967" t="str">
        <f t="shared" si="81"/>
        <v>25</v>
      </c>
      <c r="E967" s="21">
        <f t="shared" si="82"/>
        <v>43269</v>
      </c>
      <c r="F967" s="17" t="str">
        <f t="shared" si="83"/>
        <v>2018-06</v>
      </c>
      <c r="G967" s="25">
        <f t="shared" si="84"/>
        <v>61.572500000000005</v>
      </c>
    </row>
    <row r="968" spans="1:7" x14ac:dyDescent="0.25">
      <c r="A968" s="18" t="s">
        <v>1021</v>
      </c>
      <c r="B968" s="28">
        <v>58.25</v>
      </c>
      <c r="C968" s="16" t="str">
        <f t="shared" si="80"/>
        <v>2018</v>
      </c>
      <c r="D968" t="str">
        <f t="shared" si="81"/>
        <v>26</v>
      </c>
      <c r="E968" s="21">
        <f t="shared" si="82"/>
        <v>43276</v>
      </c>
      <c r="F968" s="17" t="str">
        <f t="shared" si="83"/>
        <v>2018-06</v>
      </c>
      <c r="G968" s="25">
        <f t="shared" si="84"/>
        <v>61.572500000000005</v>
      </c>
    </row>
    <row r="969" spans="1:7" x14ac:dyDescent="0.25">
      <c r="A969" s="18" t="s">
        <v>1020</v>
      </c>
      <c r="B969" s="28">
        <v>58.55</v>
      </c>
      <c r="C969" s="16" t="str">
        <f t="shared" si="80"/>
        <v>2018</v>
      </c>
      <c r="D969" t="str">
        <f t="shared" si="81"/>
        <v>27</v>
      </c>
      <c r="E969" s="21">
        <f t="shared" si="82"/>
        <v>43283</v>
      </c>
      <c r="F969" s="17" t="str">
        <f t="shared" si="83"/>
        <v>2018-07</v>
      </c>
      <c r="G969" s="25">
        <f t="shared" si="84"/>
        <v>56.519999999999996</v>
      </c>
    </row>
    <row r="970" spans="1:7" x14ac:dyDescent="0.25">
      <c r="A970" s="18" t="s">
        <v>1019</v>
      </c>
      <c r="B970" s="28">
        <v>55.4</v>
      </c>
      <c r="C970" s="16" t="str">
        <f t="shared" si="80"/>
        <v>2018</v>
      </c>
      <c r="D970" t="str">
        <f t="shared" si="81"/>
        <v>28</v>
      </c>
      <c r="E970" s="21">
        <f t="shared" si="82"/>
        <v>43290</v>
      </c>
      <c r="F970" s="17" t="str">
        <f t="shared" si="83"/>
        <v>2018-07</v>
      </c>
      <c r="G970" s="25">
        <f t="shared" si="84"/>
        <v>56.519999999999996</v>
      </c>
    </row>
    <row r="971" spans="1:7" x14ac:dyDescent="0.25">
      <c r="A971" s="18" t="s">
        <v>1018</v>
      </c>
      <c r="B971" s="28">
        <v>55.14</v>
      </c>
      <c r="C971" s="16" t="str">
        <f t="shared" si="80"/>
        <v>2018</v>
      </c>
      <c r="D971" t="str">
        <f t="shared" si="81"/>
        <v>29</v>
      </c>
      <c r="E971" s="21">
        <f t="shared" si="82"/>
        <v>43297</v>
      </c>
      <c r="F971" s="17" t="str">
        <f t="shared" si="83"/>
        <v>2018-07</v>
      </c>
      <c r="G971" s="25">
        <f t="shared" si="84"/>
        <v>56.519999999999996</v>
      </c>
    </row>
    <row r="972" spans="1:7" x14ac:dyDescent="0.25">
      <c r="A972" s="18" t="s">
        <v>1017</v>
      </c>
      <c r="B972" s="28">
        <v>56.07</v>
      </c>
      <c r="C972" s="16" t="str">
        <f t="shared" si="80"/>
        <v>2018</v>
      </c>
      <c r="D972" t="str">
        <f t="shared" si="81"/>
        <v>30</v>
      </c>
      <c r="E972" s="21">
        <f t="shared" si="82"/>
        <v>43304</v>
      </c>
      <c r="F972" s="17" t="str">
        <f t="shared" si="83"/>
        <v>2018-07</v>
      </c>
      <c r="G972" s="25">
        <f t="shared" si="84"/>
        <v>56.519999999999996</v>
      </c>
    </row>
    <row r="973" spans="1:7" x14ac:dyDescent="0.25">
      <c r="A973" s="18" t="s">
        <v>1016</v>
      </c>
      <c r="B973" s="28">
        <v>57.44</v>
      </c>
      <c r="C973" s="16" t="str">
        <f t="shared" si="80"/>
        <v>2018</v>
      </c>
      <c r="D973" t="str">
        <f t="shared" si="81"/>
        <v>31</v>
      </c>
      <c r="E973" s="21">
        <f t="shared" si="82"/>
        <v>43311</v>
      </c>
      <c r="F973" s="17" t="str">
        <f t="shared" si="83"/>
        <v>2018-07</v>
      </c>
      <c r="G973" s="25">
        <f t="shared" si="84"/>
        <v>56.519999999999996</v>
      </c>
    </row>
    <row r="974" spans="1:7" x14ac:dyDescent="0.25">
      <c r="A974" s="18" t="s">
        <v>1015</v>
      </c>
      <c r="B974" s="28">
        <v>57.33</v>
      </c>
      <c r="C974" s="16" t="str">
        <f t="shared" si="80"/>
        <v>2018</v>
      </c>
      <c r="D974" t="str">
        <f t="shared" si="81"/>
        <v>32</v>
      </c>
      <c r="E974" s="21">
        <f t="shared" si="82"/>
        <v>43318</v>
      </c>
      <c r="F974" s="17" t="str">
        <f t="shared" si="83"/>
        <v>2018-08</v>
      </c>
      <c r="G974" s="25">
        <f t="shared" si="84"/>
        <v>55.342500000000001</v>
      </c>
    </row>
    <row r="975" spans="1:7" x14ac:dyDescent="0.25">
      <c r="A975" s="18" t="s">
        <v>1014</v>
      </c>
      <c r="B975" s="28">
        <v>53.62</v>
      </c>
      <c r="C975" s="16" t="str">
        <f t="shared" si="80"/>
        <v>2018</v>
      </c>
      <c r="D975" t="str">
        <f t="shared" si="81"/>
        <v>33</v>
      </c>
      <c r="E975" s="21">
        <f t="shared" si="82"/>
        <v>43325</v>
      </c>
      <c r="F975" s="17" t="str">
        <f t="shared" si="83"/>
        <v>2018-08</v>
      </c>
      <c r="G975" s="25">
        <f t="shared" si="84"/>
        <v>55.342500000000001</v>
      </c>
    </row>
    <row r="976" spans="1:7" x14ac:dyDescent="0.25">
      <c r="A976" s="18" t="s">
        <v>1013</v>
      </c>
      <c r="B976" s="28">
        <v>52.99</v>
      </c>
      <c r="C976" s="16" t="str">
        <f t="shared" si="80"/>
        <v>2018</v>
      </c>
      <c r="D976" t="str">
        <f t="shared" si="81"/>
        <v>34</v>
      </c>
      <c r="E976" s="21">
        <f t="shared" si="82"/>
        <v>43332</v>
      </c>
      <c r="F976" s="17" t="str">
        <f t="shared" si="83"/>
        <v>2018-08</v>
      </c>
      <c r="G976" s="25">
        <f t="shared" si="84"/>
        <v>55.342500000000001</v>
      </c>
    </row>
    <row r="977" spans="1:7" x14ac:dyDescent="0.25">
      <c r="A977" s="18" t="s">
        <v>1012</v>
      </c>
      <c r="B977" s="28">
        <v>57.43</v>
      </c>
      <c r="C977" s="16" t="str">
        <f t="shared" si="80"/>
        <v>2018</v>
      </c>
      <c r="D977" t="str">
        <f t="shared" si="81"/>
        <v>35</v>
      </c>
      <c r="E977" s="21">
        <f t="shared" si="82"/>
        <v>43339</v>
      </c>
      <c r="F977" s="17" t="str">
        <f t="shared" si="83"/>
        <v>2018-08</v>
      </c>
      <c r="G977" s="25">
        <f t="shared" si="84"/>
        <v>55.342500000000001</v>
      </c>
    </row>
    <row r="978" spans="1:7" x14ac:dyDescent="0.25">
      <c r="A978" s="18" t="s">
        <v>1011</v>
      </c>
      <c r="B978" s="28">
        <v>62.6</v>
      </c>
      <c r="C978" s="16" t="str">
        <f t="shared" si="80"/>
        <v>2018</v>
      </c>
      <c r="D978" t="str">
        <f t="shared" si="81"/>
        <v>36</v>
      </c>
      <c r="E978" s="21">
        <f t="shared" si="82"/>
        <v>43346</v>
      </c>
      <c r="F978" s="17" t="str">
        <f t="shared" si="83"/>
        <v>2018-09</v>
      </c>
      <c r="G978" s="25">
        <f t="shared" si="84"/>
        <v>61.032500000000006</v>
      </c>
    </row>
    <row r="979" spans="1:7" x14ac:dyDescent="0.25">
      <c r="A979" s="18" t="s">
        <v>1010</v>
      </c>
      <c r="B979" s="28">
        <v>62.1</v>
      </c>
      <c r="C979" s="16" t="str">
        <f t="shared" si="80"/>
        <v>2018</v>
      </c>
      <c r="D979" t="str">
        <f t="shared" si="81"/>
        <v>37</v>
      </c>
      <c r="E979" s="21">
        <f t="shared" si="82"/>
        <v>43353</v>
      </c>
      <c r="F979" s="17" t="str">
        <f t="shared" si="83"/>
        <v>2018-09</v>
      </c>
      <c r="G979" s="25">
        <f t="shared" si="84"/>
        <v>61.032500000000006</v>
      </c>
    </row>
    <row r="980" spans="1:7" x14ac:dyDescent="0.25">
      <c r="A980" s="18" t="s">
        <v>1009</v>
      </c>
      <c r="B980" s="28">
        <v>60.28</v>
      </c>
      <c r="C980" s="16" t="str">
        <f t="shared" ref="C980:C1043" si="85">LEFT(A980,4)</f>
        <v>2018</v>
      </c>
      <c r="D980" t="str">
        <f t="shared" ref="D980:D1043" si="86">RIGHT(A980,2)</f>
        <v>38</v>
      </c>
      <c r="E980" s="21">
        <f t="shared" si="82"/>
        <v>43360</v>
      </c>
      <c r="F980" s="17" t="str">
        <f t="shared" si="83"/>
        <v>2018-09</v>
      </c>
      <c r="G980" s="25">
        <f t="shared" si="84"/>
        <v>61.032500000000006</v>
      </c>
    </row>
    <row r="981" spans="1:7" x14ac:dyDescent="0.25">
      <c r="A981" s="18" t="s">
        <v>1008</v>
      </c>
      <c r="B981" s="28">
        <v>59.15</v>
      </c>
      <c r="C981" s="16" t="str">
        <f t="shared" si="85"/>
        <v>2018</v>
      </c>
      <c r="D981" t="str">
        <f t="shared" si="86"/>
        <v>39</v>
      </c>
      <c r="E981" s="21">
        <f t="shared" si="82"/>
        <v>43367</v>
      </c>
      <c r="F981" s="17" t="str">
        <f t="shared" si="83"/>
        <v>2018-09</v>
      </c>
      <c r="G981" s="25">
        <f t="shared" si="84"/>
        <v>61.032500000000006</v>
      </c>
    </row>
    <row r="982" spans="1:7" x14ac:dyDescent="0.25">
      <c r="A982" s="18" t="s">
        <v>1007</v>
      </c>
      <c r="B982" s="28">
        <v>57.93</v>
      </c>
      <c r="C982" s="16" t="str">
        <f t="shared" si="85"/>
        <v>2018</v>
      </c>
      <c r="D982" t="str">
        <f t="shared" si="86"/>
        <v>40</v>
      </c>
      <c r="E982" s="21">
        <f t="shared" si="82"/>
        <v>43374</v>
      </c>
      <c r="F982" s="17" t="str">
        <f t="shared" si="83"/>
        <v>2018-10</v>
      </c>
      <c r="G982" s="25">
        <f t="shared" si="84"/>
        <v>58.442000000000007</v>
      </c>
    </row>
    <row r="983" spans="1:7" x14ac:dyDescent="0.25">
      <c r="A983" s="18" t="s">
        <v>1006</v>
      </c>
      <c r="B983" s="28">
        <v>58.49</v>
      </c>
      <c r="C983" s="16" t="str">
        <f t="shared" si="85"/>
        <v>2018</v>
      </c>
      <c r="D983" t="str">
        <f t="shared" si="86"/>
        <v>41</v>
      </c>
      <c r="E983" s="21">
        <f t="shared" si="82"/>
        <v>43381</v>
      </c>
      <c r="F983" s="17" t="str">
        <f t="shared" si="83"/>
        <v>2018-10</v>
      </c>
      <c r="G983" s="25">
        <f t="shared" si="84"/>
        <v>58.442000000000007</v>
      </c>
    </row>
    <row r="984" spans="1:7" x14ac:dyDescent="0.25">
      <c r="A984" s="18" t="s">
        <v>1005</v>
      </c>
      <c r="B984" s="28">
        <v>58.95</v>
      </c>
      <c r="C984" s="16" t="str">
        <f t="shared" si="85"/>
        <v>2018</v>
      </c>
      <c r="D984" t="str">
        <f t="shared" si="86"/>
        <v>42</v>
      </c>
      <c r="E984" s="21">
        <f t="shared" si="82"/>
        <v>43388</v>
      </c>
      <c r="F984" s="17" t="str">
        <f t="shared" si="83"/>
        <v>2018-10</v>
      </c>
      <c r="G984" s="25">
        <f t="shared" si="84"/>
        <v>58.442000000000007</v>
      </c>
    </row>
    <row r="985" spans="1:7" x14ac:dyDescent="0.25">
      <c r="A985" s="18" t="s">
        <v>1004</v>
      </c>
      <c r="B985" s="28">
        <v>57.77</v>
      </c>
      <c r="C985" s="16" t="str">
        <f t="shared" si="85"/>
        <v>2018</v>
      </c>
      <c r="D985" t="str">
        <f t="shared" si="86"/>
        <v>43</v>
      </c>
      <c r="E985" s="21">
        <f t="shared" si="82"/>
        <v>43395</v>
      </c>
      <c r="F985" s="17" t="str">
        <f t="shared" si="83"/>
        <v>2018-10</v>
      </c>
      <c r="G985" s="25">
        <f t="shared" si="84"/>
        <v>58.442000000000007</v>
      </c>
    </row>
    <row r="986" spans="1:7" x14ac:dyDescent="0.25">
      <c r="A986" s="18" t="s">
        <v>1003</v>
      </c>
      <c r="B986" s="28">
        <v>59.07</v>
      </c>
      <c r="C986" s="16" t="str">
        <f t="shared" si="85"/>
        <v>2018</v>
      </c>
      <c r="D986" t="str">
        <f t="shared" si="86"/>
        <v>44</v>
      </c>
      <c r="E986" s="21">
        <f t="shared" si="82"/>
        <v>43402</v>
      </c>
      <c r="F986" s="17" t="str">
        <f t="shared" si="83"/>
        <v>2018-10</v>
      </c>
      <c r="G986" s="25">
        <f t="shared" si="84"/>
        <v>58.442000000000007</v>
      </c>
    </row>
    <row r="987" spans="1:7" x14ac:dyDescent="0.25">
      <c r="A987" s="18" t="s">
        <v>1002</v>
      </c>
      <c r="B987" s="28">
        <v>57.37</v>
      </c>
      <c r="C987" s="16" t="str">
        <f t="shared" si="85"/>
        <v>2018</v>
      </c>
      <c r="D987" t="str">
        <f t="shared" si="86"/>
        <v>45</v>
      </c>
      <c r="E987" s="21">
        <f t="shared" si="82"/>
        <v>43409</v>
      </c>
      <c r="F987" s="17" t="str">
        <f t="shared" si="83"/>
        <v>2018-11</v>
      </c>
      <c r="G987" s="25">
        <f t="shared" si="84"/>
        <v>55.717500000000001</v>
      </c>
    </row>
    <row r="988" spans="1:7" x14ac:dyDescent="0.25">
      <c r="A988" s="18" t="s">
        <v>1001</v>
      </c>
      <c r="B988" s="28">
        <v>55.9</v>
      </c>
      <c r="C988" s="16" t="str">
        <f t="shared" si="85"/>
        <v>2018</v>
      </c>
      <c r="D988" t="str">
        <f t="shared" si="86"/>
        <v>46</v>
      </c>
      <c r="E988" s="21">
        <f t="shared" si="82"/>
        <v>43416</v>
      </c>
      <c r="F988" s="17" t="str">
        <f t="shared" si="83"/>
        <v>2018-11</v>
      </c>
      <c r="G988" s="25">
        <f t="shared" si="84"/>
        <v>55.717500000000001</v>
      </c>
    </row>
    <row r="989" spans="1:7" x14ac:dyDescent="0.25">
      <c r="A989" s="18" t="s">
        <v>1000</v>
      </c>
      <c r="B989" s="28">
        <v>53.84</v>
      </c>
      <c r="C989" s="16" t="str">
        <f t="shared" si="85"/>
        <v>2018</v>
      </c>
      <c r="D989" t="str">
        <f t="shared" si="86"/>
        <v>47</v>
      </c>
      <c r="E989" s="21">
        <f t="shared" si="82"/>
        <v>43423</v>
      </c>
      <c r="F989" s="17" t="str">
        <f t="shared" si="83"/>
        <v>2018-11</v>
      </c>
      <c r="G989" s="25">
        <f t="shared" si="84"/>
        <v>55.717500000000001</v>
      </c>
    </row>
    <row r="990" spans="1:7" x14ac:dyDescent="0.25">
      <c r="A990" s="18" t="s">
        <v>999</v>
      </c>
      <c r="B990" s="28">
        <v>55.76</v>
      </c>
      <c r="C990" s="16" t="str">
        <f t="shared" si="85"/>
        <v>2018</v>
      </c>
      <c r="D990" t="str">
        <f t="shared" si="86"/>
        <v>48</v>
      </c>
      <c r="E990" s="21">
        <f t="shared" si="82"/>
        <v>43430</v>
      </c>
      <c r="F990" s="17" t="str">
        <f t="shared" si="83"/>
        <v>2018-11</v>
      </c>
      <c r="G990" s="25">
        <f t="shared" si="84"/>
        <v>55.717500000000001</v>
      </c>
    </row>
    <row r="991" spans="1:7" x14ac:dyDescent="0.25">
      <c r="A991" s="18" t="s">
        <v>998</v>
      </c>
      <c r="B991" s="28">
        <v>59.5</v>
      </c>
      <c r="C991" s="16" t="str">
        <f t="shared" si="85"/>
        <v>2018</v>
      </c>
      <c r="D991" t="str">
        <f t="shared" si="86"/>
        <v>49</v>
      </c>
      <c r="E991" s="21">
        <f t="shared" si="82"/>
        <v>43437</v>
      </c>
      <c r="F991" s="17" t="str">
        <f t="shared" si="83"/>
        <v>2018-12</v>
      </c>
      <c r="G991" s="25">
        <f t="shared" si="84"/>
        <v>60.43</v>
      </c>
    </row>
    <row r="992" spans="1:7" x14ac:dyDescent="0.25">
      <c r="A992" s="18" t="s">
        <v>997</v>
      </c>
      <c r="B992" s="28">
        <v>58.87</v>
      </c>
      <c r="C992" s="16" t="str">
        <f t="shared" si="85"/>
        <v>2018</v>
      </c>
      <c r="D992" t="str">
        <f t="shared" si="86"/>
        <v>50</v>
      </c>
      <c r="E992" s="21">
        <f t="shared" si="82"/>
        <v>43444</v>
      </c>
      <c r="F992" s="17" t="str">
        <f t="shared" si="83"/>
        <v>2018-12</v>
      </c>
      <c r="G992" s="25">
        <f t="shared" si="84"/>
        <v>60.43</v>
      </c>
    </row>
    <row r="993" spans="1:7" x14ac:dyDescent="0.25">
      <c r="A993" s="18" t="s">
        <v>996</v>
      </c>
      <c r="B993" s="28">
        <v>58.2</v>
      </c>
      <c r="C993" s="16" t="str">
        <f t="shared" si="85"/>
        <v>2018</v>
      </c>
      <c r="D993" t="str">
        <f t="shared" si="86"/>
        <v>51</v>
      </c>
      <c r="E993" s="21">
        <f t="shared" si="82"/>
        <v>43451</v>
      </c>
      <c r="F993" s="17" t="str">
        <f t="shared" si="83"/>
        <v>2018-12</v>
      </c>
      <c r="G993" s="25">
        <f t="shared" si="84"/>
        <v>60.43</v>
      </c>
    </row>
    <row r="994" spans="1:7" x14ac:dyDescent="0.25">
      <c r="A994" s="18" t="s">
        <v>995</v>
      </c>
      <c r="B994" s="28">
        <v>65.150000000000006</v>
      </c>
      <c r="C994" s="16" t="str">
        <f t="shared" si="85"/>
        <v>2018</v>
      </c>
      <c r="D994" t="str">
        <f t="shared" si="86"/>
        <v>52</v>
      </c>
      <c r="E994" s="21">
        <f t="shared" si="82"/>
        <v>43458</v>
      </c>
      <c r="F994" s="17" t="str">
        <f t="shared" si="83"/>
        <v>2018-12</v>
      </c>
      <c r="G994" s="25">
        <f t="shared" si="84"/>
        <v>60.43</v>
      </c>
    </row>
    <row r="995" spans="1:7" x14ac:dyDescent="0.25">
      <c r="A995" s="18" t="s">
        <v>994</v>
      </c>
      <c r="B995" s="28">
        <v>66.66</v>
      </c>
      <c r="C995" s="16" t="str">
        <f t="shared" si="85"/>
        <v>2019</v>
      </c>
      <c r="D995" t="str">
        <f t="shared" si="86"/>
        <v>01</v>
      </c>
      <c r="E995" s="21">
        <f t="shared" si="82"/>
        <v>43466</v>
      </c>
      <c r="F995" s="17" t="str">
        <f t="shared" si="83"/>
        <v>2019-01</v>
      </c>
      <c r="G995" s="25">
        <f t="shared" si="84"/>
        <v>62.335999999999991</v>
      </c>
    </row>
    <row r="996" spans="1:7" x14ac:dyDescent="0.25">
      <c r="A996" s="18" t="s">
        <v>993</v>
      </c>
      <c r="B996" s="28">
        <v>63.9</v>
      </c>
      <c r="C996" s="16" t="str">
        <f t="shared" si="85"/>
        <v>2019</v>
      </c>
      <c r="D996" t="str">
        <f t="shared" si="86"/>
        <v>02</v>
      </c>
      <c r="E996" s="21">
        <f t="shared" si="82"/>
        <v>43473</v>
      </c>
      <c r="F996" s="17" t="str">
        <f t="shared" si="83"/>
        <v>2019-01</v>
      </c>
      <c r="G996" s="25">
        <f t="shared" si="84"/>
        <v>62.335999999999991</v>
      </c>
    </row>
    <row r="997" spans="1:7" x14ac:dyDescent="0.25">
      <c r="A997" s="18" t="s">
        <v>992</v>
      </c>
      <c r="B997" s="28">
        <v>62.88</v>
      </c>
      <c r="C997" s="16" t="str">
        <f t="shared" si="85"/>
        <v>2019</v>
      </c>
      <c r="D997" t="str">
        <f t="shared" si="86"/>
        <v>03</v>
      </c>
      <c r="E997" s="21">
        <f t="shared" si="82"/>
        <v>43480</v>
      </c>
      <c r="F997" s="17" t="str">
        <f t="shared" si="83"/>
        <v>2019-01</v>
      </c>
      <c r="G997" s="25">
        <f t="shared" si="84"/>
        <v>62.335999999999991</v>
      </c>
    </row>
    <row r="998" spans="1:7" x14ac:dyDescent="0.25">
      <c r="A998" s="18" t="s">
        <v>991</v>
      </c>
      <c r="B998" s="28">
        <v>60.83</v>
      </c>
      <c r="C998" s="16" t="str">
        <f t="shared" si="85"/>
        <v>2019</v>
      </c>
      <c r="D998" t="str">
        <f t="shared" si="86"/>
        <v>04</v>
      </c>
      <c r="E998" s="21">
        <f t="shared" si="82"/>
        <v>43487</v>
      </c>
      <c r="F998" s="17" t="str">
        <f t="shared" si="83"/>
        <v>2019-01</v>
      </c>
      <c r="G998" s="25">
        <f t="shared" si="84"/>
        <v>62.335999999999991</v>
      </c>
    </row>
    <row r="999" spans="1:7" x14ac:dyDescent="0.25">
      <c r="A999" s="18" t="s">
        <v>990</v>
      </c>
      <c r="B999" s="28">
        <v>57.41</v>
      </c>
      <c r="C999" s="16" t="str">
        <f t="shared" si="85"/>
        <v>2019</v>
      </c>
      <c r="D999" t="str">
        <f t="shared" si="86"/>
        <v>05</v>
      </c>
      <c r="E999" s="21">
        <f t="shared" si="82"/>
        <v>43494</v>
      </c>
      <c r="F999" s="17" t="str">
        <f t="shared" si="83"/>
        <v>2019-01</v>
      </c>
      <c r="G999" s="25">
        <f t="shared" si="84"/>
        <v>62.335999999999991</v>
      </c>
    </row>
    <row r="1000" spans="1:7" x14ac:dyDescent="0.25">
      <c r="A1000" s="18" t="s">
        <v>989</v>
      </c>
      <c r="B1000" s="28">
        <v>56.73</v>
      </c>
      <c r="C1000" s="16" t="str">
        <f t="shared" si="85"/>
        <v>2019</v>
      </c>
      <c r="D1000" t="str">
        <f t="shared" si="86"/>
        <v>06</v>
      </c>
      <c r="E1000" s="21">
        <f t="shared" si="82"/>
        <v>43501</v>
      </c>
      <c r="F1000" s="17" t="str">
        <f t="shared" si="83"/>
        <v>2019-02</v>
      </c>
      <c r="G1000" s="25">
        <f t="shared" si="84"/>
        <v>59.800000000000004</v>
      </c>
    </row>
    <row r="1001" spans="1:7" x14ac:dyDescent="0.25">
      <c r="A1001" s="18" t="s">
        <v>988</v>
      </c>
      <c r="B1001" s="28">
        <v>56.82</v>
      </c>
      <c r="C1001" s="16" t="str">
        <f t="shared" si="85"/>
        <v>2019</v>
      </c>
      <c r="D1001" t="str">
        <f t="shared" si="86"/>
        <v>07</v>
      </c>
      <c r="E1001" s="21">
        <f t="shared" si="82"/>
        <v>43508</v>
      </c>
      <c r="F1001" s="17" t="str">
        <f t="shared" si="83"/>
        <v>2019-02</v>
      </c>
      <c r="G1001" s="25">
        <f t="shared" si="84"/>
        <v>59.800000000000004</v>
      </c>
    </row>
    <row r="1002" spans="1:7" x14ac:dyDescent="0.25">
      <c r="A1002" s="18" t="s">
        <v>987</v>
      </c>
      <c r="B1002" s="28">
        <v>60</v>
      </c>
      <c r="C1002" s="16" t="str">
        <f t="shared" si="85"/>
        <v>2019</v>
      </c>
      <c r="D1002" t="str">
        <f t="shared" si="86"/>
        <v>08</v>
      </c>
      <c r="E1002" s="21">
        <f t="shared" si="82"/>
        <v>43515</v>
      </c>
      <c r="F1002" s="17" t="str">
        <f t="shared" si="83"/>
        <v>2019-02</v>
      </c>
      <c r="G1002" s="25">
        <f t="shared" si="84"/>
        <v>59.800000000000004</v>
      </c>
    </row>
    <row r="1003" spans="1:7" x14ac:dyDescent="0.25">
      <c r="A1003" s="18" t="s">
        <v>986</v>
      </c>
      <c r="B1003" s="28">
        <v>65.650000000000006</v>
      </c>
      <c r="C1003" s="16" t="str">
        <f t="shared" si="85"/>
        <v>2019</v>
      </c>
      <c r="D1003" t="str">
        <f t="shared" si="86"/>
        <v>09</v>
      </c>
      <c r="E1003" s="21">
        <f t="shared" si="82"/>
        <v>43522</v>
      </c>
      <c r="F1003" s="17" t="str">
        <f t="shared" si="83"/>
        <v>2019-02</v>
      </c>
      <c r="G1003" s="25">
        <f t="shared" si="84"/>
        <v>59.800000000000004</v>
      </c>
    </row>
    <row r="1004" spans="1:7" x14ac:dyDescent="0.25">
      <c r="A1004" s="18" t="s">
        <v>985</v>
      </c>
      <c r="B1004" s="28">
        <v>72.45</v>
      </c>
      <c r="C1004" s="16" t="str">
        <f t="shared" si="85"/>
        <v>2019</v>
      </c>
      <c r="D1004" t="str">
        <f t="shared" si="86"/>
        <v>10</v>
      </c>
      <c r="E1004" s="21">
        <f t="shared" si="82"/>
        <v>43529</v>
      </c>
      <c r="F1004" s="17" t="str">
        <f t="shared" si="83"/>
        <v>2019-03</v>
      </c>
      <c r="G1004" s="25">
        <f t="shared" si="84"/>
        <v>69.227499999999992</v>
      </c>
    </row>
    <row r="1005" spans="1:7" x14ac:dyDescent="0.25">
      <c r="A1005" s="18" t="s">
        <v>984</v>
      </c>
      <c r="B1005" s="28">
        <v>71.55</v>
      </c>
      <c r="C1005" s="16" t="str">
        <f t="shared" si="85"/>
        <v>2019</v>
      </c>
      <c r="D1005" t="str">
        <f t="shared" si="86"/>
        <v>11</v>
      </c>
      <c r="E1005" s="21">
        <f t="shared" si="82"/>
        <v>43536</v>
      </c>
      <c r="F1005" s="17" t="str">
        <f t="shared" si="83"/>
        <v>2019-03</v>
      </c>
      <c r="G1005" s="25">
        <f t="shared" si="84"/>
        <v>69.227499999999992</v>
      </c>
    </row>
    <row r="1006" spans="1:7" x14ac:dyDescent="0.25">
      <c r="A1006" s="18" t="s">
        <v>983</v>
      </c>
      <c r="B1006" s="28">
        <v>67.78</v>
      </c>
      <c r="C1006" s="16" t="str">
        <f t="shared" si="85"/>
        <v>2019</v>
      </c>
      <c r="D1006" t="str">
        <f t="shared" si="86"/>
        <v>12</v>
      </c>
      <c r="E1006" s="21">
        <f t="shared" si="82"/>
        <v>43543</v>
      </c>
      <c r="F1006" s="17" t="str">
        <f t="shared" si="83"/>
        <v>2019-03</v>
      </c>
      <c r="G1006" s="25">
        <f t="shared" si="84"/>
        <v>69.227499999999992</v>
      </c>
    </row>
    <row r="1007" spans="1:7" x14ac:dyDescent="0.25">
      <c r="A1007" s="18" t="s">
        <v>982</v>
      </c>
      <c r="B1007" s="28">
        <v>65.13</v>
      </c>
      <c r="C1007" s="16" t="str">
        <f t="shared" si="85"/>
        <v>2019</v>
      </c>
      <c r="D1007" t="str">
        <f t="shared" si="86"/>
        <v>13</v>
      </c>
      <c r="E1007" s="21">
        <f t="shared" si="82"/>
        <v>43550</v>
      </c>
      <c r="F1007" s="17" t="str">
        <f t="shared" si="83"/>
        <v>2019-03</v>
      </c>
      <c r="G1007" s="25">
        <f t="shared" si="84"/>
        <v>69.227499999999992</v>
      </c>
    </row>
    <row r="1008" spans="1:7" x14ac:dyDescent="0.25">
      <c r="A1008" s="18" t="s">
        <v>981</v>
      </c>
      <c r="B1008" s="28">
        <v>68.209999999999994</v>
      </c>
      <c r="C1008" s="16" t="str">
        <f t="shared" si="85"/>
        <v>2019</v>
      </c>
      <c r="D1008" t="str">
        <f t="shared" si="86"/>
        <v>14</v>
      </c>
      <c r="E1008" s="21">
        <f t="shared" si="82"/>
        <v>43557</v>
      </c>
      <c r="F1008" s="17" t="str">
        <f t="shared" si="83"/>
        <v>2019-04</v>
      </c>
      <c r="G1008" s="25">
        <f t="shared" si="84"/>
        <v>67.873999999999995</v>
      </c>
    </row>
    <row r="1009" spans="1:7" x14ac:dyDescent="0.25">
      <c r="A1009" s="18" t="s">
        <v>980</v>
      </c>
      <c r="B1009" s="28">
        <v>67.33</v>
      </c>
      <c r="C1009" s="16" t="str">
        <f t="shared" si="85"/>
        <v>2019</v>
      </c>
      <c r="D1009" t="str">
        <f t="shared" si="86"/>
        <v>15</v>
      </c>
      <c r="E1009" s="21">
        <f t="shared" si="82"/>
        <v>43564</v>
      </c>
      <c r="F1009" s="17" t="str">
        <f t="shared" si="83"/>
        <v>2019-04</v>
      </c>
      <c r="G1009" s="25">
        <f t="shared" si="84"/>
        <v>67.873999999999995</v>
      </c>
    </row>
    <row r="1010" spans="1:7" x14ac:dyDescent="0.25">
      <c r="A1010" s="18" t="s">
        <v>979</v>
      </c>
      <c r="B1010" s="28">
        <v>71.45</v>
      </c>
      <c r="C1010" s="16" t="str">
        <f t="shared" si="85"/>
        <v>2019</v>
      </c>
      <c r="D1010" t="str">
        <f t="shared" si="86"/>
        <v>16</v>
      </c>
      <c r="E1010" s="21">
        <f t="shared" si="82"/>
        <v>43571</v>
      </c>
      <c r="F1010" s="17" t="str">
        <f t="shared" si="83"/>
        <v>2019-04</v>
      </c>
      <c r="G1010" s="25">
        <f t="shared" si="84"/>
        <v>67.873999999999995</v>
      </c>
    </row>
    <row r="1011" spans="1:7" x14ac:dyDescent="0.25">
      <c r="A1011" s="18" t="s">
        <v>978</v>
      </c>
      <c r="B1011" s="28">
        <v>69.53</v>
      </c>
      <c r="C1011" s="16" t="str">
        <f t="shared" si="85"/>
        <v>2019</v>
      </c>
      <c r="D1011" t="str">
        <f t="shared" si="86"/>
        <v>17</v>
      </c>
      <c r="E1011" s="21">
        <f t="shared" si="82"/>
        <v>43578</v>
      </c>
      <c r="F1011" s="17" t="str">
        <f t="shared" si="83"/>
        <v>2019-04</v>
      </c>
      <c r="G1011" s="25">
        <f t="shared" si="84"/>
        <v>67.873999999999995</v>
      </c>
    </row>
    <row r="1012" spans="1:7" x14ac:dyDescent="0.25">
      <c r="A1012" s="18" t="s">
        <v>977</v>
      </c>
      <c r="B1012" s="28">
        <v>62.85</v>
      </c>
      <c r="C1012" s="16" t="str">
        <f t="shared" si="85"/>
        <v>2019</v>
      </c>
      <c r="D1012" t="str">
        <f t="shared" si="86"/>
        <v>18</v>
      </c>
      <c r="E1012" s="21">
        <f t="shared" si="82"/>
        <v>43585</v>
      </c>
      <c r="F1012" s="17" t="str">
        <f t="shared" si="83"/>
        <v>2019-04</v>
      </c>
      <c r="G1012" s="25">
        <f t="shared" si="84"/>
        <v>67.873999999999995</v>
      </c>
    </row>
    <row r="1013" spans="1:7" x14ac:dyDescent="0.25">
      <c r="A1013" s="18" t="s">
        <v>976</v>
      </c>
      <c r="B1013" s="28">
        <v>61.94</v>
      </c>
      <c r="C1013" s="16" t="str">
        <f t="shared" si="85"/>
        <v>2019</v>
      </c>
      <c r="D1013" t="str">
        <f t="shared" si="86"/>
        <v>19</v>
      </c>
      <c r="E1013" s="21">
        <f t="shared" si="82"/>
        <v>43592</v>
      </c>
      <c r="F1013" s="17" t="str">
        <f t="shared" si="83"/>
        <v>2019-05</v>
      </c>
      <c r="G1013" s="25">
        <f t="shared" si="84"/>
        <v>61.817500000000003</v>
      </c>
    </row>
    <row r="1014" spans="1:7" x14ac:dyDescent="0.25">
      <c r="A1014" s="18" t="s">
        <v>975</v>
      </c>
      <c r="B1014" s="28">
        <v>65.48</v>
      </c>
      <c r="C1014" s="16" t="str">
        <f t="shared" si="85"/>
        <v>2019</v>
      </c>
      <c r="D1014" t="str">
        <f t="shared" si="86"/>
        <v>20</v>
      </c>
      <c r="E1014" s="21">
        <f t="shared" si="82"/>
        <v>43599</v>
      </c>
      <c r="F1014" s="17" t="str">
        <f t="shared" si="83"/>
        <v>2019-05</v>
      </c>
      <c r="G1014" s="25">
        <f t="shared" si="84"/>
        <v>61.817500000000003</v>
      </c>
    </row>
    <row r="1015" spans="1:7" x14ac:dyDescent="0.25">
      <c r="A1015" s="18" t="s">
        <v>974</v>
      </c>
      <c r="B1015" s="28">
        <v>61.33</v>
      </c>
      <c r="C1015" s="16" t="str">
        <f t="shared" si="85"/>
        <v>2019</v>
      </c>
      <c r="D1015" t="str">
        <f t="shared" si="86"/>
        <v>21</v>
      </c>
      <c r="E1015" s="21">
        <f t="shared" si="82"/>
        <v>43606</v>
      </c>
      <c r="F1015" s="17" t="str">
        <f t="shared" si="83"/>
        <v>2019-05</v>
      </c>
      <c r="G1015" s="25">
        <f t="shared" si="84"/>
        <v>61.817500000000003</v>
      </c>
    </row>
    <row r="1016" spans="1:7" x14ac:dyDescent="0.25">
      <c r="A1016" s="18" t="s">
        <v>973</v>
      </c>
      <c r="B1016" s="28">
        <v>58.52</v>
      </c>
      <c r="C1016" s="16" t="str">
        <f t="shared" si="85"/>
        <v>2019</v>
      </c>
      <c r="D1016" t="str">
        <f t="shared" si="86"/>
        <v>22</v>
      </c>
      <c r="E1016" s="21">
        <f t="shared" si="82"/>
        <v>43613</v>
      </c>
      <c r="F1016" s="17" t="str">
        <f t="shared" si="83"/>
        <v>2019-05</v>
      </c>
      <c r="G1016" s="25">
        <f t="shared" si="84"/>
        <v>61.817500000000003</v>
      </c>
    </row>
    <row r="1017" spans="1:7" x14ac:dyDescent="0.25">
      <c r="A1017" s="18" t="s">
        <v>972</v>
      </c>
      <c r="B1017" s="28">
        <v>61.85</v>
      </c>
      <c r="C1017" s="16" t="str">
        <f t="shared" si="85"/>
        <v>2019</v>
      </c>
      <c r="D1017" t="str">
        <f t="shared" si="86"/>
        <v>23</v>
      </c>
      <c r="E1017" s="21">
        <f t="shared" si="82"/>
        <v>43620</v>
      </c>
      <c r="F1017" s="17" t="str">
        <f t="shared" si="83"/>
        <v>2019-06</v>
      </c>
      <c r="G1017" s="25">
        <f t="shared" si="84"/>
        <v>63.99</v>
      </c>
    </row>
    <row r="1018" spans="1:7" x14ac:dyDescent="0.25">
      <c r="A1018" s="18" t="s">
        <v>971</v>
      </c>
      <c r="B1018" s="28">
        <v>69.900000000000006</v>
      </c>
      <c r="C1018" s="16" t="str">
        <f t="shared" si="85"/>
        <v>2019</v>
      </c>
      <c r="D1018" t="str">
        <f t="shared" si="86"/>
        <v>24</v>
      </c>
      <c r="E1018" s="21">
        <f t="shared" si="82"/>
        <v>43627</v>
      </c>
      <c r="F1018" s="17" t="str">
        <f t="shared" si="83"/>
        <v>2019-06</v>
      </c>
      <c r="G1018" s="25">
        <f t="shared" si="84"/>
        <v>63.99</v>
      </c>
    </row>
    <row r="1019" spans="1:7" x14ac:dyDescent="0.25">
      <c r="A1019" s="18" t="s">
        <v>970</v>
      </c>
      <c r="B1019" s="28">
        <v>64.09</v>
      </c>
      <c r="C1019" s="16" t="str">
        <f t="shared" si="85"/>
        <v>2019</v>
      </c>
      <c r="D1019" t="str">
        <f t="shared" si="86"/>
        <v>25</v>
      </c>
      <c r="E1019" s="21">
        <f t="shared" si="82"/>
        <v>43634</v>
      </c>
      <c r="F1019" s="17" t="str">
        <f t="shared" si="83"/>
        <v>2019-06</v>
      </c>
      <c r="G1019" s="25">
        <f t="shared" si="84"/>
        <v>63.99</v>
      </c>
    </row>
    <row r="1020" spans="1:7" x14ac:dyDescent="0.25">
      <c r="A1020" s="18" t="s">
        <v>969</v>
      </c>
      <c r="B1020" s="28">
        <v>60.12</v>
      </c>
      <c r="C1020" s="16" t="str">
        <f t="shared" si="85"/>
        <v>2019</v>
      </c>
      <c r="D1020" t="str">
        <f t="shared" si="86"/>
        <v>26</v>
      </c>
      <c r="E1020" s="21">
        <f t="shared" si="82"/>
        <v>43641</v>
      </c>
      <c r="F1020" s="17" t="str">
        <f t="shared" si="83"/>
        <v>2019-06</v>
      </c>
      <c r="G1020" s="25">
        <f t="shared" si="84"/>
        <v>63.99</v>
      </c>
    </row>
    <row r="1021" spans="1:7" x14ac:dyDescent="0.25">
      <c r="A1021" s="18" t="s">
        <v>968</v>
      </c>
      <c r="B1021" s="28">
        <v>61.06</v>
      </c>
      <c r="C1021" s="16" t="str">
        <f t="shared" si="85"/>
        <v>2019</v>
      </c>
      <c r="D1021" t="str">
        <f t="shared" si="86"/>
        <v>27</v>
      </c>
      <c r="E1021" s="21">
        <f t="shared" si="82"/>
        <v>43648</v>
      </c>
      <c r="F1021" s="17" t="str">
        <f t="shared" si="83"/>
        <v>2019-07</v>
      </c>
      <c r="G1021" s="25">
        <f t="shared" si="84"/>
        <v>59.234000000000002</v>
      </c>
    </row>
    <row r="1022" spans="1:7" x14ac:dyDescent="0.25">
      <c r="A1022" s="18" t="s">
        <v>967</v>
      </c>
      <c r="B1022" s="28">
        <v>64.64</v>
      </c>
      <c r="C1022" s="16" t="str">
        <f t="shared" si="85"/>
        <v>2019</v>
      </c>
      <c r="D1022" t="str">
        <f t="shared" si="86"/>
        <v>28</v>
      </c>
      <c r="E1022" s="21">
        <f t="shared" si="82"/>
        <v>43655</v>
      </c>
      <c r="F1022" s="17" t="str">
        <f t="shared" si="83"/>
        <v>2019-07</v>
      </c>
      <c r="G1022" s="25">
        <f t="shared" si="84"/>
        <v>59.234000000000002</v>
      </c>
    </row>
    <row r="1023" spans="1:7" x14ac:dyDescent="0.25">
      <c r="A1023" s="18" t="s">
        <v>966</v>
      </c>
      <c r="B1023" s="28">
        <v>60.18</v>
      </c>
      <c r="C1023" s="16" t="str">
        <f t="shared" si="85"/>
        <v>2019</v>
      </c>
      <c r="D1023" t="str">
        <f t="shared" si="86"/>
        <v>29</v>
      </c>
      <c r="E1023" s="21">
        <f t="shared" si="82"/>
        <v>43662</v>
      </c>
      <c r="F1023" s="17" t="str">
        <f t="shared" si="83"/>
        <v>2019-07</v>
      </c>
      <c r="G1023" s="25">
        <f t="shared" si="84"/>
        <v>59.234000000000002</v>
      </c>
    </row>
    <row r="1024" spans="1:7" x14ac:dyDescent="0.25">
      <c r="A1024" s="18" t="s">
        <v>965</v>
      </c>
      <c r="B1024" s="28">
        <v>56.16</v>
      </c>
      <c r="C1024" s="16" t="str">
        <f t="shared" si="85"/>
        <v>2019</v>
      </c>
      <c r="D1024" t="str">
        <f t="shared" si="86"/>
        <v>30</v>
      </c>
      <c r="E1024" s="21">
        <f t="shared" si="82"/>
        <v>43669</v>
      </c>
      <c r="F1024" s="17" t="str">
        <f t="shared" si="83"/>
        <v>2019-07</v>
      </c>
      <c r="G1024" s="25">
        <f t="shared" si="84"/>
        <v>59.234000000000002</v>
      </c>
    </row>
    <row r="1025" spans="1:7" x14ac:dyDescent="0.25">
      <c r="A1025" s="18" t="s">
        <v>964</v>
      </c>
      <c r="B1025" s="28">
        <v>54.13</v>
      </c>
      <c r="C1025" s="16" t="str">
        <f t="shared" si="85"/>
        <v>2019</v>
      </c>
      <c r="D1025" t="str">
        <f t="shared" si="86"/>
        <v>31</v>
      </c>
      <c r="E1025" s="21">
        <f t="shared" si="82"/>
        <v>43676</v>
      </c>
      <c r="F1025" s="17" t="str">
        <f t="shared" si="83"/>
        <v>2019-07</v>
      </c>
      <c r="G1025" s="25">
        <f t="shared" si="84"/>
        <v>59.234000000000002</v>
      </c>
    </row>
    <row r="1026" spans="1:7" x14ac:dyDescent="0.25">
      <c r="A1026" s="18" t="s">
        <v>963</v>
      </c>
      <c r="B1026" s="28">
        <v>54.45</v>
      </c>
      <c r="C1026" s="16" t="str">
        <f t="shared" si="85"/>
        <v>2019</v>
      </c>
      <c r="D1026" t="str">
        <f t="shared" si="86"/>
        <v>32</v>
      </c>
      <c r="E1026" s="21">
        <f t="shared" si="82"/>
        <v>43683</v>
      </c>
      <c r="F1026" s="17" t="str">
        <f t="shared" si="83"/>
        <v>2019-08</v>
      </c>
      <c r="G1026" s="25">
        <f t="shared" si="84"/>
        <v>54.104999999999997</v>
      </c>
    </row>
    <row r="1027" spans="1:7" x14ac:dyDescent="0.25">
      <c r="A1027" s="18" t="s">
        <v>962</v>
      </c>
      <c r="B1027" s="28">
        <v>55.05</v>
      </c>
      <c r="C1027" s="16" t="str">
        <f t="shared" si="85"/>
        <v>2019</v>
      </c>
      <c r="D1027" t="str">
        <f t="shared" si="86"/>
        <v>33</v>
      </c>
      <c r="E1027" s="21">
        <f t="shared" si="82"/>
        <v>43690</v>
      </c>
      <c r="F1027" s="17" t="str">
        <f t="shared" si="83"/>
        <v>2019-08</v>
      </c>
      <c r="G1027" s="25">
        <f t="shared" si="84"/>
        <v>54.104999999999997</v>
      </c>
    </row>
    <row r="1028" spans="1:7" x14ac:dyDescent="0.25">
      <c r="A1028" s="18" t="s">
        <v>961</v>
      </c>
      <c r="B1028" s="28">
        <v>51.82</v>
      </c>
      <c r="C1028" s="16" t="str">
        <f t="shared" si="85"/>
        <v>2019</v>
      </c>
      <c r="D1028" t="str">
        <f t="shared" si="86"/>
        <v>34</v>
      </c>
      <c r="E1028" s="21">
        <f t="shared" si="82"/>
        <v>43697</v>
      </c>
      <c r="F1028" s="17" t="str">
        <f t="shared" si="83"/>
        <v>2019-08</v>
      </c>
      <c r="G1028" s="25">
        <f t="shared" si="84"/>
        <v>54.104999999999997</v>
      </c>
    </row>
    <row r="1029" spans="1:7" x14ac:dyDescent="0.25">
      <c r="A1029" s="18" t="s">
        <v>960</v>
      </c>
      <c r="B1029" s="28">
        <v>55.1</v>
      </c>
      <c r="C1029" s="16" t="str">
        <f t="shared" si="85"/>
        <v>2019</v>
      </c>
      <c r="D1029" t="str">
        <f t="shared" si="86"/>
        <v>35</v>
      </c>
      <c r="E1029" s="21">
        <f t="shared" ref="E1029:E1092" si="87">DATE(C1029,1,1)+(D1029-1)*7</f>
        <v>43704</v>
      </c>
      <c r="F1029" s="17" t="str">
        <f t="shared" ref="F1029:F1092" si="88">TEXT(E1029,"éééé-hh")</f>
        <v>2019-08</v>
      </c>
      <c r="G1029" s="25">
        <f t="shared" ref="G1029:G1092" si="89">AVERAGEIF($F$4:$F$1353,F1029,$B$4:$B$1353)</f>
        <v>54.104999999999997</v>
      </c>
    </row>
    <row r="1030" spans="1:7" x14ac:dyDescent="0.25">
      <c r="A1030" s="18" t="s">
        <v>959</v>
      </c>
      <c r="B1030" s="28">
        <v>53.07</v>
      </c>
      <c r="C1030" s="16" t="str">
        <f t="shared" si="85"/>
        <v>2019</v>
      </c>
      <c r="D1030" t="str">
        <f t="shared" si="86"/>
        <v>36</v>
      </c>
      <c r="E1030" s="21">
        <f t="shared" si="87"/>
        <v>43711</v>
      </c>
      <c r="F1030" s="17" t="str">
        <f t="shared" si="88"/>
        <v>2019-09</v>
      </c>
      <c r="G1030" s="25">
        <f t="shared" si="89"/>
        <v>50.055</v>
      </c>
    </row>
    <row r="1031" spans="1:7" x14ac:dyDescent="0.25">
      <c r="A1031" s="18" t="s">
        <v>958</v>
      </c>
      <c r="B1031" s="28">
        <v>50.8</v>
      </c>
      <c r="C1031" s="16" t="str">
        <f t="shared" si="85"/>
        <v>2019</v>
      </c>
      <c r="D1031" t="str">
        <f t="shared" si="86"/>
        <v>37</v>
      </c>
      <c r="E1031" s="21">
        <f t="shared" si="87"/>
        <v>43718</v>
      </c>
      <c r="F1031" s="17" t="str">
        <f t="shared" si="88"/>
        <v>2019-09</v>
      </c>
      <c r="G1031" s="25">
        <f t="shared" si="89"/>
        <v>50.055</v>
      </c>
    </row>
    <row r="1032" spans="1:7" x14ac:dyDescent="0.25">
      <c r="A1032" s="18" t="s">
        <v>957</v>
      </c>
      <c r="B1032" s="28">
        <v>48.62</v>
      </c>
      <c r="C1032" s="16" t="str">
        <f t="shared" si="85"/>
        <v>2019</v>
      </c>
      <c r="D1032" t="str">
        <f t="shared" si="86"/>
        <v>38</v>
      </c>
      <c r="E1032" s="21">
        <f t="shared" si="87"/>
        <v>43725</v>
      </c>
      <c r="F1032" s="17" t="str">
        <f t="shared" si="88"/>
        <v>2019-09</v>
      </c>
      <c r="G1032" s="25">
        <f t="shared" si="89"/>
        <v>50.055</v>
      </c>
    </row>
    <row r="1033" spans="1:7" x14ac:dyDescent="0.25">
      <c r="A1033" s="18" t="s">
        <v>956</v>
      </c>
      <c r="B1033" s="28">
        <v>47.73</v>
      </c>
      <c r="C1033" s="16" t="str">
        <f t="shared" si="85"/>
        <v>2019</v>
      </c>
      <c r="D1033" t="str">
        <f t="shared" si="86"/>
        <v>39</v>
      </c>
      <c r="E1033" s="21">
        <f t="shared" si="87"/>
        <v>43732</v>
      </c>
      <c r="F1033" s="17" t="str">
        <f t="shared" si="88"/>
        <v>2019-09</v>
      </c>
      <c r="G1033" s="25">
        <f t="shared" si="89"/>
        <v>50.055</v>
      </c>
    </row>
    <row r="1034" spans="1:7" x14ac:dyDescent="0.25">
      <c r="A1034" s="18" t="s">
        <v>955</v>
      </c>
      <c r="B1034" s="28">
        <v>46.83</v>
      </c>
      <c r="C1034" s="16" t="str">
        <f t="shared" si="85"/>
        <v>2019</v>
      </c>
      <c r="D1034" t="str">
        <f t="shared" si="86"/>
        <v>40</v>
      </c>
      <c r="E1034" s="21">
        <f t="shared" si="87"/>
        <v>43739</v>
      </c>
      <c r="F1034" s="17" t="str">
        <f t="shared" si="88"/>
        <v>2019-10</v>
      </c>
      <c r="G1034" s="25">
        <f t="shared" si="89"/>
        <v>51.81</v>
      </c>
    </row>
    <row r="1035" spans="1:7" x14ac:dyDescent="0.25">
      <c r="A1035" s="18" t="s">
        <v>954</v>
      </c>
      <c r="B1035" s="28">
        <v>50.7</v>
      </c>
      <c r="C1035" s="16" t="str">
        <f t="shared" si="85"/>
        <v>2019</v>
      </c>
      <c r="D1035" t="str">
        <f t="shared" si="86"/>
        <v>41</v>
      </c>
      <c r="E1035" s="21">
        <f t="shared" si="87"/>
        <v>43746</v>
      </c>
      <c r="F1035" s="17" t="str">
        <f t="shared" si="88"/>
        <v>2019-10</v>
      </c>
      <c r="G1035" s="25">
        <f t="shared" si="89"/>
        <v>51.81</v>
      </c>
    </row>
    <row r="1036" spans="1:7" x14ac:dyDescent="0.25">
      <c r="A1036" s="18" t="s">
        <v>953</v>
      </c>
      <c r="B1036" s="28">
        <v>54.66</v>
      </c>
      <c r="C1036" s="16" t="str">
        <f t="shared" si="85"/>
        <v>2019</v>
      </c>
      <c r="D1036" t="str">
        <f t="shared" si="86"/>
        <v>42</v>
      </c>
      <c r="E1036" s="21">
        <f t="shared" si="87"/>
        <v>43753</v>
      </c>
      <c r="F1036" s="17" t="str">
        <f t="shared" si="88"/>
        <v>2019-10</v>
      </c>
      <c r="G1036" s="25">
        <f t="shared" si="89"/>
        <v>51.81</v>
      </c>
    </row>
    <row r="1037" spans="1:7" x14ac:dyDescent="0.25">
      <c r="A1037" s="18" t="s">
        <v>952</v>
      </c>
      <c r="B1037" s="28">
        <v>53.87</v>
      </c>
      <c r="C1037" s="16" t="str">
        <f t="shared" si="85"/>
        <v>2019</v>
      </c>
      <c r="D1037" t="str">
        <f t="shared" si="86"/>
        <v>43</v>
      </c>
      <c r="E1037" s="21">
        <f t="shared" si="87"/>
        <v>43760</v>
      </c>
      <c r="F1037" s="17" t="str">
        <f t="shared" si="88"/>
        <v>2019-10</v>
      </c>
      <c r="G1037" s="25">
        <f t="shared" si="89"/>
        <v>51.81</v>
      </c>
    </row>
    <row r="1038" spans="1:7" x14ac:dyDescent="0.25">
      <c r="A1038" s="18" t="s">
        <v>951</v>
      </c>
      <c r="B1038" s="28">
        <v>52.99</v>
      </c>
      <c r="C1038" s="16" t="str">
        <f t="shared" si="85"/>
        <v>2019</v>
      </c>
      <c r="D1038" t="str">
        <f t="shared" si="86"/>
        <v>44</v>
      </c>
      <c r="E1038" s="21">
        <f t="shared" si="87"/>
        <v>43767</v>
      </c>
      <c r="F1038" s="17" t="str">
        <f t="shared" si="88"/>
        <v>2019-10</v>
      </c>
      <c r="G1038" s="25">
        <f t="shared" si="89"/>
        <v>51.81</v>
      </c>
    </row>
    <row r="1039" spans="1:7" x14ac:dyDescent="0.25">
      <c r="A1039" s="18" t="s">
        <v>950</v>
      </c>
      <c r="B1039" s="28">
        <v>54.48</v>
      </c>
      <c r="C1039" s="16" t="str">
        <f t="shared" si="85"/>
        <v>2019</v>
      </c>
      <c r="D1039" t="str">
        <f t="shared" si="86"/>
        <v>45</v>
      </c>
      <c r="E1039" s="21">
        <f t="shared" si="87"/>
        <v>43774</v>
      </c>
      <c r="F1039" s="17" t="str">
        <f t="shared" si="88"/>
        <v>2019-11</v>
      </c>
      <c r="G1039" s="25">
        <f t="shared" si="89"/>
        <v>59.480000000000004</v>
      </c>
    </row>
    <row r="1040" spans="1:7" x14ac:dyDescent="0.25">
      <c r="A1040" s="18" t="s">
        <v>949</v>
      </c>
      <c r="B1040" s="28">
        <v>58.63</v>
      </c>
      <c r="C1040" s="16" t="str">
        <f t="shared" si="85"/>
        <v>2019</v>
      </c>
      <c r="D1040" t="str">
        <f t="shared" si="86"/>
        <v>46</v>
      </c>
      <c r="E1040" s="21">
        <f t="shared" si="87"/>
        <v>43781</v>
      </c>
      <c r="F1040" s="17" t="str">
        <f t="shared" si="88"/>
        <v>2019-11</v>
      </c>
      <c r="G1040" s="25">
        <f t="shared" si="89"/>
        <v>59.480000000000004</v>
      </c>
    </row>
    <row r="1041" spans="1:7" x14ac:dyDescent="0.25">
      <c r="A1041" s="18" t="s">
        <v>948</v>
      </c>
      <c r="B1041" s="28">
        <v>61.56</v>
      </c>
      <c r="C1041" s="16" t="str">
        <f t="shared" si="85"/>
        <v>2019</v>
      </c>
      <c r="D1041" t="str">
        <f t="shared" si="86"/>
        <v>47</v>
      </c>
      <c r="E1041" s="21">
        <f t="shared" si="87"/>
        <v>43788</v>
      </c>
      <c r="F1041" s="17" t="str">
        <f t="shared" si="88"/>
        <v>2019-11</v>
      </c>
      <c r="G1041" s="25">
        <f t="shared" si="89"/>
        <v>59.480000000000004</v>
      </c>
    </row>
    <row r="1042" spans="1:7" x14ac:dyDescent="0.25">
      <c r="A1042" s="18" t="s">
        <v>947</v>
      </c>
      <c r="B1042" s="28">
        <v>63.25</v>
      </c>
      <c r="C1042" s="16" t="str">
        <f t="shared" si="85"/>
        <v>2019</v>
      </c>
      <c r="D1042" t="str">
        <f t="shared" si="86"/>
        <v>48</v>
      </c>
      <c r="E1042" s="21">
        <f t="shared" si="87"/>
        <v>43795</v>
      </c>
      <c r="F1042" s="17" t="str">
        <f t="shared" si="88"/>
        <v>2019-11</v>
      </c>
      <c r="G1042" s="25">
        <f t="shared" si="89"/>
        <v>59.480000000000004</v>
      </c>
    </row>
    <row r="1043" spans="1:7" x14ac:dyDescent="0.25">
      <c r="A1043" s="18" t="s">
        <v>946</v>
      </c>
      <c r="B1043" s="28">
        <v>63.72</v>
      </c>
      <c r="C1043" s="16" t="str">
        <f t="shared" si="85"/>
        <v>2019</v>
      </c>
      <c r="D1043" t="str">
        <f t="shared" si="86"/>
        <v>49</v>
      </c>
      <c r="E1043" s="21">
        <f t="shared" si="87"/>
        <v>43802</v>
      </c>
      <c r="F1043" s="17" t="str">
        <f t="shared" si="88"/>
        <v>2019-12</v>
      </c>
      <c r="G1043" s="25">
        <f t="shared" si="89"/>
        <v>71.142500000000013</v>
      </c>
    </row>
    <row r="1044" spans="1:7" x14ac:dyDescent="0.25">
      <c r="A1044" s="18" t="s">
        <v>945</v>
      </c>
      <c r="B1044" s="28">
        <v>68.760000000000005</v>
      </c>
      <c r="C1044" s="16" t="str">
        <f t="shared" ref="C1044:C1107" si="90">LEFT(A1044,4)</f>
        <v>2019</v>
      </c>
      <c r="D1044" t="str">
        <f t="shared" ref="D1044:D1107" si="91">RIGHT(A1044,2)</f>
        <v>50</v>
      </c>
      <c r="E1044" s="21">
        <f t="shared" si="87"/>
        <v>43809</v>
      </c>
      <c r="F1044" s="17" t="str">
        <f t="shared" si="88"/>
        <v>2019-12</v>
      </c>
      <c r="G1044" s="25">
        <f t="shared" si="89"/>
        <v>71.142500000000013</v>
      </c>
    </row>
    <row r="1045" spans="1:7" x14ac:dyDescent="0.25">
      <c r="A1045" s="18" t="s">
        <v>944</v>
      </c>
      <c r="B1045" s="28">
        <v>75.05</v>
      </c>
      <c r="C1045" s="16" t="str">
        <f t="shared" si="90"/>
        <v>2019</v>
      </c>
      <c r="D1045" t="str">
        <f t="shared" si="91"/>
        <v>51</v>
      </c>
      <c r="E1045" s="21">
        <f t="shared" si="87"/>
        <v>43816</v>
      </c>
      <c r="F1045" s="17" t="str">
        <f t="shared" si="88"/>
        <v>2019-12</v>
      </c>
      <c r="G1045" s="25">
        <f t="shared" si="89"/>
        <v>71.142500000000013</v>
      </c>
    </row>
    <row r="1046" spans="1:7" x14ac:dyDescent="0.25">
      <c r="A1046" s="18" t="s">
        <v>943</v>
      </c>
      <c r="B1046" s="28">
        <v>77.040000000000006</v>
      </c>
      <c r="C1046" s="16" t="str">
        <f t="shared" si="90"/>
        <v>2019</v>
      </c>
      <c r="D1046" t="str">
        <f t="shared" si="91"/>
        <v>52</v>
      </c>
      <c r="E1046" s="21">
        <f t="shared" si="87"/>
        <v>43823</v>
      </c>
      <c r="F1046" s="17" t="str">
        <f t="shared" si="88"/>
        <v>2019-12</v>
      </c>
      <c r="G1046" s="25">
        <f t="shared" si="89"/>
        <v>71.142500000000013</v>
      </c>
    </row>
    <row r="1047" spans="1:7" x14ac:dyDescent="0.25">
      <c r="A1047" s="18" t="s">
        <v>942</v>
      </c>
      <c r="B1047" s="28">
        <v>78.2</v>
      </c>
      <c r="C1047" s="16" t="str">
        <f t="shared" si="90"/>
        <v>2020</v>
      </c>
      <c r="D1047" t="str">
        <f t="shared" si="91"/>
        <v>01</v>
      </c>
      <c r="E1047" s="21">
        <f t="shared" si="87"/>
        <v>43831</v>
      </c>
      <c r="F1047" s="17" t="str">
        <f t="shared" si="88"/>
        <v>2020-01</v>
      </c>
      <c r="G1047" s="25">
        <f t="shared" si="89"/>
        <v>75.597999999999999</v>
      </c>
    </row>
    <row r="1048" spans="1:7" x14ac:dyDescent="0.25">
      <c r="A1048" s="18" t="s">
        <v>941</v>
      </c>
      <c r="B1048" s="28">
        <v>77.63</v>
      </c>
      <c r="C1048" s="16" t="str">
        <f t="shared" si="90"/>
        <v>2020</v>
      </c>
      <c r="D1048" t="str">
        <f t="shared" si="91"/>
        <v>02</v>
      </c>
      <c r="E1048" s="21">
        <f t="shared" si="87"/>
        <v>43838</v>
      </c>
      <c r="F1048" s="17" t="str">
        <f t="shared" si="88"/>
        <v>2020-01</v>
      </c>
      <c r="G1048" s="25">
        <f t="shared" si="89"/>
        <v>75.597999999999999</v>
      </c>
    </row>
    <row r="1049" spans="1:7" x14ac:dyDescent="0.25">
      <c r="A1049" s="18" t="s">
        <v>940</v>
      </c>
      <c r="B1049" s="28">
        <v>76.38</v>
      </c>
      <c r="C1049" s="16" t="str">
        <f t="shared" si="90"/>
        <v>2020</v>
      </c>
      <c r="D1049" t="str">
        <f t="shared" si="91"/>
        <v>03</v>
      </c>
      <c r="E1049" s="21">
        <f t="shared" si="87"/>
        <v>43845</v>
      </c>
      <c r="F1049" s="17" t="str">
        <f t="shared" si="88"/>
        <v>2020-01</v>
      </c>
      <c r="G1049" s="25">
        <f t="shared" si="89"/>
        <v>75.597999999999999</v>
      </c>
    </row>
    <row r="1050" spans="1:7" x14ac:dyDescent="0.25">
      <c r="A1050" s="18" t="s">
        <v>939</v>
      </c>
      <c r="B1050" s="28">
        <v>75.53</v>
      </c>
      <c r="C1050" s="16" t="str">
        <f t="shared" si="90"/>
        <v>2020</v>
      </c>
      <c r="D1050" t="str">
        <f t="shared" si="91"/>
        <v>04</v>
      </c>
      <c r="E1050" s="21">
        <f t="shared" si="87"/>
        <v>43852</v>
      </c>
      <c r="F1050" s="17" t="str">
        <f t="shared" si="88"/>
        <v>2020-01</v>
      </c>
      <c r="G1050" s="25">
        <f t="shared" si="89"/>
        <v>75.597999999999999</v>
      </c>
    </row>
    <row r="1051" spans="1:7" x14ac:dyDescent="0.25">
      <c r="A1051" s="18" t="s">
        <v>938</v>
      </c>
      <c r="B1051" s="28">
        <v>70.25</v>
      </c>
      <c r="C1051" s="16" t="str">
        <f t="shared" si="90"/>
        <v>2020</v>
      </c>
      <c r="D1051" t="str">
        <f t="shared" si="91"/>
        <v>05</v>
      </c>
      <c r="E1051" s="21">
        <f t="shared" si="87"/>
        <v>43859</v>
      </c>
      <c r="F1051" s="17" t="str">
        <f t="shared" si="88"/>
        <v>2020-01</v>
      </c>
      <c r="G1051" s="25">
        <f t="shared" si="89"/>
        <v>75.597999999999999</v>
      </c>
    </row>
    <row r="1052" spans="1:7" x14ac:dyDescent="0.25">
      <c r="A1052" s="18" t="s">
        <v>937</v>
      </c>
      <c r="B1052" s="28">
        <v>65.56</v>
      </c>
      <c r="C1052" s="16" t="str">
        <f t="shared" si="90"/>
        <v>2020</v>
      </c>
      <c r="D1052" t="str">
        <f t="shared" si="91"/>
        <v>06</v>
      </c>
      <c r="E1052" s="21">
        <f t="shared" si="87"/>
        <v>43866</v>
      </c>
      <c r="F1052" s="17" t="str">
        <f t="shared" si="88"/>
        <v>2020-02</v>
      </c>
      <c r="G1052" s="25">
        <f t="shared" si="89"/>
        <v>67.81750000000001</v>
      </c>
    </row>
    <row r="1053" spans="1:7" x14ac:dyDescent="0.25">
      <c r="A1053" s="18" t="s">
        <v>936</v>
      </c>
      <c r="B1053" s="28">
        <v>64.489999999999995</v>
      </c>
      <c r="C1053" s="16" t="str">
        <f t="shared" si="90"/>
        <v>2020</v>
      </c>
      <c r="D1053" t="str">
        <f t="shared" si="91"/>
        <v>07</v>
      </c>
      <c r="E1053" s="21">
        <f t="shared" si="87"/>
        <v>43873</v>
      </c>
      <c r="F1053" s="17" t="str">
        <f t="shared" si="88"/>
        <v>2020-02</v>
      </c>
      <c r="G1053" s="25">
        <f t="shared" si="89"/>
        <v>67.81750000000001</v>
      </c>
    </row>
    <row r="1054" spans="1:7" x14ac:dyDescent="0.25">
      <c r="A1054" s="18" t="s">
        <v>935</v>
      </c>
      <c r="B1054" s="28">
        <v>68.42</v>
      </c>
      <c r="C1054" s="16" t="str">
        <f t="shared" si="90"/>
        <v>2020</v>
      </c>
      <c r="D1054" t="str">
        <f t="shared" si="91"/>
        <v>08</v>
      </c>
      <c r="E1054" s="21">
        <f t="shared" si="87"/>
        <v>43880</v>
      </c>
      <c r="F1054" s="17" t="str">
        <f t="shared" si="88"/>
        <v>2020-02</v>
      </c>
      <c r="G1054" s="25">
        <f t="shared" si="89"/>
        <v>67.81750000000001</v>
      </c>
    </row>
    <row r="1055" spans="1:7" x14ac:dyDescent="0.25">
      <c r="A1055" s="18" t="s">
        <v>934</v>
      </c>
      <c r="B1055" s="28">
        <v>72.8</v>
      </c>
      <c r="C1055" s="16" t="str">
        <f t="shared" si="90"/>
        <v>2020</v>
      </c>
      <c r="D1055" t="str">
        <f t="shared" si="91"/>
        <v>09</v>
      </c>
      <c r="E1055" s="21">
        <f t="shared" si="87"/>
        <v>43887</v>
      </c>
      <c r="F1055" s="17" t="str">
        <f t="shared" si="88"/>
        <v>2020-02</v>
      </c>
      <c r="G1055" s="25">
        <f t="shared" si="89"/>
        <v>67.81750000000001</v>
      </c>
    </row>
    <row r="1056" spans="1:7" x14ac:dyDescent="0.25">
      <c r="A1056" s="18" t="s">
        <v>933</v>
      </c>
      <c r="B1056" s="28">
        <v>67.739999999999995</v>
      </c>
      <c r="C1056" s="16" t="str">
        <f t="shared" si="90"/>
        <v>2020</v>
      </c>
      <c r="D1056" t="str">
        <f t="shared" si="91"/>
        <v>10</v>
      </c>
      <c r="E1056" s="21">
        <f t="shared" si="87"/>
        <v>43894</v>
      </c>
      <c r="F1056" s="17" t="str">
        <f t="shared" si="88"/>
        <v>2020-03</v>
      </c>
      <c r="G1056" s="25">
        <f t="shared" si="89"/>
        <v>63.537499999999994</v>
      </c>
    </row>
    <row r="1057" spans="1:7" x14ac:dyDescent="0.25">
      <c r="A1057" s="18" t="s">
        <v>932</v>
      </c>
      <c r="B1057" s="28">
        <v>66.17</v>
      </c>
      <c r="C1057" s="16" t="str">
        <f t="shared" si="90"/>
        <v>2020</v>
      </c>
      <c r="D1057" t="str">
        <f t="shared" si="91"/>
        <v>11</v>
      </c>
      <c r="E1057" s="21">
        <f t="shared" si="87"/>
        <v>43901</v>
      </c>
      <c r="F1057" s="17" t="str">
        <f t="shared" si="88"/>
        <v>2020-03</v>
      </c>
      <c r="G1057" s="25">
        <f t="shared" si="89"/>
        <v>63.537499999999994</v>
      </c>
    </row>
    <row r="1058" spans="1:7" x14ac:dyDescent="0.25">
      <c r="A1058" s="18" t="s">
        <v>931</v>
      </c>
      <c r="B1058" s="28">
        <v>61.29</v>
      </c>
      <c r="C1058" s="16" t="str">
        <f t="shared" si="90"/>
        <v>2020</v>
      </c>
      <c r="D1058" t="str">
        <f t="shared" si="91"/>
        <v>12</v>
      </c>
      <c r="E1058" s="21">
        <f t="shared" si="87"/>
        <v>43908</v>
      </c>
      <c r="F1058" s="17" t="str">
        <f t="shared" si="88"/>
        <v>2020-03</v>
      </c>
      <c r="G1058" s="25">
        <f t="shared" si="89"/>
        <v>63.537499999999994</v>
      </c>
    </row>
    <row r="1059" spans="1:7" x14ac:dyDescent="0.25">
      <c r="A1059" s="18" t="s">
        <v>930</v>
      </c>
      <c r="B1059" s="28">
        <v>58.95</v>
      </c>
      <c r="C1059" s="16" t="str">
        <f t="shared" si="90"/>
        <v>2020</v>
      </c>
      <c r="D1059" t="str">
        <f t="shared" si="91"/>
        <v>13</v>
      </c>
      <c r="E1059" s="21">
        <f t="shared" si="87"/>
        <v>43915</v>
      </c>
      <c r="F1059" s="17" t="str">
        <f t="shared" si="88"/>
        <v>2020-03</v>
      </c>
      <c r="G1059" s="25">
        <f t="shared" si="89"/>
        <v>63.537499999999994</v>
      </c>
    </row>
    <row r="1060" spans="1:7" x14ac:dyDescent="0.25">
      <c r="A1060" s="18" t="s">
        <v>929</v>
      </c>
      <c r="B1060" s="28">
        <v>60.04</v>
      </c>
      <c r="C1060" s="16" t="str">
        <f t="shared" si="90"/>
        <v>2020</v>
      </c>
      <c r="D1060" t="str">
        <f t="shared" si="91"/>
        <v>14</v>
      </c>
      <c r="E1060" s="21">
        <f t="shared" si="87"/>
        <v>43922</v>
      </c>
      <c r="F1060" s="17" t="str">
        <f t="shared" si="88"/>
        <v>2020-04</v>
      </c>
      <c r="G1060" s="25">
        <f t="shared" si="89"/>
        <v>57.56</v>
      </c>
    </row>
    <row r="1061" spans="1:7" x14ac:dyDescent="0.25">
      <c r="A1061" s="18" t="s">
        <v>928</v>
      </c>
      <c r="B1061" s="28">
        <v>59.34</v>
      </c>
      <c r="C1061" s="16" t="str">
        <f t="shared" si="90"/>
        <v>2020</v>
      </c>
      <c r="D1061" t="str">
        <f t="shared" si="91"/>
        <v>15</v>
      </c>
      <c r="E1061" s="21">
        <f t="shared" si="87"/>
        <v>43929</v>
      </c>
      <c r="F1061" s="17" t="str">
        <f t="shared" si="88"/>
        <v>2020-04</v>
      </c>
      <c r="G1061" s="25">
        <f t="shared" si="89"/>
        <v>57.56</v>
      </c>
    </row>
    <row r="1062" spans="1:7" x14ac:dyDescent="0.25">
      <c r="A1062" s="18" t="s">
        <v>927</v>
      </c>
      <c r="B1062" s="28">
        <v>56.11</v>
      </c>
      <c r="C1062" s="16" t="str">
        <f t="shared" si="90"/>
        <v>2020</v>
      </c>
      <c r="D1062" t="str">
        <f t="shared" si="91"/>
        <v>16</v>
      </c>
      <c r="E1062" s="21">
        <f t="shared" si="87"/>
        <v>43936</v>
      </c>
      <c r="F1062" s="17" t="str">
        <f t="shared" si="88"/>
        <v>2020-04</v>
      </c>
      <c r="G1062" s="25">
        <f t="shared" si="89"/>
        <v>57.56</v>
      </c>
    </row>
    <row r="1063" spans="1:7" x14ac:dyDescent="0.25">
      <c r="A1063" s="18" t="s">
        <v>926</v>
      </c>
      <c r="B1063" s="28">
        <v>56.46</v>
      </c>
      <c r="C1063" s="16" t="str">
        <f t="shared" si="90"/>
        <v>2020</v>
      </c>
      <c r="D1063" t="str">
        <f t="shared" si="91"/>
        <v>17</v>
      </c>
      <c r="E1063" s="21">
        <f t="shared" si="87"/>
        <v>43943</v>
      </c>
      <c r="F1063" s="17" t="str">
        <f t="shared" si="88"/>
        <v>2020-04</v>
      </c>
      <c r="G1063" s="25">
        <f t="shared" si="89"/>
        <v>57.56</v>
      </c>
    </row>
    <row r="1064" spans="1:7" x14ac:dyDescent="0.25">
      <c r="A1064" s="18" t="s">
        <v>925</v>
      </c>
      <c r="B1064" s="28">
        <v>55.85</v>
      </c>
      <c r="C1064" s="16" t="str">
        <f t="shared" si="90"/>
        <v>2020</v>
      </c>
      <c r="D1064" t="str">
        <f t="shared" si="91"/>
        <v>18</v>
      </c>
      <c r="E1064" s="21">
        <f t="shared" si="87"/>
        <v>43950</v>
      </c>
      <c r="F1064" s="17" t="str">
        <f t="shared" si="88"/>
        <v>2020-04</v>
      </c>
      <c r="G1064" s="25">
        <f t="shared" si="89"/>
        <v>57.56</v>
      </c>
    </row>
    <row r="1065" spans="1:7" x14ac:dyDescent="0.25">
      <c r="A1065" s="18" t="s">
        <v>924</v>
      </c>
      <c r="B1065" s="28">
        <v>54.66</v>
      </c>
      <c r="C1065" s="16" t="str">
        <f t="shared" si="90"/>
        <v>2020</v>
      </c>
      <c r="D1065" t="str">
        <f t="shared" si="91"/>
        <v>19</v>
      </c>
      <c r="E1065" s="21">
        <f t="shared" si="87"/>
        <v>43957</v>
      </c>
      <c r="F1065" s="17" t="str">
        <f t="shared" si="88"/>
        <v>2020-05</v>
      </c>
      <c r="G1065" s="25">
        <f t="shared" si="89"/>
        <v>60.892499999999998</v>
      </c>
    </row>
    <row r="1066" spans="1:7" x14ac:dyDescent="0.25">
      <c r="A1066" s="18" t="s">
        <v>923</v>
      </c>
      <c r="B1066" s="28">
        <v>59.17</v>
      </c>
      <c r="C1066" s="16" t="str">
        <f t="shared" si="90"/>
        <v>2020</v>
      </c>
      <c r="D1066" t="str">
        <f t="shared" si="91"/>
        <v>20</v>
      </c>
      <c r="E1066" s="21">
        <f t="shared" si="87"/>
        <v>43964</v>
      </c>
      <c r="F1066" s="17" t="str">
        <f t="shared" si="88"/>
        <v>2020-05</v>
      </c>
      <c r="G1066" s="25">
        <f t="shared" si="89"/>
        <v>60.892499999999998</v>
      </c>
    </row>
    <row r="1067" spans="1:7" x14ac:dyDescent="0.25">
      <c r="A1067" s="18" t="s">
        <v>922</v>
      </c>
      <c r="B1067" s="28">
        <v>65.459999999999994</v>
      </c>
      <c r="C1067" s="16" t="str">
        <f t="shared" si="90"/>
        <v>2020</v>
      </c>
      <c r="D1067" t="str">
        <f t="shared" si="91"/>
        <v>21</v>
      </c>
      <c r="E1067" s="21">
        <f t="shared" si="87"/>
        <v>43971</v>
      </c>
      <c r="F1067" s="17" t="str">
        <f t="shared" si="88"/>
        <v>2020-05</v>
      </c>
      <c r="G1067" s="25">
        <f t="shared" si="89"/>
        <v>60.892499999999998</v>
      </c>
    </row>
    <row r="1068" spans="1:7" x14ac:dyDescent="0.25">
      <c r="A1068" s="18" t="s">
        <v>921</v>
      </c>
      <c r="B1068" s="28">
        <v>64.28</v>
      </c>
      <c r="C1068" s="16" t="str">
        <f t="shared" si="90"/>
        <v>2020</v>
      </c>
      <c r="D1068" t="str">
        <f t="shared" si="91"/>
        <v>22</v>
      </c>
      <c r="E1068" s="21">
        <f t="shared" si="87"/>
        <v>43978</v>
      </c>
      <c r="F1068" s="17" t="str">
        <f t="shared" si="88"/>
        <v>2020-05</v>
      </c>
      <c r="G1068" s="25">
        <f t="shared" si="89"/>
        <v>60.892499999999998</v>
      </c>
    </row>
    <row r="1069" spans="1:7" x14ac:dyDescent="0.25">
      <c r="A1069" s="18" t="s">
        <v>920</v>
      </c>
      <c r="B1069" s="28">
        <v>69.23</v>
      </c>
      <c r="C1069" s="16" t="str">
        <f t="shared" si="90"/>
        <v>2020</v>
      </c>
      <c r="D1069" t="str">
        <f t="shared" si="91"/>
        <v>23</v>
      </c>
      <c r="E1069" s="21">
        <f t="shared" si="87"/>
        <v>43985</v>
      </c>
      <c r="F1069" s="17" t="str">
        <f t="shared" si="88"/>
        <v>2020-06</v>
      </c>
      <c r="G1069" s="25">
        <f t="shared" si="89"/>
        <v>65.025000000000006</v>
      </c>
    </row>
    <row r="1070" spans="1:7" x14ac:dyDescent="0.25">
      <c r="A1070" s="18" t="s">
        <v>919</v>
      </c>
      <c r="B1070" s="28">
        <v>69.94</v>
      </c>
      <c r="C1070" s="16" t="str">
        <f t="shared" si="90"/>
        <v>2020</v>
      </c>
      <c r="D1070" t="str">
        <f t="shared" si="91"/>
        <v>24</v>
      </c>
      <c r="E1070" s="21">
        <f t="shared" si="87"/>
        <v>43992</v>
      </c>
      <c r="F1070" s="17" t="str">
        <f t="shared" si="88"/>
        <v>2020-06</v>
      </c>
      <c r="G1070" s="25">
        <f t="shared" si="89"/>
        <v>65.025000000000006</v>
      </c>
    </row>
    <row r="1071" spans="1:7" x14ac:dyDescent="0.25">
      <c r="A1071" s="18" t="s">
        <v>918</v>
      </c>
      <c r="B1071" s="28">
        <v>61.92</v>
      </c>
      <c r="C1071" s="16" t="str">
        <f t="shared" si="90"/>
        <v>2020</v>
      </c>
      <c r="D1071" t="str">
        <f t="shared" si="91"/>
        <v>25</v>
      </c>
      <c r="E1071" s="21">
        <f t="shared" si="87"/>
        <v>43999</v>
      </c>
      <c r="F1071" s="17" t="str">
        <f t="shared" si="88"/>
        <v>2020-06</v>
      </c>
      <c r="G1071" s="25">
        <f t="shared" si="89"/>
        <v>65.025000000000006</v>
      </c>
    </row>
    <row r="1072" spans="1:7" x14ac:dyDescent="0.25">
      <c r="A1072" s="18" t="s">
        <v>917</v>
      </c>
      <c r="B1072" s="28">
        <v>59.01</v>
      </c>
      <c r="C1072" s="16" t="str">
        <f t="shared" si="90"/>
        <v>2020</v>
      </c>
      <c r="D1072" t="str">
        <f t="shared" si="91"/>
        <v>26</v>
      </c>
      <c r="E1072" s="21">
        <f t="shared" si="87"/>
        <v>44006</v>
      </c>
      <c r="F1072" s="17" t="str">
        <f t="shared" si="88"/>
        <v>2020-06</v>
      </c>
      <c r="G1072" s="25">
        <f t="shared" si="89"/>
        <v>65.025000000000006</v>
      </c>
    </row>
    <row r="1073" spans="1:7" x14ac:dyDescent="0.25">
      <c r="A1073" s="18" t="s">
        <v>916</v>
      </c>
      <c r="B1073" s="28">
        <v>59.81</v>
      </c>
      <c r="C1073" s="16" t="str">
        <f t="shared" si="90"/>
        <v>2020</v>
      </c>
      <c r="D1073" t="str">
        <f t="shared" si="91"/>
        <v>27</v>
      </c>
      <c r="E1073" s="21">
        <f t="shared" si="87"/>
        <v>44013</v>
      </c>
      <c r="F1073" s="17" t="str">
        <f t="shared" si="88"/>
        <v>2020-07</v>
      </c>
      <c r="G1073" s="25">
        <f t="shared" si="89"/>
        <v>54.625999999999998</v>
      </c>
    </row>
    <row r="1074" spans="1:7" x14ac:dyDescent="0.25">
      <c r="A1074" s="18" t="s">
        <v>915</v>
      </c>
      <c r="B1074" s="28">
        <v>58.69</v>
      </c>
      <c r="C1074" s="16" t="str">
        <f t="shared" si="90"/>
        <v>2020</v>
      </c>
      <c r="D1074" t="str">
        <f t="shared" si="91"/>
        <v>28</v>
      </c>
      <c r="E1074" s="21">
        <f t="shared" si="87"/>
        <v>44020</v>
      </c>
      <c r="F1074" s="17" t="str">
        <f t="shared" si="88"/>
        <v>2020-07</v>
      </c>
      <c r="G1074" s="25">
        <f t="shared" si="89"/>
        <v>54.625999999999998</v>
      </c>
    </row>
    <row r="1075" spans="1:7" x14ac:dyDescent="0.25">
      <c r="A1075" s="18" t="s">
        <v>914</v>
      </c>
      <c r="B1075" s="28">
        <v>52.68</v>
      </c>
      <c r="C1075" s="16" t="str">
        <f t="shared" si="90"/>
        <v>2020</v>
      </c>
      <c r="D1075" t="str">
        <f t="shared" si="91"/>
        <v>29</v>
      </c>
      <c r="E1075" s="21">
        <f t="shared" si="87"/>
        <v>44027</v>
      </c>
      <c r="F1075" s="17" t="str">
        <f t="shared" si="88"/>
        <v>2020-07</v>
      </c>
      <c r="G1075" s="25">
        <f t="shared" si="89"/>
        <v>54.625999999999998</v>
      </c>
    </row>
    <row r="1076" spans="1:7" x14ac:dyDescent="0.25">
      <c r="A1076" s="18" t="s">
        <v>913</v>
      </c>
      <c r="B1076" s="28">
        <v>52.23</v>
      </c>
      <c r="C1076" s="16" t="str">
        <f t="shared" si="90"/>
        <v>2020</v>
      </c>
      <c r="D1076" t="str">
        <f t="shared" si="91"/>
        <v>30</v>
      </c>
      <c r="E1076" s="21">
        <f t="shared" si="87"/>
        <v>44034</v>
      </c>
      <c r="F1076" s="17" t="str">
        <f t="shared" si="88"/>
        <v>2020-07</v>
      </c>
      <c r="G1076" s="25">
        <f t="shared" si="89"/>
        <v>54.625999999999998</v>
      </c>
    </row>
    <row r="1077" spans="1:7" x14ac:dyDescent="0.25">
      <c r="A1077" s="18" t="s">
        <v>912</v>
      </c>
      <c r="B1077" s="28">
        <v>49.72</v>
      </c>
      <c r="C1077" s="16" t="str">
        <f t="shared" si="90"/>
        <v>2020</v>
      </c>
      <c r="D1077" t="str">
        <f t="shared" si="91"/>
        <v>31</v>
      </c>
      <c r="E1077" s="21">
        <f t="shared" si="87"/>
        <v>44041</v>
      </c>
      <c r="F1077" s="17" t="str">
        <f t="shared" si="88"/>
        <v>2020-07</v>
      </c>
      <c r="G1077" s="25">
        <f t="shared" si="89"/>
        <v>54.625999999999998</v>
      </c>
    </row>
    <row r="1078" spans="1:7" x14ac:dyDescent="0.25">
      <c r="A1078" s="18" t="s">
        <v>911</v>
      </c>
      <c r="B1078" s="28">
        <v>49.62</v>
      </c>
      <c r="C1078" s="16" t="str">
        <f t="shared" si="90"/>
        <v>2020</v>
      </c>
      <c r="D1078" t="str">
        <f t="shared" si="91"/>
        <v>32</v>
      </c>
      <c r="E1078" s="21">
        <f t="shared" si="87"/>
        <v>44048</v>
      </c>
      <c r="F1078" s="17" t="str">
        <f t="shared" si="88"/>
        <v>2020-08</v>
      </c>
      <c r="G1078" s="25">
        <f t="shared" si="89"/>
        <v>50.795000000000002</v>
      </c>
    </row>
    <row r="1079" spans="1:7" x14ac:dyDescent="0.25">
      <c r="A1079" s="18" t="s">
        <v>910</v>
      </c>
      <c r="B1079" s="28">
        <v>51.7</v>
      </c>
      <c r="C1079" s="16" t="str">
        <f t="shared" si="90"/>
        <v>2020</v>
      </c>
      <c r="D1079" t="str">
        <f t="shared" si="91"/>
        <v>33</v>
      </c>
      <c r="E1079" s="21">
        <f t="shared" si="87"/>
        <v>44055</v>
      </c>
      <c r="F1079" s="17" t="str">
        <f t="shared" si="88"/>
        <v>2020-08</v>
      </c>
      <c r="G1079" s="25">
        <f t="shared" si="89"/>
        <v>50.795000000000002</v>
      </c>
    </row>
    <row r="1080" spans="1:7" x14ac:dyDescent="0.25">
      <c r="A1080" s="18" t="s">
        <v>909</v>
      </c>
      <c r="B1080" s="28">
        <v>52.61</v>
      </c>
      <c r="C1080" s="16" t="str">
        <f t="shared" si="90"/>
        <v>2020</v>
      </c>
      <c r="D1080" t="str">
        <f t="shared" si="91"/>
        <v>34</v>
      </c>
      <c r="E1080" s="21">
        <f t="shared" si="87"/>
        <v>44062</v>
      </c>
      <c r="F1080" s="17" t="str">
        <f t="shared" si="88"/>
        <v>2020-08</v>
      </c>
      <c r="G1080" s="25">
        <f t="shared" si="89"/>
        <v>50.795000000000002</v>
      </c>
    </row>
    <row r="1081" spans="1:7" x14ac:dyDescent="0.25">
      <c r="A1081" s="18" t="s">
        <v>908</v>
      </c>
      <c r="B1081" s="28">
        <v>49.25</v>
      </c>
      <c r="C1081" s="16" t="str">
        <f t="shared" si="90"/>
        <v>2020</v>
      </c>
      <c r="D1081" t="str">
        <f t="shared" si="91"/>
        <v>35</v>
      </c>
      <c r="E1081" s="21">
        <f t="shared" si="87"/>
        <v>44069</v>
      </c>
      <c r="F1081" s="17" t="str">
        <f t="shared" si="88"/>
        <v>2020-08</v>
      </c>
      <c r="G1081" s="25">
        <f t="shared" si="89"/>
        <v>50.795000000000002</v>
      </c>
    </row>
    <row r="1082" spans="1:7" x14ac:dyDescent="0.25">
      <c r="A1082" s="18" t="s">
        <v>907</v>
      </c>
      <c r="B1082" s="28">
        <v>48.9</v>
      </c>
      <c r="C1082" s="16" t="str">
        <f t="shared" si="90"/>
        <v>2020</v>
      </c>
      <c r="D1082" t="str">
        <f t="shared" si="91"/>
        <v>36</v>
      </c>
      <c r="E1082" s="21">
        <f t="shared" si="87"/>
        <v>44076</v>
      </c>
      <c r="F1082" s="17" t="str">
        <f t="shared" si="88"/>
        <v>2020-09</v>
      </c>
      <c r="G1082" s="25">
        <f t="shared" si="89"/>
        <v>49.492000000000004</v>
      </c>
    </row>
    <row r="1083" spans="1:7" x14ac:dyDescent="0.25">
      <c r="A1083" s="18" t="s">
        <v>906</v>
      </c>
      <c r="B1083" s="28">
        <v>49.46</v>
      </c>
      <c r="C1083" s="16" t="str">
        <f t="shared" si="90"/>
        <v>2020</v>
      </c>
      <c r="D1083" t="str">
        <f t="shared" si="91"/>
        <v>37</v>
      </c>
      <c r="E1083" s="21">
        <f t="shared" si="87"/>
        <v>44083</v>
      </c>
      <c r="F1083" s="17" t="str">
        <f t="shared" si="88"/>
        <v>2020-09</v>
      </c>
      <c r="G1083" s="25">
        <f t="shared" si="89"/>
        <v>49.492000000000004</v>
      </c>
    </row>
    <row r="1084" spans="1:7" x14ac:dyDescent="0.25">
      <c r="A1084" s="18" t="s">
        <v>905</v>
      </c>
      <c r="B1084" s="28">
        <v>48.5</v>
      </c>
      <c r="C1084" s="16" t="str">
        <f t="shared" si="90"/>
        <v>2020</v>
      </c>
      <c r="D1084" t="str">
        <f t="shared" si="91"/>
        <v>38</v>
      </c>
      <c r="E1084" s="21">
        <f t="shared" si="87"/>
        <v>44090</v>
      </c>
      <c r="F1084" s="17" t="str">
        <f t="shared" si="88"/>
        <v>2020-09</v>
      </c>
      <c r="G1084" s="25">
        <f t="shared" si="89"/>
        <v>49.492000000000004</v>
      </c>
    </row>
    <row r="1085" spans="1:7" x14ac:dyDescent="0.25">
      <c r="A1085" s="18" t="s">
        <v>904</v>
      </c>
      <c r="B1085" s="28">
        <v>50.77</v>
      </c>
      <c r="C1085" s="16" t="str">
        <f t="shared" si="90"/>
        <v>2020</v>
      </c>
      <c r="D1085" t="str">
        <f t="shared" si="91"/>
        <v>39</v>
      </c>
      <c r="E1085" s="21">
        <f t="shared" si="87"/>
        <v>44097</v>
      </c>
      <c r="F1085" s="17" t="str">
        <f t="shared" si="88"/>
        <v>2020-09</v>
      </c>
      <c r="G1085" s="25">
        <f t="shared" si="89"/>
        <v>49.492000000000004</v>
      </c>
    </row>
    <row r="1086" spans="1:7" x14ac:dyDescent="0.25">
      <c r="A1086" s="18" t="s">
        <v>903</v>
      </c>
      <c r="B1086" s="28">
        <v>49.83</v>
      </c>
      <c r="C1086" s="16" t="str">
        <f t="shared" si="90"/>
        <v>2020</v>
      </c>
      <c r="D1086" t="str">
        <f t="shared" si="91"/>
        <v>40</v>
      </c>
      <c r="E1086" s="21">
        <f t="shared" si="87"/>
        <v>44104</v>
      </c>
      <c r="F1086" s="17" t="str">
        <f t="shared" si="88"/>
        <v>2020-09</v>
      </c>
      <c r="G1086" s="25">
        <f t="shared" si="89"/>
        <v>49.492000000000004</v>
      </c>
    </row>
    <row r="1087" spans="1:7" x14ac:dyDescent="0.25">
      <c r="A1087" s="18" t="s">
        <v>902</v>
      </c>
      <c r="B1087" s="28">
        <v>48.58</v>
      </c>
      <c r="C1087" s="16" t="str">
        <f t="shared" si="90"/>
        <v>2020</v>
      </c>
      <c r="D1087" t="str">
        <f t="shared" si="91"/>
        <v>41</v>
      </c>
      <c r="E1087" s="21">
        <f t="shared" si="87"/>
        <v>44111</v>
      </c>
      <c r="F1087" s="17" t="str">
        <f t="shared" si="88"/>
        <v>2020-10</v>
      </c>
      <c r="G1087" s="25">
        <f t="shared" si="89"/>
        <v>48.427500000000002</v>
      </c>
    </row>
    <row r="1088" spans="1:7" x14ac:dyDescent="0.25">
      <c r="A1088" s="18" t="s">
        <v>901</v>
      </c>
      <c r="B1088" s="28">
        <v>50</v>
      </c>
      <c r="C1088" s="16" t="str">
        <f t="shared" si="90"/>
        <v>2020</v>
      </c>
      <c r="D1088" t="str">
        <f t="shared" si="91"/>
        <v>42</v>
      </c>
      <c r="E1088" s="21">
        <f t="shared" si="87"/>
        <v>44118</v>
      </c>
      <c r="F1088" s="17" t="str">
        <f t="shared" si="88"/>
        <v>2020-10</v>
      </c>
      <c r="G1088" s="25">
        <f t="shared" si="89"/>
        <v>48.427500000000002</v>
      </c>
    </row>
    <row r="1089" spans="1:7" x14ac:dyDescent="0.25">
      <c r="A1089" s="18" t="s">
        <v>900</v>
      </c>
      <c r="B1089" s="28">
        <v>48.04</v>
      </c>
      <c r="C1089" s="16" t="str">
        <f t="shared" si="90"/>
        <v>2020</v>
      </c>
      <c r="D1089" t="str">
        <f t="shared" si="91"/>
        <v>43</v>
      </c>
      <c r="E1089" s="21">
        <f t="shared" si="87"/>
        <v>44125</v>
      </c>
      <c r="F1089" s="17" t="str">
        <f t="shared" si="88"/>
        <v>2020-10</v>
      </c>
      <c r="G1089" s="25">
        <f t="shared" si="89"/>
        <v>48.427500000000002</v>
      </c>
    </row>
    <row r="1090" spans="1:7" x14ac:dyDescent="0.25">
      <c r="A1090" s="18" t="s">
        <v>899</v>
      </c>
      <c r="B1090" s="28">
        <v>47.09</v>
      </c>
      <c r="C1090" s="16" t="str">
        <f t="shared" si="90"/>
        <v>2020</v>
      </c>
      <c r="D1090" t="str">
        <f t="shared" si="91"/>
        <v>44</v>
      </c>
      <c r="E1090" s="21">
        <f t="shared" si="87"/>
        <v>44132</v>
      </c>
      <c r="F1090" s="17" t="str">
        <f t="shared" si="88"/>
        <v>2020-10</v>
      </c>
      <c r="G1090" s="25">
        <f t="shared" si="89"/>
        <v>48.427500000000002</v>
      </c>
    </row>
    <row r="1091" spans="1:7" x14ac:dyDescent="0.25">
      <c r="A1091" s="18" t="s">
        <v>898</v>
      </c>
      <c r="B1091" s="28">
        <v>46.9</v>
      </c>
      <c r="C1091" s="16" t="str">
        <f t="shared" si="90"/>
        <v>2020</v>
      </c>
      <c r="D1091" t="str">
        <f t="shared" si="91"/>
        <v>45</v>
      </c>
      <c r="E1091" s="21">
        <f t="shared" si="87"/>
        <v>44139</v>
      </c>
      <c r="F1091" s="17" t="str">
        <f t="shared" si="88"/>
        <v>2020-11</v>
      </c>
      <c r="G1091" s="25">
        <f t="shared" si="89"/>
        <v>47.782499999999999</v>
      </c>
    </row>
    <row r="1092" spans="1:7" x14ac:dyDescent="0.25">
      <c r="A1092" s="18" t="s">
        <v>897</v>
      </c>
      <c r="B1092" s="28">
        <v>47.98</v>
      </c>
      <c r="C1092" s="16" t="str">
        <f t="shared" si="90"/>
        <v>2020</v>
      </c>
      <c r="D1092" t="str">
        <f t="shared" si="91"/>
        <v>46</v>
      </c>
      <c r="E1092" s="21">
        <f t="shared" si="87"/>
        <v>44146</v>
      </c>
      <c r="F1092" s="17" t="str">
        <f t="shared" si="88"/>
        <v>2020-11</v>
      </c>
      <c r="G1092" s="25">
        <f t="shared" si="89"/>
        <v>47.782499999999999</v>
      </c>
    </row>
    <row r="1093" spans="1:7" x14ac:dyDescent="0.25">
      <c r="A1093" s="18" t="s">
        <v>896</v>
      </c>
      <c r="B1093" s="28">
        <v>48.58</v>
      </c>
      <c r="C1093" s="16" t="str">
        <f t="shared" si="90"/>
        <v>2020</v>
      </c>
      <c r="D1093" t="str">
        <f t="shared" si="91"/>
        <v>47</v>
      </c>
      <c r="E1093" s="21">
        <f t="shared" ref="E1093:E1156" si="92">DATE(C1093,1,1)+(D1093-1)*7</f>
        <v>44153</v>
      </c>
      <c r="F1093" s="17" t="str">
        <f t="shared" ref="F1093:F1156" si="93">TEXT(E1093,"éééé-hh")</f>
        <v>2020-11</v>
      </c>
      <c r="G1093" s="25">
        <f t="shared" ref="G1093:G1156" si="94">AVERAGEIF($F$4:$F$1353,F1093,$B$4:$B$1353)</f>
        <v>47.782499999999999</v>
      </c>
    </row>
    <row r="1094" spans="1:7" x14ac:dyDescent="0.25">
      <c r="A1094" s="18" t="s">
        <v>895</v>
      </c>
      <c r="B1094" s="28">
        <v>47.67</v>
      </c>
      <c r="C1094" s="16" t="str">
        <f t="shared" si="90"/>
        <v>2020</v>
      </c>
      <c r="D1094" t="str">
        <f t="shared" si="91"/>
        <v>48</v>
      </c>
      <c r="E1094" s="21">
        <f t="shared" si="92"/>
        <v>44160</v>
      </c>
      <c r="F1094" s="17" t="str">
        <f t="shared" si="93"/>
        <v>2020-11</v>
      </c>
      <c r="G1094" s="25">
        <f t="shared" si="94"/>
        <v>47.782499999999999</v>
      </c>
    </row>
    <row r="1095" spans="1:7" x14ac:dyDescent="0.25">
      <c r="A1095" s="18" t="s">
        <v>894</v>
      </c>
      <c r="B1095" s="28">
        <v>46.35</v>
      </c>
      <c r="C1095" s="16" t="str">
        <f t="shared" si="90"/>
        <v>2020</v>
      </c>
      <c r="D1095" t="str">
        <f t="shared" si="91"/>
        <v>49</v>
      </c>
      <c r="E1095" s="21">
        <f t="shared" si="92"/>
        <v>44167</v>
      </c>
      <c r="F1095" s="17" t="str">
        <f t="shared" si="93"/>
        <v>2020-12</v>
      </c>
      <c r="G1095" s="25">
        <f t="shared" si="94"/>
        <v>48.582000000000001</v>
      </c>
    </row>
    <row r="1096" spans="1:7" x14ac:dyDescent="0.25">
      <c r="A1096" s="18" t="s">
        <v>893</v>
      </c>
      <c r="B1096" s="28">
        <v>46.09</v>
      </c>
      <c r="C1096" s="16" t="str">
        <f t="shared" si="90"/>
        <v>2020</v>
      </c>
      <c r="D1096" t="str">
        <f t="shared" si="91"/>
        <v>50</v>
      </c>
      <c r="E1096" s="21">
        <f t="shared" si="92"/>
        <v>44174</v>
      </c>
      <c r="F1096" s="17" t="str">
        <f t="shared" si="93"/>
        <v>2020-12</v>
      </c>
      <c r="G1096" s="25">
        <f t="shared" si="94"/>
        <v>48.582000000000001</v>
      </c>
    </row>
    <row r="1097" spans="1:7" x14ac:dyDescent="0.25">
      <c r="A1097" s="18" t="s">
        <v>892</v>
      </c>
      <c r="B1097" s="28">
        <v>46.24</v>
      </c>
      <c r="C1097" s="16" t="str">
        <f t="shared" si="90"/>
        <v>2020</v>
      </c>
      <c r="D1097" t="str">
        <f t="shared" si="91"/>
        <v>51</v>
      </c>
      <c r="E1097" s="21">
        <f t="shared" si="92"/>
        <v>44181</v>
      </c>
      <c r="F1097" s="17" t="str">
        <f t="shared" si="93"/>
        <v>2020-12</v>
      </c>
      <c r="G1097" s="25">
        <f t="shared" si="94"/>
        <v>48.582000000000001</v>
      </c>
    </row>
    <row r="1098" spans="1:7" x14ac:dyDescent="0.25">
      <c r="A1098" s="18" t="s">
        <v>891</v>
      </c>
      <c r="B1098" s="28">
        <v>50.22</v>
      </c>
      <c r="C1098" s="16" t="str">
        <f t="shared" si="90"/>
        <v>2020</v>
      </c>
      <c r="D1098" t="str">
        <f t="shared" si="91"/>
        <v>52</v>
      </c>
      <c r="E1098" s="21">
        <f t="shared" si="92"/>
        <v>44188</v>
      </c>
      <c r="F1098" s="17" t="str">
        <f t="shared" si="93"/>
        <v>2020-12</v>
      </c>
      <c r="G1098" s="25">
        <f t="shared" si="94"/>
        <v>48.582000000000001</v>
      </c>
    </row>
    <row r="1099" spans="1:7" x14ac:dyDescent="0.25">
      <c r="A1099" s="18" t="s">
        <v>890</v>
      </c>
      <c r="B1099" s="28">
        <v>54.01</v>
      </c>
      <c r="C1099" s="16" t="str">
        <f t="shared" si="90"/>
        <v>2020</v>
      </c>
      <c r="D1099" t="str">
        <f t="shared" si="91"/>
        <v>53</v>
      </c>
      <c r="E1099" s="21">
        <f t="shared" si="92"/>
        <v>44195</v>
      </c>
      <c r="F1099" s="17" t="str">
        <f t="shared" si="93"/>
        <v>2020-12</v>
      </c>
      <c r="G1099" s="25">
        <f t="shared" si="94"/>
        <v>48.582000000000001</v>
      </c>
    </row>
    <row r="1100" spans="1:7" x14ac:dyDescent="0.25">
      <c r="A1100" s="18" t="s">
        <v>889</v>
      </c>
      <c r="B1100" s="28">
        <v>50.38</v>
      </c>
      <c r="C1100" s="16" t="str">
        <f t="shared" si="90"/>
        <v>2021</v>
      </c>
      <c r="D1100" t="str">
        <f t="shared" si="91"/>
        <v>01</v>
      </c>
      <c r="E1100" s="21">
        <f t="shared" si="92"/>
        <v>44197</v>
      </c>
      <c r="F1100" s="17" t="str">
        <f t="shared" si="93"/>
        <v>2021-01</v>
      </c>
      <c r="G1100" s="25">
        <f t="shared" si="94"/>
        <v>48.398000000000003</v>
      </c>
    </row>
    <row r="1101" spans="1:7" x14ac:dyDescent="0.25">
      <c r="A1101" s="18" t="s">
        <v>888</v>
      </c>
      <c r="B1101" s="28">
        <v>46.55</v>
      </c>
      <c r="C1101" s="16" t="str">
        <f t="shared" si="90"/>
        <v>2021</v>
      </c>
      <c r="D1101" t="str">
        <f t="shared" si="91"/>
        <v>02</v>
      </c>
      <c r="E1101" s="21">
        <f t="shared" si="92"/>
        <v>44204</v>
      </c>
      <c r="F1101" s="17" t="str">
        <f t="shared" si="93"/>
        <v>2021-01</v>
      </c>
      <c r="G1101" s="25">
        <f t="shared" si="94"/>
        <v>48.398000000000003</v>
      </c>
    </row>
    <row r="1102" spans="1:7" x14ac:dyDescent="0.25">
      <c r="A1102" s="18" t="s">
        <v>887</v>
      </c>
      <c r="B1102" s="28">
        <v>49.81</v>
      </c>
      <c r="C1102" s="16" t="str">
        <f t="shared" si="90"/>
        <v>2021</v>
      </c>
      <c r="D1102" t="str">
        <f t="shared" si="91"/>
        <v>03</v>
      </c>
      <c r="E1102" s="21">
        <f t="shared" si="92"/>
        <v>44211</v>
      </c>
      <c r="F1102" s="17" t="str">
        <f t="shared" si="93"/>
        <v>2021-01</v>
      </c>
      <c r="G1102" s="25">
        <f t="shared" si="94"/>
        <v>48.398000000000003</v>
      </c>
    </row>
    <row r="1103" spans="1:7" x14ac:dyDescent="0.25">
      <c r="A1103" s="18" t="s">
        <v>886</v>
      </c>
      <c r="B1103" s="28">
        <v>47.94</v>
      </c>
      <c r="C1103" s="16" t="str">
        <f t="shared" si="90"/>
        <v>2021</v>
      </c>
      <c r="D1103" t="str">
        <f t="shared" si="91"/>
        <v>04</v>
      </c>
      <c r="E1103" s="21">
        <f t="shared" si="92"/>
        <v>44218</v>
      </c>
      <c r="F1103" s="17" t="str">
        <f t="shared" si="93"/>
        <v>2021-01</v>
      </c>
      <c r="G1103" s="25">
        <f t="shared" si="94"/>
        <v>48.398000000000003</v>
      </c>
    </row>
    <row r="1104" spans="1:7" x14ac:dyDescent="0.25">
      <c r="A1104" s="18" t="s">
        <v>885</v>
      </c>
      <c r="B1104" s="28">
        <v>47.31</v>
      </c>
      <c r="C1104" s="16" t="str">
        <f t="shared" si="90"/>
        <v>2021</v>
      </c>
      <c r="D1104" t="str">
        <f t="shared" si="91"/>
        <v>05</v>
      </c>
      <c r="E1104" s="21">
        <f t="shared" si="92"/>
        <v>44225</v>
      </c>
      <c r="F1104" s="17" t="str">
        <f t="shared" si="93"/>
        <v>2021-01</v>
      </c>
      <c r="G1104" s="25">
        <f t="shared" si="94"/>
        <v>48.398000000000003</v>
      </c>
    </row>
    <row r="1105" spans="1:7" x14ac:dyDescent="0.25">
      <c r="A1105" s="18" t="s">
        <v>884</v>
      </c>
      <c r="B1105" s="28">
        <v>51.21</v>
      </c>
      <c r="C1105" s="16" t="str">
        <f t="shared" si="90"/>
        <v>2021</v>
      </c>
      <c r="D1105" t="str">
        <f t="shared" si="91"/>
        <v>06</v>
      </c>
      <c r="E1105" s="21">
        <f t="shared" si="92"/>
        <v>44232</v>
      </c>
      <c r="F1105" s="17" t="str">
        <f t="shared" si="93"/>
        <v>2021-02</v>
      </c>
      <c r="G1105" s="25">
        <f t="shared" si="94"/>
        <v>55.274999999999999</v>
      </c>
    </row>
    <row r="1106" spans="1:7" x14ac:dyDescent="0.25">
      <c r="A1106" s="18" t="s">
        <v>883</v>
      </c>
      <c r="B1106" s="28">
        <v>51.07</v>
      </c>
      <c r="C1106" s="16" t="str">
        <f t="shared" si="90"/>
        <v>2021</v>
      </c>
      <c r="D1106" t="str">
        <f t="shared" si="91"/>
        <v>07</v>
      </c>
      <c r="E1106" s="21">
        <f t="shared" si="92"/>
        <v>44239</v>
      </c>
      <c r="F1106" s="17" t="str">
        <f t="shared" si="93"/>
        <v>2021-02</v>
      </c>
      <c r="G1106" s="25">
        <f t="shared" si="94"/>
        <v>55.274999999999999</v>
      </c>
    </row>
    <row r="1107" spans="1:7" x14ac:dyDescent="0.25">
      <c r="A1107" s="18" t="s">
        <v>882</v>
      </c>
      <c r="B1107" s="28">
        <v>55.51</v>
      </c>
      <c r="C1107" s="16" t="str">
        <f t="shared" si="90"/>
        <v>2021</v>
      </c>
      <c r="D1107" t="str">
        <f t="shared" si="91"/>
        <v>08</v>
      </c>
      <c r="E1107" s="21">
        <f t="shared" si="92"/>
        <v>44246</v>
      </c>
      <c r="F1107" s="17" t="str">
        <f t="shared" si="93"/>
        <v>2021-02</v>
      </c>
      <c r="G1107" s="25">
        <f t="shared" si="94"/>
        <v>55.274999999999999</v>
      </c>
    </row>
    <row r="1108" spans="1:7" x14ac:dyDescent="0.25">
      <c r="A1108" s="18" t="s">
        <v>881</v>
      </c>
      <c r="B1108" s="28">
        <v>63.31</v>
      </c>
      <c r="C1108" s="16" t="str">
        <f t="shared" ref="C1108:C1171" si="95">LEFT(A1108,4)</f>
        <v>2021</v>
      </c>
      <c r="D1108" t="str">
        <f t="shared" ref="D1108:D1171" si="96">RIGHT(A1108,2)</f>
        <v>09</v>
      </c>
      <c r="E1108" s="21">
        <f t="shared" si="92"/>
        <v>44253</v>
      </c>
      <c r="F1108" s="17" t="str">
        <f t="shared" si="93"/>
        <v>2021-02</v>
      </c>
      <c r="G1108" s="25">
        <f t="shared" si="94"/>
        <v>55.274999999999999</v>
      </c>
    </row>
    <row r="1109" spans="1:7" x14ac:dyDescent="0.25">
      <c r="A1109" s="18" t="s">
        <v>880</v>
      </c>
      <c r="B1109" s="28">
        <v>62.79</v>
      </c>
      <c r="C1109" s="16" t="str">
        <f t="shared" si="95"/>
        <v>2021</v>
      </c>
      <c r="D1109" t="str">
        <f t="shared" si="96"/>
        <v>10</v>
      </c>
      <c r="E1109" s="21">
        <f t="shared" si="92"/>
        <v>44260</v>
      </c>
      <c r="F1109" s="17" t="str">
        <f t="shared" si="93"/>
        <v>2021-03</v>
      </c>
      <c r="G1109" s="25">
        <f t="shared" si="94"/>
        <v>62.517499999999998</v>
      </c>
    </row>
    <row r="1110" spans="1:7" x14ac:dyDescent="0.25">
      <c r="A1110" s="18" t="s">
        <v>879</v>
      </c>
      <c r="B1110" s="28">
        <v>59.97</v>
      </c>
      <c r="C1110" s="16" t="str">
        <f t="shared" si="95"/>
        <v>2021</v>
      </c>
      <c r="D1110" t="str">
        <f t="shared" si="96"/>
        <v>11</v>
      </c>
      <c r="E1110" s="21">
        <f t="shared" si="92"/>
        <v>44267</v>
      </c>
      <c r="F1110" s="17" t="str">
        <f t="shared" si="93"/>
        <v>2021-03</v>
      </c>
      <c r="G1110" s="25">
        <f t="shared" si="94"/>
        <v>62.517499999999998</v>
      </c>
    </row>
    <row r="1111" spans="1:7" x14ac:dyDescent="0.25">
      <c r="A1111" s="18" t="s">
        <v>878</v>
      </c>
      <c r="B1111" s="28">
        <v>62.06</v>
      </c>
      <c r="C1111" s="16" t="str">
        <f t="shared" si="95"/>
        <v>2021</v>
      </c>
      <c r="D1111" t="str">
        <f t="shared" si="96"/>
        <v>12</v>
      </c>
      <c r="E1111" s="21">
        <f t="shared" si="92"/>
        <v>44274</v>
      </c>
      <c r="F1111" s="17" t="str">
        <f t="shared" si="93"/>
        <v>2021-03</v>
      </c>
      <c r="G1111" s="25">
        <f t="shared" si="94"/>
        <v>62.517499999999998</v>
      </c>
    </row>
    <row r="1112" spans="1:7" x14ac:dyDescent="0.25">
      <c r="A1112" s="18" t="s">
        <v>877</v>
      </c>
      <c r="B1112" s="28">
        <v>65.25</v>
      </c>
      <c r="C1112" s="16" t="str">
        <f t="shared" si="95"/>
        <v>2021</v>
      </c>
      <c r="D1112" t="str">
        <f t="shared" si="96"/>
        <v>13</v>
      </c>
      <c r="E1112" s="21">
        <f t="shared" si="92"/>
        <v>44281</v>
      </c>
      <c r="F1112" s="17" t="str">
        <f t="shared" si="93"/>
        <v>2021-03</v>
      </c>
      <c r="G1112" s="25">
        <f t="shared" si="94"/>
        <v>62.517499999999998</v>
      </c>
    </row>
    <row r="1113" spans="1:7" x14ac:dyDescent="0.25">
      <c r="A1113" s="18" t="s">
        <v>876</v>
      </c>
      <c r="B1113" s="28">
        <v>65.17</v>
      </c>
      <c r="C1113" s="16" t="str">
        <f t="shared" si="95"/>
        <v>2021</v>
      </c>
      <c r="D1113" t="str">
        <f t="shared" si="96"/>
        <v>14</v>
      </c>
      <c r="E1113" s="21">
        <f t="shared" si="92"/>
        <v>44288</v>
      </c>
      <c r="F1113" s="17" t="str">
        <f t="shared" si="93"/>
        <v>2021-04</v>
      </c>
      <c r="G1113" s="25">
        <f t="shared" si="94"/>
        <v>63.617999999999995</v>
      </c>
    </row>
    <row r="1114" spans="1:7" x14ac:dyDescent="0.25">
      <c r="A1114" s="18" t="s">
        <v>875</v>
      </c>
      <c r="B1114" s="28">
        <v>60.99</v>
      </c>
      <c r="C1114" s="16" t="str">
        <f t="shared" si="95"/>
        <v>2021</v>
      </c>
      <c r="D1114" t="str">
        <f t="shared" si="96"/>
        <v>15</v>
      </c>
      <c r="E1114" s="21">
        <f t="shared" si="92"/>
        <v>44295</v>
      </c>
      <c r="F1114" s="17" t="str">
        <f t="shared" si="93"/>
        <v>2021-04</v>
      </c>
      <c r="G1114" s="25">
        <f t="shared" si="94"/>
        <v>63.617999999999995</v>
      </c>
    </row>
    <row r="1115" spans="1:7" x14ac:dyDescent="0.25">
      <c r="A1115" s="18" t="s">
        <v>874</v>
      </c>
      <c r="B1115" s="28">
        <v>61.13</v>
      </c>
      <c r="C1115" s="16" t="str">
        <f t="shared" si="95"/>
        <v>2021</v>
      </c>
      <c r="D1115" t="str">
        <f t="shared" si="96"/>
        <v>16</v>
      </c>
      <c r="E1115" s="21">
        <f t="shared" si="92"/>
        <v>44302</v>
      </c>
      <c r="F1115" s="17" t="str">
        <f t="shared" si="93"/>
        <v>2021-04</v>
      </c>
      <c r="G1115" s="25">
        <f t="shared" si="94"/>
        <v>63.617999999999995</v>
      </c>
    </row>
    <row r="1116" spans="1:7" x14ac:dyDescent="0.25">
      <c r="A1116" s="18" t="s">
        <v>873</v>
      </c>
      <c r="B1116" s="28">
        <v>65.739999999999995</v>
      </c>
      <c r="C1116" s="16" t="str">
        <f t="shared" si="95"/>
        <v>2021</v>
      </c>
      <c r="D1116" t="str">
        <f t="shared" si="96"/>
        <v>17</v>
      </c>
      <c r="E1116" s="21">
        <f t="shared" si="92"/>
        <v>44309</v>
      </c>
      <c r="F1116" s="17" t="str">
        <f t="shared" si="93"/>
        <v>2021-04</v>
      </c>
      <c r="G1116" s="25">
        <f t="shared" si="94"/>
        <v>63.617999999999995</v>
      </c>
    </row>
    <row r="1117" spans="1:7" x14ac:dyDescent="0.25">
      <c r="A1117" s="18" t="s">
        <v>872</v>
      </c>
      <c r="B1117" s="28">
        <v>65.06</v>
      </c>
      <c r="C1117" s="16" t="str">
        <f t="shared" si="95"/>
        <v>2021</v>
      </c>
      <c r="D1117" t="str">
        <f t="shared" si="96"/>
        <v>18</v>
      </c>
      <c r="E1117" s="21">
        <f t="shared" si="92"/>
        <v>44316</v>
      </c>
      <c r="F1117" s="17" t="str">
        <f t="shared" si="93"/>
        <v>2021-04</v>
      </c>
      <c r="G1117" s="25">
        <f t="shared" si="94"/>
        <v>63.617999999999995</v>
      </c>
    </row>
    <row r="1118" spans="1:7" x14ac:dyDescent="0.25">
      <c r="A1118" s="18" t="s">
        <v>871</v>
      </c>
      <c r="B1118" s="28">
        <v>71.08</v>
      </c>
      <c r="C1118" s="16" t="str">
        <f t="shared" si="95"/>
        <v>2021</v>
      </c>
      <c r="D1118" t="str">
        <f t="shared" si="96"/>
        <v>19</v>
      </c>
      <c r="E1118" s="21">
        <f t="shared" si="92"/>
        <v>44323</v>
      </c>
      <c r="F1118" s="17" t="str">
        <f t="shared" si="93"/>
        <v>2021-05</v>
      </c>
      <c r="G1118" s="25">
        <f t="shared" si="94"/>
        <v>65.67</v>
      </c>
    </row>
    <row r="1119" spans="1:7" x14ac:dyDescent="0.25">
      <c r="A1119" s="18" t="s">
        <v>870</v>
      </c>
      <c r="B1119" s="28">
        <v>68.48</v>
      </c>
      <c r="C1119" s="16" t="str">
        <f t="shared" si="95"/>
        <v>2021</v>
      </c>
      <c r="D1119" t="str">
        <f t="shared" si="96"/>
        <v>20</v>
      </c>
      <c r="E1119" s="21">
        <f t="shared" si="92"/>
        <v>44330</v>
      </c>
      <c r="F1119" s="17" t="str">
        <f t="shared" si="93"/>
        <v>2021-05</v>
      </c>
      <c r="G1119" s="25">
        <f t="shared" si="94"/>
        <v>65.67</v>
      </c>
    </row>
    <row r="1120" spans="1:7" x14ac:dyDescent="0.25">
      <c r="A1120" s="18" t="s">
        <v>869</v>
      </c>
      <c r="B1120" s="28">
        <v>63.53</v>
      </c>
      <c r="C1120" s="16" t="str">
        <f t="shared" si="95"/>
        <v>2021</v>
      </c>
      <c r="D1120" t="str">
        <f t="shared" si="96"/>
        <v>21</v>
      </c>
      <c r="E1120" s="21">
        <f t="shared" si="92"/>
        <v>44337</v>
      </c>
      <c r="F1120" s="17" t="str">
        <f t="shared" si="93"/>
        <v>2021-05</v>
      </c>
      <c r="G1120" s="25">
        <f t="shared" si="94"/>
        <v>65.67</v>
      </c>
    </row>
    <row r="1121" spans="1:7" x14ac:dyDescent="0.25">
      <c r="A1121" s="18" t="s">
        <v>868</v>
      </c>
      <c r="B1121" s="28">
        <v>59.59</v>
      </c>
      <c r="C1121" s="16" t="str">
        <f t="shared" si="95"/>
        <v>2021</v>
      </c>
      <c r="D1121" t="str">
        <f t="shared" si="96"/>
        <v>22</v>
      </c>
      <c r="E1121" s="21">
        <f t="shared" si="92"/>
        <v>44344</v>
      </c>
      <c r="F1121" s="17" t="str">
        <f t="shared" si="93"/>
        <v>2021-05</v>
      </c>
      <c r="G1121" s="25">
        <f t="shared" si="94"/>
        <v>65.67</v>
      </c>
    </row>
    <row r="1122" spans="1:7" x14ac:dyDescent="0.25">
      <c r="A1122" s="18" t="s">
        <v>867</v>
      </c>
      <c r="B1122" s="28">
        <v>57.64</v>
      </c>
      <c r="C1122" s="16" t="str">
        <f t="shared" si="95"/>
        <v>2021</v>
      </c>
      <c r="D1122" t="str">
        <f t="shared" si="96"/>
        <v>23</v>
      </c>
      <c r="E1122" s="21">
        <f t="shared" si="92"/>
        <v>44351</v>
      </c>
      <c r="F1122" s="17" t="str">
        <f t="shared" si="93"/>
        <v>2021-06</v>
      </c>
      <c r="G1122" s="25">
        <f t="shared" si="94"/>
        <v>59.594999999999999</v>
      </c>
    </row>
    <row r="1123" spans="1:7" x14ac:dyDescent="0.25">
      <c r="A1123" s="18" t="s">
        <v>866</v>
      </c>
      <c r="B1123" s="28">
        <v>61.45</v>
      </c>
      <c r="C1123" s="16" t="str">
        <f t="shared" si="95"/>
        <v>2021</v>
      </c>
      <c r="D1123" t="str">
        <f t="shared" si="96"/>
        <v>24</v>
      </c>
      <c r="E1123" s="21">
        <f t="shared" si="92"/>
        <v>44358</v>
      </c>
      <c r="F1123" s="17" t="str">
        <f t="shared" si="93"/>
        <v>2021-06</v>
      </c>
      <c r="G1123" s="25">
        <f t="shared" si="94"/>
        <v>59.594999999999999</v>
      </c>
    </row>
    <row r="1124" spans="1:7" x14ac:dyDescent="0.25">
      <c r="A1124" s="18" t="s">
        <v>865</v>
      </c>
      <c r="B1124" s="28">
        <v>60.12</v>
      </c>
      <c r="C1124" s="16" t="str">
        <f t="shared" si="95"/>
        <v>2021</v>
      </c>
      <c r="D1124" t="str">
        <f t="shared" si="96"/>
        <v>25</v>
      </c>
      <c r="E1124" s="21">
        <f t="shared" si="92"/>
        <v>44365</v>
      </c>
      <c r="F1124" s="17" t="str">
        <f t="shared" si="93"/>
        <v>2021-06</v>
      </c>
      <c r="G1124" s="25">
        <f t="shared" si="94"/>
        <v>59.594999999999999</v>
      </c>
    </row>
    <row r="1125" spans="1:7" x14ac:dyDescent="0.25">
      <c r="A1125" s="18" t="s">
        <v>864</v>
      </c>
      <c r="B1125" s="28">
        <v>59.17</v>
      </c>
      <c r="C1125" s="16" t="str">
        <f t="shared" si="95"/>
        <v>2021</v>
      </c>
      <c r="D1125" t="str">
        <f t="shared" si="96"/>
        <v>26</v>
      </c>
      <c r="E1125" s="21">
        <f t="shared" si="92"/>
        <v>44372</v>
      </c>
      <c r="F1125" s="17" t="str">
        <f t="shared" si="93"/>
        <v>2021-06</v>
      </c>
      <c r="G1125" s="25">
        <f t="shared" si="94"/>
        <v>59.594999999999999</v>
      </c>
    </row>
    <row r="1126" spans="1:7" x14ac:dyDescent="0.25">
      <c r="A1126" s="18" t="s">
        <v>863</v>
      </c>
      <c r="B1126" s="28">
        <v>59.85</v>
      </c>
      <c r="C1126" s="16" t="str">
        <f t="shared" si="95"/>
        <v>2021</v>
      </c>
      <c r="D1126" t="str">
        <f t="shared" si="96"/>
        <v>27</v>
      </c>
      <c r="E1126" s="21">
        <f t="shared" si="92"/>
        <v>44379</v>
      </c>
      <c r="F1126" s="17" t="str">
        <f t="shared" si="93"/>
        <v>2021-07</v>
      </c>
      <c r="G1126" s="25">
        <f t="shared" si="94"/>
        <v>62.227999999999994</v>
      </c>
    </row>
    <row r="1127" spans="1:7" x14ac:dyDescent="0.25">
      <c r="A1127" s="18" t="s">
        <v>862</v>
      </c>
      <c r="B1127" s="28">
        <v>64.69</v>
      </c>
      <c r="C1127" s="16" t="str">
        <f t="shared" si="95"/>
        <v>2021</v>
      </c>
      <c r="D1127" t="str">
        <f t="shared" si="96"/>
        <v>28</v>
      </c>
      <c r="E1127" s="21">
        <f t="shared" si="92"/>
        <v>44386</v>
      </c>
      <c r="F1127" s="17" t="str">
        <f t="shared" si="93"/>
        <v>2021-07</v>
      </c>
      <c r="G1127" s="25">
        <f t="shared" si="94"/>
        <v>62.227999999999994</v>
      </c>
    </row>
    <row r="1128" spans="1:7" x14ac:dyDescent="0.25">
      <c r="A1128" s="18" t="s">
        <v>861</v>
      </c>
      <c r="B1128" s="28">
        <v>66.05</v>
      </c>
      <c r="C1128" s="16" t="str">
        <f t="shared" si="95"/>
        <v>2021</v>
      </c>
      <c r="D1128" t="str">
        <f t="shared" si="96"/>
        <v>29</v>
      </c>
      <c r="E1128" s="21">
        <f t="shared" si="92"/>
        <v>44393</v>
      </c>
      <c r="F1128" s="17" t="str">
        <f t="shared" si="93"/>
        <v>2021-07</v>
      </c>
      <c r="G1128" s="25">
        <f t="shared" si="94"/>
        <v>62.227999999999994</v>
      </c>
    </row>
    <row r="1129" spans="1:7" x14ac:dyDescent="0.25">
      <c r="A1129" s="18" t="s">
        <v>860</v>
      </c>
      <c r="B1129" s="28">
        <v>62.03</v>
      </c>
      <c r="C1129" s="16" t="str">
        <f t="shared" si="95"/>
        <v>2021</v>
      </c>
      <c r="D1129" t="str">
        <f t="shared" si="96"/>
        <v>30</v>
      </c>
      <c r="E1129" s="21">
        <f t="shared" si="92"/>
        <v>44400</v>
      </c>
      <c r="F1129" s="17" t="str">
        <f t="shared" si="93"/>
        <v>2021-07</v>
      </c>
      <c r="G1129" s="25">
        <f t="shared" si="94"/>
        <v>62.227999999999994</v>
      </c>
    </row>
    <row r="1130" spans="1:7" x14ac:dyDescent="0.25">
      <c r="A1130" s="18" t="s">
        <v>859</v>
      </c>
      <c r="B1130" s="28">
        <v>58.52</v>
      </c>
      <c r="C1130" s="16" t="str">
        <f t="shared" si="95"/>
        <v>2021</v>
      </c>
      <c r="D1130" t="str">
        <f t="shared" si="96"/>
        <v>31</v>
      </c>
      <c r="E1130" s="21">
        <f t="shared" si="92"/>
        <v>44407</v>
      </c>
      <c r="F1130" s="17" t="str">
        <f t="shared" si="93"/>
        <v>2021-07</v>
      </c>
      <c r="G1130" s="25">
        <f t="shared" si="94"/>
        <v>62.227999999999994</v>
      </c>
    </row>
    <row r="1131" spans="1:7" x14ac:dyDescent="0.25">
      <c r="A1131" s="18" t="s">
        <v>858</v>
      </c>
      <c r="B1131" s="28">
        <v>59.08</v>
      </c>
      <c r="C1131" s="16" t="str">
        <f t="shared" si="95"/>
        <v>2021</v>
      </c>
      <c r="D1131" t="str">
        <f t="shared" si="96"/>
        <v>32</v>
      </c>
      <c r="E1131" s="21">
        <f t="shared" si="92"/>
        <v>44414</v>
      </c>
      <c r="F1131" s="17" t="str">
        <f t="shared" si="93"/>
        <v>2021-08</v>
      </c>
      <c r="G1131" s="25">
        <f t="shared" si="94"/>
        <v>56.12</v>
      </c>
    </row>
    <row r="1132" spans="1:7" x14ac:dyDescent="0.25">
      <c r="A1132" s="18" t="s">
        <v>857</v>
      </c>
      <c r="B1132" s="28">
        <v>56.91</v>
      </c>
      <c r="C1132" s="16" t="str">
        <f t="shared" si="95"/>
        <v>2021</v>
      </c>
      <c r="D1132" t="str">
        <f t="shared" si="96"/>
        <v>33</v>
      </c>
      <c r="E1132" s="21">
        <f t="shared" si="92"/>
        <v>44421</v>
      </c>
      <c r="F1132" s="17" t="str">
        <f t="shared" si="93"/>
        <v>2021-08</v>
      </c>
      <c r="G1132" s="25">
        <f t="shared" si="94"/>
        <v>56.12</v>
      </c>
    </row>
    <row r="1133" spans="1:7" x14ac:dyDescent="0.25">
      <c r="A1133" s="18" t="s">
        <v>856</v>
      </c>
      <c r="B1133" s="28">
        <v>54.08</v>
      </c>
      <c r="C1133" s="16" t="str">
        <f t="shared" si="95"/>
        <v>2021</v>
      </c>
      <c r="D1133" t="str">
        <f t="shared" si="96"/>
        <v>34</v>
      </c>
      <c r="E1133" s="21">
        <f t="shared" si="92"/>
        <v>44428</v>
      </c>
      <c r="F1133" s="17" t="str">
        <f t="shared" si="93"/>
        <v>2021-08</v>
      </c>
      <c r="G1133" s="25">
        <f t="shared" si="94"/>
        <v>56.12</v>
      </c>
    </row>
    <row r="1134" spans="1:7" x14ac:dyDescent="0.25">
      <c r="A1134" s="18" t="s">
        <v>855</v>
      </c>
      <c r="B1134" s="28">
        <v>54.41</v>
      </c>
      <c r="C1134" s="16" t="str">
        <f t="shared" si="95"/>
        <v>2021</v>
      </c>
      <c r="D1134" t="str">
        <f t="shared" si="96"/>
        <v>35</v>
      </c>
      <c r="E1134" s="21">
        <f t="shared" si="92"/>
        <v>44435</v>
      </c>
      <c r="F1134" s="17" t="str">
        <f t="shared" si="93"/>
        <v>2021-08</v>
      </c>
      <c r="G1134" s="25">
        <f t="shared" si="94"/>
        <v>56.12</v>
      </c>
    </row>
    <row r="1135" spans="1:7" x14ac:dyDescent="0.25">
      <c r="A1135" s="18" t="s">
        <v>854</v>
      </c>
      <c r="B1135" s="28">
        <v>52.3</v>
      </c>
      <c r="C1135" s="16" t="str">
        <f t="shared" si="95"/>
        <v>2021</v>
      </c>
      <c r="D1135" t="str">
        <f t="shared" si="96"/>
        <v>36</v>
      </c>
      <c r="E1135" s="21">
        <f t="shared" si="92"/>
        <v>44442</v>
      </c>
      <c r="F1135" s="17" t="str">
        <f t="shared" si="93"/>
        <v>2021-09</v>
      </c>
      <c r="G1135" s="25">
        <f t="shared" si="94"/>
        <v>53.037499999999994</v>
      </c>
    </row>
    <row r="1136" spans="1:7" x14ac:dyDescent="0.25">
      <c r="A1136" s="18" t="s">
        <v>853</v>
      </c>
      <c r="B1136" s="28">
        <v>53.43</v>
      </c>
      <c r="C1136" s="16" t="str">
        <f t="shared" si="95"/>
        <v>2021</v>
      </c>
      <c r="D1136" t="str">
        <f t="shared" si="96"/>
        <v>37</v>
      </c>
      <c r="E1136" s="21">
        <f t="shared" si="92"/>
        <v>44449</v>
      </c>
      <c r="F1136" s="17" t="str">
        <f t="shared" si="93"/>
        <v>2021-09</v>
      </c>
      <c r="G1136" s="25">
        <f t="shared" si="94"/>
        <v>53.037499999999994</v>
      </c>
    </row>
    <row r="1137" spans="1:7" x14ac:dyDescent="0.25">
      <c r="A1137" s="18" t="s">
        <v>852</v>
      </c>
      <c r="B1137" s="28">
        <v>52.88</v>
      </c>
      <c r="C1137" s="16" t="str">
        <f t="shared" si="95"/>
        <v>2021</v>
      </c>
      <c r="D1137" t="str">
        <f t="shared" si="96"/>
        <v>38</v>
      </c>
      <c r="E1137" s="21">
        <f t="shared" si="92"/>
        <v>44456</v>
      </c>
      <c r="F1137" s="17" t="str">
        <f t="shared" si="93"/>
        <v>2021-09</v>
      </c>
      <c r="G1137" s="25">
        <f t="shared" si="94"/>
        <v>53.037499999999994</v>
      </c>
    </row>
    <row r="1138" spans="1:7" x14ac:dyDescent="0.25">
      <c r="A1138" s="18" t="s">
        <v>851</v>
      </c>
      <c r="B1138" s="28">
        <v>53.54</v>
      </c>
      <c r="C1138" s="16" t="str">
        <f t="shared" si="95"/>
        <v>2021</v>
      </c>
      <c r="D1138" t="str">
        <f t="shared" si="96"/>
        <v>39</v>
      </c>
      <c r="E1138" s="21">
        <f t="shared" si="92"/>
        <v>44463</v>
      </c>
      <c r="F1138" s="17" t="str">
        <f t="shared" si="93"/>
        <v>2021-09</v>
      </c>
      <c r="G1138" s="25">
        <f t="shared" si="94"/>
        <v>53.037499999999994</v>
      </c>
    </row>
    <row r="1139" spans="1:7" x14ac:dyDescent="0.25">
      <c r="A1139" s="18" t="s">
        <v>850</v>
      </c>
      <c r="B1139" s="28">
        <v>55.33</v>
      </c>
      <c r="C1139" s="16" t="str">
        <f t="shared" si="95"/>
        <v>2021</v>
      </c>
      <c r="D1139" t="str">
        <f t="shared" si="96"/>
        <v>40</v>
      </c>
      <c r="E1139" s="21">
        <f t="shared" si="92"/>
        <v>44470</v>
      </c>
      <c r="F1139" s="17" t="str">
        <f t="shared" si="93"/>
        <v>2021-10</v>
      </c>
      <c r="G1139" s="25">
        <f t="shared" si="94"/>
        <v>57.483999999999995</v>
      </c>
    </row>
    <row r="1140" spans="1:7" x14ac:dyDescent="0.25">
      <c r="A1140" s="18" t="s">
        <v>849</v>
      </c>
      <c r="B1140" s="28">
        <v>58.39</v>
      </c>
      <c r="C1140" s="16" t="str">
        <f t="shared" si="95"/>
        <v>2021</v>
      </c>
      <c r="D1140" t="str">
        <f t="shared" si="96"/>
        <v>41</v>
      </c>
      <c r="E1140" s="21">
        <f t="shared" si="92"/>
        <v>44477</v>
      </c>
      <c r="F1140" s="17" t="str">
        <f t="shared" si="93"/>
        <v>2021-10</v>
      </c>
      <c r="G1140" s="25">
        <f t="shared" si="94"/>
        <v>57.483999999999995</v>
      </c>
    </row>
    <row r="1141" spans="1:7" x14ac:dyDescent="0.25">
      <c r="A1141" s="18" t="s">
        <v>848</v>
      </c>
      <c r="B1141" s="28">
        <v>59.63</v>
      </c>
      <c r="C1141" s="16" t="str">
        <f t="shared" si="95"/>
        <v>2021</v>
      </c>
      <c r="D1141" t="str">
        <f t="shared" si="96"/>
        <v>42</v>
      </c>
      <c r="E1141" s="21">
        <f t="shared" si="92"/>
        <v>44484</v>
      </c>
      <c r="F1141" s="17" t="str">
        <f t="shared" si="93"/>
        <v>2021-10</v>
      </c>
      <c r="G1141" s="25">
        <f t="shared" si="94"/>
        <v>57.483999999999995</v>
      </c>
    </row>
    <row r="1142" spans="1:7" x14ac:dyDescent="0.25">
      <c r="A1142" s="18" t="s">
        <v>847</v>
      </c>
      <c r="B1142" s="28">
        <v>57.98</v>
      </c>
      <c r="C1142" s="16" t="str">
        <f t="shared" si="95"/>
        <v>2021</v>
      </c>
      <c r="D1142" t="str">
        <f t="shared" si="96"/>
        <v>43</v>
      </c>
      <c r="E1142" s="21">
        <f t="shared" si="92"/>
        <v>44491</v>
      </c>
      <c r="F1142" s="17" t="str">
        <f t="shared" si="93"/>
        <v>2021-10</v>
      </c>
      <c r="G1142" s="25">
        <f t="shared" si="94"/>
        <v>57.483999999999995</v>
      </c>
    </row>
    <row r="1143" spans="1:7" x14ac:dyDescent="0.25">
      <c r="A1143" s="18" t="s">
        <v>846</v>
      </c>
      <c r="B1143" s="28">
        <v>56.09</v>
      </c>
      <c r="C1143" s="16" t="str">
        <f t="shared" si="95"/>
        <v>2021</v>
      </c>
      <c r="D1143" t="str">
        <f t="shared" si="96"/>
        <v>44</v>
      </c>
      <c r="E1143" s="21">
        <f t="shared" si="92"/>
        <v>44498</v>
      </c>
      <c r="F1143" s="17" t="str">
        <f t="shared" si="93"/>
        <v>2021-10</v>
      </c>
      <c r="G1143" s="25">
        <f t="shared" si="94"/>
        <v>57.483999999999995</v>
      </c>
    </row>
    <row r="1144" spans="1:7" x14ac:dyDescent="0.25">
      <c r="A1144" s="18" t="s">
        <v>845</v>
      </c>
      <c r="B1144" s="28">
        <v>54.86</v>
      </c>
      <c r="C1144" s="16" t="str">
        <f t="shared" si="95"/>
        <v>2021</v>
      </c>
      <c r="D1144" t="str">
        <f t="shared" si="96"/>
        <v>45</v>
      </c>
      <c r="E1144" s="21">
        <f t="shared" si="92"/>
        <v>44505</v>
      </c>
      <c r="F1144" s="17" t="str">
        <f t="shared" si="93"/>
        <v>2021-11</v>
      </c>
      <c r="G1144" s="25">
        <f t="shared" si="94"/>
        <v>58.984999999999999</v>
      </c>
    </row>
    <row r="1145" spans="1:7" x14ac:dyDescent="0.25">
      <c r="A1145" s="18" t="s">
        <v>844</v>
      </c>
      <c r="B1145" s="28">
        <v>58.13</v>
      </c>
      <c r="C1145" s="16" t="str">
        <f t="shared" si="95"/>
        <v>2021</v>
      </c>
      <c r="D1145" t="str">
        <f t="shared" si="96"/>
        <v>46</v>
      </c>
      <c r="E1145" s="21">
        <f t="shared" si="92"/>
        <v>44512</v>
      </c>
      <c r="F1145" s="17" t="str">
        <f t="shared" si="93"/>
        <v>2021-11</v>
      </c>
      <c r="G1145" s="25">
        <f t="shared" si="94"/>
        <v>58.984999999999999</v>
      </c>
    </row>
    <row r="1146" spans="1:7" x14ac:dyDescent="0.25">
      <c r="A1146" s="18" t="s">
        <v>843</v>
      </c>
      <c r="B1146" s="28">
        <v>61.84</v>
      </c>
      <c r="C1146" s="16" t="str">
        <f t="shared" si="95"/>
        <v>2021</v>
      </c>
      <c r="D1146" t="str">
        <f t="shared" si="96"/>
        <v>47</v>
      </c>
      <c r="E1146" s="21">
        <f t="shared" si="92"/>
        <v>44519</v>
      </c>
      <c r="F1146" s="17" t="str">
        <f t="shared" si="93"/>
        <v>2021-11</v>
      </c>
      <c r="G1146" s="25">
        <f t="shared" si="94"/>
        <v>58.984999999999999</v>
      </c>
    </row>
    <row r="1147" spans="1:7" x14ac:dyDescent="0.25">
      <c r="A1147" s="18" t="s">
        <v>842</v>
      </c>
      <c r="B1147" s="28">
        <v>61.11</v>
      </c>
      <c r="C1147" s="16" t="str">
        <f t="shared" si="95"/>
        <v>2021</v>
      </c>
      <c r="D1147" t="str">
        <f t="shared" si="96"/>
        <v>48</v>
      </c>
      <c r="E1147" s="21">
        <f t="shared" si="92"/>
        <v>44526</v>
      </c>
      <c r="F1147" s="17" t="str">
        <f t="shared" si="93"/>
        <v>2021-11</v>
      </c>
      <c r="G1147" s="25">
        <f t="shared" si="94"/>
        <v>58.984999999999999</v>
      </c>
    </row>
    <row r="1148" spans="1:7" x14ac:dyDescent="0.25">
      <c r="A1148" s="18" t="s">
        <v>841</v>
      </c>
      <c r="B1148" s="28">
        <v>65.06</v>
      </c>
      <c r="C1148" s="16" t="str">
        <f t="shared" si="95"/>
        <v>2021</v>
      </c>
      <c r="D1148" t="str">
        <f t="shared" si="96"/>
        <v>49</v>
      </c>
      <c r="E1148" s="21">
        <f t="shared" si="92"/>
        <v>44533</v>
      </c>
      <c r="F1148" s="17" t="str">
        <f t="shared" si="93"/>
        <v>2021-12</v>
      </c>
      <c r="G1148" s="25">
        <f t="shared" si="94"/>
        <v>69.132499999999993</v>
      </c>
    </row>
    <row r="1149" spans="1:7" x14ac:dyDescent="0.25">
      <c r="A1149" s="18" t="s">
        <v>840</v>
      </c>
      <c r="B1149" s="28">
        <v>71.77</v>
      </c>
      <c r="C1149" s="16" t="str">
        <f t="shared" si="95"/>
        <v>2021</v>
      </c>
      <c r="D1149" t="str">
        <f t="shared" si="96"/>
        <v>50</v>
      </c>
      <c r="E1149" s="21">
        <f t="shared" si="92"/>
        <v>44540</v>
      </c>
      <c r="F1149" s="17" t="str">
        <f t="shared" si="93"/>
        <v>2021-12</v>
      </c>
      <c r="G1149" s="25">
        <f t="shared" si="94"/>
        <v>69.132499999999993</v>
      </c>
    </row>
    <row r="1150" spans="1:7" x14ac:dyDescent="0.25">
      <c r="A1150" s="18" t="s">
        <v>839</v>
      </c>
      <c r="B1150" s="28">
        <v>71.319999999999993</v>
      </c>
      <c r="C1150" s="16" t="str">
        <f t="shared" si="95"/>
        <v>2021</v>
      </c>
      <c r="D1150" t="str">
        <f t="shared" si="96"/>
        <v>51</v>
      </c>
      <c r="E1150" s="21">
        <f t="shared" si="92"/>
        <v>44547</v>
      </c>
      <c r="F1150" s="17" t="str">
        <f t="shared" si="93"/>
        <v>2021-12</v>
      </c>
      <c r="G1150" s="25">
        <f t="shared" si="94"/>
        <v>69.132499999999993</v>
      </c>
    </row>
    <row r="1151" spans="1:7" x14ac:dyDescent="0.25">
      <c r="A1151" s="18" t="s">
        <v>838</v>
      </c>
      <c r="B1151" s="28">
        <v>68.38</v>
      </c>
      <c r="C1151" s="16" t="str">
        <f t="shared" si="95"/>
        <v>2021</v>
      </c>
      <c r="D1151" t="str">
        <f t="shared" si="96"/>
        <v>52</v>
      </c>
      <c r="E1151" s="21">
        <f t="shared" si="92"/>
        <v>44554</v>
      </c>
      <c r="F1151" s="17" t="str">
        <f t="shared" si="93"/>
        <v>2021-12</v>
      </c>
      <c r="G1151" s="25">
        <f t="shared" si="94"/>
        <v>69.132499999999993</v>
      </c>
    </row>
    <row r="1152" spans="1:7" x14ac:dyDescent="0.25">
      <c r="A1152" s="18" t="s">
        <v>837</v>
      </c>
      <c r="B1152" s="28">
        <v>67.319999999999993</v>
      </c>
      <c r="C1152" s="16" t="str">
        <f t="shared" si="95"/>
        <v>2022</v>
      </c>
      <c r="D1152" t="str">
        <f t="shared" si="96"/>
        <v>01</v>
      </c>
      <c r="E1152" s="21">
        <f t="shared" si="92"/>
        <v>44562</v>
      </c>
      <c r="F1152" s="17" t="str">
        <f t="shared" si="93"/>
        <v>2022-01</v>
      </c>
      <c r="G1152" s="25">
        <f t="shared" si="94"/>
        <v>71.463999999999999</v>
      </c>
    </row>
    <row r="1153" spans="1:7" x14ac:dyDescent="0.25">
      <c r="A1153" s="18" t="s">
        <v>836</v>
      </c>
      <c r="B1153" s="28">
        <v>72.05</v>
      </c>
      <c r="C1153" s="16" t="str">
        <f t="shared" si="95"/>
        <v>2022</v>
      </c>
      <c r="D1153" t="str">
        <f t="shared" si="96"/>
        <v>02</v>
      </c>
      <c r="E1153" s="21">
        <f t="shared" si="92"/>
        <v>44569</v>
      </c>
      <c r="F1153" s="17" t="str">
        <f t="shared" si="93"/>
        <v>2022-01</v>
      </c>
      <c r="G1153" s="25">
        <f t="shared" si="94"/>
        <v>71.463999999999999</v>
      </c>
    </row>
    <row r="1154" spans="1:7" x14ac:dyDescent="0.25">
      <c r="A1154" s="18" t="s">
        <v>835</v>
      </c>
      <c r="B1154" s="28">
        <v>72.97</v>
      </c>
      <c r="C1154" s="16" t="str">
        <f t="shared" si="95"/>
        <v>2022</v>
      </c>
      <c r="D1154" t="str">
        <f t="shared" si="96"/>
        <v>03</v>
      </c>
      <c r="E1154" s="21">
        <f t="shared" si="92"/>
        <v>44576</v>
      </c>
      <c r="F1154" s="17" t="str">
        <f t="shared" si="93"/>
        <v>2022-01</v>
      </c>
      <c r="G1154" s="25">
        <f t="shared" si="94"/>
        <v>71.463999999999999</v>
      </c>
    </row>
    <row r="1155" spans="1:7" x14ac:dyDescent="0.25">
      <c r="A1155" s="18" t="s">
        <v>834</v>
      </c>
      <c r="B1155" s="28">
        <v>70.56</v>
      </c>
      <c r="C1155" s="16" t="str">
        <f t="shared" si="95"/>
        <v>2022</v>
      </c>
      <c r="D1155" t="str">
        <f t="shared" si="96"/>
        <v>04</v>
      </c>
      <c r="E1155" s="21">
        <f t="shared" si="92"/>
        <v>44583</v>
      </c>
      <c r="F1155" s="17" t="str">
        <f t="shared" si="93"/>
        <v>2022-01</v>
      </c>
      <c r="G1155" s="25">
        <f t="shared" si="94"/>
        <v>71.463999999999999</v>
      </c>
    </row>
    <row r="1156" spans="1:7" x14ac:dyDescent="0.25">
      <c r="A1156" s="18" t="s">
        <v>833</v>
      </c>
      <c r="B1156" s="28">
        <v>74.42</v>
      </c>
      <c r="C1156" s="16" t="str">
        <f t="shared" si="95"/>
        <v>2022</v>
      </c>
      <c r="D1156" t="str">
        <f t="shared" si="96"/>
        <v>05</v>
      </c>
      <c r="E1156" s="21">
        <f t="shared" si="92"/>
        <v>44590</v>
      </c>
      <c r="F1156" s="17" t="str">
        <f t="shared" si="93"/>
        <v>2022-01</v>
      </c>
      <c r="G1156" s="25">
        <f t="shared" si="94"/>
        <v>71.463999999999999</v>
      </c>
    </row>
    <row r="1157" spans="1:7" x14ac:dyDescent="0.25">
      <c r="A1157" s="18" t="s">
        <v>832</v>
      </c>
      <c r="B1157" s="28">
        <v>77.55</v>
      </c>
      <c r="C1157" s="16" t="str">
        <f t="shared" si="95"/>
        <v>2022</v>
      </c>
      <c r="D1157" t="str">
        <f t="shared" si="96"/>
        <v>06</v>
      </c>
      <c r="E1157" s="21">
        <f t="shared" ref="E1157:E1220" si="97">DATE(C1157,1,1)+(D1157-1)*7</f>
        <v>44597</v>
      </c>
      <c r="F1157" s="17" t="str">
        <f t="shared" ref="F1157:F1220" si="98">TEXT(E1157,"éééé-hh")</f>
        <v>2022-02</v>
      </c>
      <c r="G1157" s="25">
        <f t="shared" ref="G1157:G1220" si="99">AVERAGEIF($F$4:$F$1353,F1157,$B$4:$B$1353)</f>
        <v>84.204999999999998</v>
      </c>
    </row>
    <row r="1158" spans="1:7" x14ac:dyDescent="0.25">
      <c r="A1158" s="18" t="s">
        <v>831</v>
      </c>
      <c r="B1158" s="28">
        <v>87.6</v>
      </c>
      <c r="C1158" s="16" t="str">
        <f t="shared" si="95"/>
        <v>2022</v>
      </c>
      <c r="D1158" t="str">
        <f t="shared" si="96"/>
        <v>07</v>
      </c>
      <c r="E1158" s="21">
        <f t="shared" si="97"/>
        <v>44604</v>
      </c>
      <c r="F1158" s="17" t="str">
        <f t="shared" si="98"/>
        <v>2022-02</v>
      </c>
      <c r="G1158" s="25">
        <f t="shared" si="99"/>
        <v>84.204999999999998</v>
      </c>
    </row>
    <row r="1159" spans="1:7" x14ac:dyDescent="0.25">
      <c r="A1159" s="18" t="s">
        <v>830</v>
      </c>
      <c r="B1159" s="28">
        <v>87.92</v>
      </c>
      <c r="C1159" s="16" t="str">
        <f t="shared" si="95"/>
        <v>2022</v>
      </c>
      <c r="D1159" t="str">
        <f t="shared" si="96"/>
        <v>08</v>
      </c>
      <c r="E1159" s="21">
        <f t="shared" si="97"/>
        <v>44611</v>
      </c>
      <c r="F1159" s="17" t="str">
        <f t="shared" si="98"/>
        <v>2022-02</v>
      </c>
      <c r="G1159" s="25">
        <f t="shared" si="99"/>
        <v>84.204999999999998</v>
      </c>
    </row>
    <row r="1160" spans="1:7" x14ac:dyDescent="0.25">
      <c r="A1160" s="18" t="s">
        <v>829</v>
      </c>
      <c r="B1160" s="28">
        <v>83.75</v>
      </c>
      <c r="C1160" s="16" t="str">
        <f t="shared" si="95"/>
        <v>2022</v>
      </c>
      <c r="D1160" t="str">
        <f t="shared" si="96"/>
        <v>09</v>
      </c>
      <c r="E1160" s="21">
        <f t="shared" si="97"/>
        <v>44618</v>
      </c>
      <c r="F1160" s="17" t="str">
        <f t="shared" si="98"/>
        <v>2022-02</v>
      </c>
      <c r="G1160" s="25">
        <f t="shared" si="99"/>
        <v>84.204999999999998</v>
      </c>
    </row>
    <row r="1161" spans="1:7" x14ac:dyDescent="0.25">
      <c r="A1161" s="18" t="s">
        <v>828</v>
      </c>
      <c r="B1161" s="28">
        <v>83.23</v>
      </c>
      <c r="C1161" s="16" t="str">
        <f t="shared" si="95"/>
        <v>2022</v>
      </c>
      <c r="D1161" t="str">
        <f t="shared" si="96"/>
        <v>10</v>
      </c>
      <c r="E1161" s="21">
        <f t="shared" si="97"/>
        <v>44625</v>
      </c>
      <c r="F1161" s="17" t="str">
        <f t="shared" si="98"/>
        <v>2022-03</v>
      </c>
      <c r="G1161" s="25">
        <f t="shared" si="99"/>
        <v>82.3</v>
      </c>
    </row>
    <row r="1162" spans="1:7" x14ac:dyDescent="0.25">
      <c r="A1162" s="18" t="s">
        <v>827</v>
      </c>
      <c r="B1162" s="28">
        <v>78.28</v>
      </c>
      <c r="C1162" s="16" t="str">
        <f t="shared" si="95"/>
        <v>2022</v>
      </c>
      <c r="D1162" t="str">
        <f t="shared" si="96"/>
        <v>11</v>
      </c>
      <c r="E1162" s="21">
        <f t="shared" si="97"/>
        <v>44632</v>
      </c>
      <c r="F1162" s="17" t="str">
        <f t="shared" si="98"/>
        <v>2022-03</v>
      </c>
      <c r="G1162" s="25">
        <f t="shared" si="99"/>
        <v>82.3</v>
      </c>
    </row>
    <row r="1163" spans="1:7" x14ac:dyDescent="0.25">
      <c r="A1163" s="18" t="s">
        <v>826</v>
      </c>
      <c r="B1163" s="28">
        <v>83.53</v>
      </c>
      <c r="C1163" s="16" t="str">
        <f t="shared" si="95"/>
        <v>2022</v>
      </c>
      <c r="D1163" t="str">
        <f t="shared" si="96"/>
        <v>12</v>
      </c>
      <c r="E1163" s="21">
        <f t="shared" si="97"/>
        <v>44639</v>
      </c>
      <c r="F1163" s="17" t="str">
        <f t="shared" si="98"/>
        <v>2022-03</v>
      </c>
      <c r="G1163" s="25">
        <f t="shared" si="99"/>
        <v>82.3</v>
      </c>
    </row>
    <row r="1164" spans="1:7" x14ac:dyDescent="0.25">
      <c r="A1164" s="18" t="s">
        <v>825</v>
      </c>
      <c r="B1164" s="28">
        <v>84.16</v>
      </c>
      <c r="C1164" s="16" t="str">
        <f t="shared" si="95"/>
        <v>2022</v>
      </c>
      <c r="D1164" t="str">
        <f t="shared" si="96"/>
        <v>13</v>
      </c>
      <c r="E1164" s="21">
        <f t="shared" si="97"/>
        <v>44646</v>
      </c>
      <c r="F1164" s="17" t="str">
        <f t="shared" si="98"/>
        <v>2022-03</v>
      </c>
      <c r="G1164" s="25">
        <f t="shared" si="99"/>
        <v>82.3</v>
      </c>
    </row>
    <row r="1165" spans="1:7" x14ac:dyDescent="0.25">
      <c r="A1165" s="18" t="s">
        <v>824</v>
      </c>
      <c r="B1165" s="28">
        <v>93.21</v>
      </c>
      <c r="C1165" s="16" t="str">
        <f t="shared" si="95"/>
        <v>2022</v>
      </c>
      <c r="D1165" t="str">
        <f t="shared" si="96"/>
        <v>14</v>
      </c>
      <c r="E1165" s="21">
        <f t="shared" si="97"/>
        <v>44653</v>
      </c>
      <c r="F1165" s="17" t="str">
        <f t="shared" si="98"/>
        <v>2022-04</v>
      </c>
      <c r="G1165" s="25">
        <f t="shared" si="99"/>
        <v>100.54599999999999</v>
      </c>
    </row>
    <row r="1166" spans="1:7" x14ac:dyDescent="0.25">
      <c r="A1166" s="18" t="s">
        <v>823</v>
      </c>
      <c r="B1166" s="28">
        <v>94.63</v>
      </c>
      <c r="C1166" s="16" t="str">
        <f t="shared" si="95"/>
        <v>2022</v>
      </c>
      <c r="D1166" t="str">
        <f t="shared" si="96"/>
        <v>15</v>
      </c>
      <c r="E1166" s="21">
        <f t="shared" si="97"/>
        <v>44660</v>
      </c>
      <c r="F1166" s="17" t="str">
        <f t="shared" si="98"/>
        <v>2022-04</v>
      </c>
      <c r="G1166" s="25">
        <f t="shared" si="99"/>
        <v>100.54599999999999</v>
      </c>
    </row>
    <row r="1167" spans="1:7" x14ac:dyDescent="0.25">
      <c r="A1167" s="18" t="s">
        <v>822</v>
      </c>
      <c r="B1167" s="28">
        <v>98.93</v>
      </c>
      <c r="C1167" s="16" t="str">
        <f t="shared" si="95"/>
        <v>2022</v>
      </c>
      <c r="D1167" t="str">
        <f t="shared" si="96"/>
        <v>16</v>
      </c>
      <c r="E1167" s="21">
        <f t="shared" si="97"/>
        <v>44667</v>
      </c>
      <c r="F1167" s="17" t="str">
        <f t="shared" si="98"/>
        <v>2022-04</v>
      </c>
      <c r="G1167" s="25">
        <f t="shared" si="99"/>
        <v>100.54599999999999</v>
      </c>
    </row>
    <row r="1168" spans="1:7" x14ac:dyDescent="0.25">
      <c r="A1168" s="18" t="s">
        <v>821</v>
      </c>
      <c r="B1168" s="28">
        <v>107.75</v>
      </c>
      <c r="C1168" s="16" t="str">
        <f t="shared" si="95"/>
        <v>2022</v>
      </c>
      <c r="D1168" t="str">
        <f t="shared" si="96"/>
        <v>17</v>
      </c>
      <c r="E1168" s="21">
        <f t="shared" si="97"/>
        <v>44674</v>
      </c>
      <c r="F1168" s="17" t="str">
        <f t="shared" si="98"/>
        <v>2022-04</v>
      </c>
      <c r="G1168" s="25">
        <f t="shared" si="99"/>
        <v>100.54599999999999</v>
      </c>
    </row>
    <row r="1169" spans="1:7" x14ac:dyDescent="0.25">
      <c r="A1169" s="18" t="s">
        <v>820</v>
      </c>
      <c r="B1169" s="28">
        <v>108.21</v>
      </c>
      <c r="C1169" s="16" t="str">
        <f t="shared" si="95"/>
        <v>2022</v>
      </c>
      <c r="D1169" t="str">
        <f t="shared" si="96"/>
        <v>18</v>
      </c>
      <c r="E1169" s="21">
        <f t="shared" si="97"/>
        <v>44681</v>
      </c>
      <c r="F1169" s="17" t="str">
        <f t="shared" si="98"/>
        <v>2022-04</v>
      </c>
      <c r="G1169" s="25">
        <f t="shared" si="99"/>
        <v>100.54599999999999</v>
      </c>
    </row>
    <row r="1170" spans="1:7" x14ac:dyDescent="0.25">
      <c r="A1170" s="18" t="s">
        <v>819</v>
      </c>
      <c r="B1170" s="28">
        <v>97.65</v>
      </c>
      <c r="C1170" s="16" t="str">
        <f t="shared" si="95"/>
        <v>2022</v>
      </c>
      <c r="D1170" t="str">
        <f t="shared" si="96"/>
        <v>19</v>
      </c>
      <c r="E1170" s="21">
        <f t="shared" si="97"/>
        <v>44688</v>
      </c>
      <c r="F1170" s="17" t="str">
        <f t="shared" si="98"/>
        <v>2022-05</v>
      </c>
      <c r="G1170" s="25">
        <f t="shared" si="99"/>
        <v>95.342500000000001</v>
      </c>
    </row>
    <row r="1171" spans="1:7" x14ac:dyDescent="0.25">
      <c r="A1171" s="18" t="s">
        <v>818</v>
      </c>
      <c r="B1171" s="28">
        <v>92.71</v>
      </c>
      <c r="C1171" s="16" t="str">
        <f t="shared" si="95"/>
        <v>2022</v>
      </c>
      <c r="D1171" t="str">
        <f t="shared" si="96"/>
        <v>20</v>
      </c>
      <c r="E1171" s="21">
        <f t="shared" si="97"/>
        <v>44695</v>
      </c>
      <c r="F1171" s="17" t="str">
        <f t="shared" si="98"/>
        <v>2022-05</v>
      </c>
      <c r="G1171" s="25">
        <f t="shared" si="99"/>
        <v>95.342500000000001</v>
      </c>
    </row>
    <row r="1172" spans="1:7" x14ac:dyDescent="0.25">
      <c r="A1172" s="18" t="s">
        <v>817</v>
      </c>
      <c r="B1172" s="28">
        <v>95.13</v>
      </c>
      <c r="C1172" s="16" t="str">
        <f t="shared" ref="C1172:C1235" si="100">LEFT(A1172,4)</f>
        <v>2022</v>
      </c>
      <c r="D1172" t="str">
        <f t="shared" ref="D1172:D1235" si="101">RIGHT(A1172,2)</f>
        <v>21</v>
      </c>
      <c r="E1172" s="21">
        <f t="shared" si="97"/>
        <v>44702</v>
      </c>
      <c r="F1172" s="17" t="str">
        <f t="shared" si="98"/>
        <v>2022-05</v>
      </c>
      <c r="G1172" s="25">
        <f t="shared" si="99"/>
        <v>95.342500000000001</v>
      </c>
    </row>
    <row r="1173" spans="1:7" x14ac:dyDescent="0.25">
      <c r="A1173" s="18" t="s">
        <v>816</v>
      </c>
      <c r="B1173" s="28">
        <v>95.88</v>
      </c>
      <c r="C1173" s="16" t="str">
        <f t="shared" si="100"/>
        <v>2022</v>
      </c>
      <c r="D1173" t="str">
        <f t="shared" si="101"/>
        <v>22</v>
      </c>
      <c r="E1173" s="21">
        <f t="shared" si="97"/>
        <v>44709</v>
      </c>
      <c r="F1173" s="17" t="str">
        <f t="shared" si="98"/>
        <v>2022-05</v>
      </c>
      <c r="G1173" s="25">
        <f t="shared" si="99"/>
        <v>95.342500000000001</v>
      </c>
    </row>
    <row r="1174" spans="1:7" x14ac:dyDescent="0.25">
      <c r="A1174" s="18" t="s">
        <v>815</v>
      </c>
      <c r="B1174" s="28">
        <v>96.66</v>
      </c>
      <c r="C1174" s="16" t="str">
        <f t="shared" si="100"/>
        <v>2022</v>
      </c>
      <c r="D1174" t="str">
        <f t="shared" si="101"/>
        <v>23</v>
      </c>
      <c r="E1174" s="21">
        <f t="shared" si="97"/>
        <v>44716</v>
      </c>
      <c r="F1174" s="17" t="str">
        <f t="shared" si="98"/>
        <v>2022-06</v>
      </c>
      <c r="G1174" s="25">
        <f t="shared" si="99"/>
        <v>96.412499999999994</v>
      </c>
    </row>
    <row r="1175" spans="1:7" x14ac:dyDescent="0.25">
      <c r="A1175" s="18" t="s">
        <v>814</v>
      </c>
      <c r="B1175" s="28">
        <v>98.43</v>
      </c>
      <c r="C1175" s="16" t="str">
        <f t="shared" si="100"/>
        <v>2022</v>
      </c>
      <c r="D1175" t="str">
        <f t="shared" si="101"/>
        <v>24</v>
      </c>
      <c r="E1175" s="21">
        <f t="shared" si="97"/>
        <v>44723</v>
      </c>
      <c r="F1175" s="17" t="str">
        <f t="shared" si="98"/>
        <v>2022-06</v>
      </c>
      <c r="G1175" s="25">
        <f t="shared" si="99"/>
        <v>96.412499999999994</v>
      </c>
    </row>
    <row r="1176" spans="1:7" x14ac:dyDescent="0.25">
      <c r="A1176" s="18" t="s">
        <v>813</v>
      </c>
      <c r="B1176" s="28">
        <v>97.43</v>
      </c>
      <c r="C1176" s="16" t="str">
        <f t="shared" si="100"/>
        <v>2022</v>
      </c>
      <c r="D1176" t="str">
        <f t="shared" si="101"/>
        <v>25</v>
      </c>
      <c r="E1176" s="21">
        <f t="shared" si="97"/>
        <v>44730</v>
      </c>
      <c r="F1176" s="17" t="str">
        <f t="shared" si="98"/>
        <v>2022-06</v>
      </c>
      <c r="G1176" s="25">
        <f t="shared" si="99"/>
        <v>96.412499999999994</v>
      </c>
    </row>
    <row r="1177" spans="1:7" x14ac:dyDescent="0.25">
      <c r="A1177" s="18" t="s">
        <v>812</v>
      </c>
      <c r="B1177" s="28">
        <v>93.13</v>
      </c>
      <c r="C1177" s="16" t="str">
        <f t="shared" si="100"/>
        <v>2022</v>
      </c>
      <c r="D1177" t="str">
        <f t="shared" si="101"/>
        <v>26</v>
      </c>
      <c r="E1177" s="21">
        <f t="shared" si="97"/>
        <v>44737</v>
      </c>
      <c r="F1177" s="17" t="str">
        <f t="shared" si="98"/>
        <v>2022-06</v>
      </c>
      <c r="G1177" s="25">
        <f t="shared" si="99"/>
        <v>96.412499999999994</v>
      </c>
    </row>
    <row r="1178" spans="1:7" x14ac:dyDescent="0.25">
      <c r="A1178" s="18" t="s">
        <v>811</v>
      </c>
      <c r="B1178" s="28">
        <v>90.29</v>
      </c>
      <c r="C1178" s="16" t="str">
        <f t="shared" si="100"/>
        <v>2022</v>
      </c>
      <c r="D1178" t="str">
        <f t="shared" si="101"/>
        <v>27</v>
      </c>
      <c r="E1178" s="21">
        <f t="shared" si="97"/>
        <v>44744</v>
      </c>
      <c r="F1178" s="17" t="str">
        <f t="shared" si="98"/>
        <v>2022-07</v>
      </c>
      <c r="G1178" s="25">
        <f t="shared" si="99"/>
        <v>81.802000000000007</v>
      </c>
    </row>
    <row r="1179" spans="1:7" x14ac:dyDescent="0.25">
      <c r="A1179" s="18" t="s">
        <v>810</v>
      </c>
      <c r="B1179" s="28">
        <v>88.52</v>
      </c>
      <c r="C1179" s="16" t="str">
        <f t="shared" si="100"/>
        <v>2022</v>
      </c>
      <c r="D1179" t="str">
        <f t="shared" si="101"/>
        <v>28</v>
      </c>
      <c r="E1179" s="21">
        <f t="shared" si="97"/>
        <v>44751</v>
      </c>
      <c r="F1179" s="17" t="str">
        <f t="shared" si="98"/>
        <v>2022-07</v>
      </c>
      <c r="G1179" s="25">
        <f t="shared" si="99"/>
        <v>81.802000000000007</v>
      </c>
    </row>
    <row r="1180" spans="1:7" x14ac:dyDescent="0.25">
      <c r="A1180" s="18" t="s">
        <v>809</v>
      </c>
      <c r="B1180" s="28">
        <v>80.739999999999995</v>
      </c>
      <c r="C1180" s="16" t="str">
        <f t="shared" si="100"/>
        <v>2022</v>
      </c>
      <c r="D1180" t="str">
        <f t="shared" si="101"/>
        <v>29</v>
      </c>
      <c r="E1180" s="21">
        <f t="shared" si="97"/>
        <v>44758</v>
      </c>
      <c r="F1180" s="17" t="str">
        <f t="shared" si="98"/>
        <v>2022-07</v>
      </c>
      <c r="G1180" s="25">
        <f t="shared" si="99"/>
        <v>81.802000000000007</v>
      </c>
    </row>
    <row r="1181" spans="1:7" x14ac:dyDescent="0.25">
      <c r="A1181" s="18" t="s">
        <v>808</v>
      </c>
      <c r="B1181" s="28">
        <v>74.23</v>
      </c>
      <c r="C1181" s="16" t="str">
        <f t="shared" si="100"/>
        <v>2022</v>
      </c>
      <c r="D1181" t="str">
        <f t="shared" si="101"/>
        <v>30</v>
      </c>
      <c r="E1181" s="21">
        <f t="shared" si="97"/>
        <v>44765</v>
      </c>
      <c r="F1181" s="17" t="str">
        <f t="shared" si="98"/>
        <v>2022-07</v>
      </c>
      <c r="G1181" s="25">
        <f t="shared" si="99"/>
        <v>81.802000000000007</v>
      </c>
    </row>
    <row r="1182" spans="1:7" x14ac:dyDescent="0.25">
      <c r="A1182" s="18" t="s">
        <v>807</v>
      </c>
      <c r="B1182" s="28">
        <v>75.23</v>
      </c>
      <c r="C1182" s="16" t="str">
        <f t="shared" si="100"/>
        <v>2022</v>
      </c>
      <c r="D1182" t="str">
        <f t="shared" si="101"/>
        <v>31</v>
      </c>
      <c r="E1182" s="21">
        <f t="shared" si="97"/>
        <v>44772</v>
      </c>
      <c r="F1182" s="17" t="str">
        <f t="shared" si="98"/>
        <v>2022-07</v>
      </c>
      <c r="G1182" s="25">
        <f t="shared" si="99"/>
        <v>81.802000000000007</v>
      </c>
    </row>
    <row r="1183" spans="1:7" x14ac:dyDescent="0.25">
      <c r="A1183" s="18" t="s">
        <v>806</v>
      </c>
      <c r="B1183" s="28">
        <v>73.83</v>
      </c>
      <c r="C1183" s="16" t="str">
        <f t="shared" si="100"/>
        <v>2022</v>
      </c>
      <c r="D1183" t="str">
        <f t="shared" si="101"/>
        <v>32</v>
      </c>
      <c r="E1183" s="21">
        <f t="shared" si="97"/>
        <v>44779</v>
      </c>
      <c r="F1183" s="17" t="str">
        <f t="shared" si="98"/>
        <v>2022-08</v>
      </c>
      <c r="G1183" s="25">
        <f t="shared" si="99"/>
        <v>67.5625</v>
      </c>
    </row>
    <row r="1184" spans="1:7" x14ac:dyDescent="0.25">
      <c r="A1184" s="18" t="s">
        <v>805</v>
      </c>
      <c r="B1184" s="28">
        <v>69.86</v>
      </c>
      <c r="C1184" s="16" t="str">
        <f t="shared" si="100"/>
        <v>2022</v>
      </c>
      <c r="D1184" t="str">
        <f t="shared" si="101"/>
        <v>33</v>
      </c>
      <c r="E1184" s="21">
        <f t="shared" si="97"/>
        <v>44786</v>
      </c>
      <c r="F1184" s="17" t="str">
        <f t="shared" si="98"/>
        <v>2022-08</v>
      </c>
      <c r="G1184" s="25">
        <f t="shared" si="99"/>
        <v>67.5625</v>
      </c>
    </row>
    <row r="1185" spans="1:7" x14ac:dyDescent="0.25">
      <c r="A1185" s="18" t="s">
        <v>804</v>
      </c>
      <c r="B1185" s="28">
        <v>64.62</v>
      </c>
      <c r="C1185" s="16" t="str">
        <f t="shared" si="100"/>
        <v>2022</v>
      </c>
      <c r="D1185" t="str">
        <f t="shared" si="101"/>
        <v>34</v>
      </c>
      <c r="E1185" s="21">
        <f t="shared" si="97"/>
        <v>44793</v>
      </c>
      <c r="F1185" s="17" t="str">
        <f t="shared" si="98"/>
        <v>2022-08</v>
      </c>
      <c r="G1185" s="25">
        <f t="shared" si="99"/>
        <v>67.5625</v>
      </c>
    </row>
    <row r="1186" spans="1:7" x14ac:dyDescent="0.25">
      <c r="A1186" s="18" t="s">
        <v>803</v>
      </c>
      <c r="B1186" s="28">
        <v>61.94</v>
      </c>
      <c r="C1186" s="16" t="str">
        <f t="shared" si="100"/>
        <v>2022</v>
      </c>
      <c r="D1186" t="str">
        <f t="shared" si="101"/>
        <v>35</v>
      </c>
      <c r="E1186" s="21">
        <f t="shared" si="97"/>
        <v>44800</v>
      </c>
      <c r="F1186" s="17" t="str">
        <f t="shared" si="98"/>
        <v>2022-08</v>
      </c>
      <c r="G1186" s="25">
        <f t="shared" si="99"/>
        <v>67.5625</v>
      </c>
    </row>
    <row r="1187" spans="1:7" x14ac:dyDescent="0.25">
      <c r="A1187" s="18" t="s">
        <v>802</v>
      </c>
      <c r="B1187" s="28">
        <v>61.8</v>
      </c>
      <c r="C1187" s="16" t="str">
        <f t="shared" si="100"/>
        <v>2022</v>
      </c>
      <c r="D1187" t="str">
        <f t="shared" si="101"/>
        <v>36</v>
      </c>
      <c r="E1187" s="21">
        <f t="shared" si="97"/>
        <v>44807</v>
      </c>
      <c r="F1187" s="17" t="str">
        <f t="shared" si="98"/>
        <v>2022-09</v>
      </c>
      <c r="G1187" s="25">
        <f t="shared" si="99"/>
        <v>64.127499999999998</v>
      </c>
    </row>
    <row r="1188" spans="1:7" x14ac:dyDescent="0.25">
      <c r="A1188" s="18" t="s">
        <v>801</v>
      </c>
      <c r="B1188" s="28">
        <v>64.489999999999995</v>
      </c>
      <c r="C1188" s="16" t="str">
        <f t="shared" si="100"/>
        <v>2022</v>
      </c>
      <c r="D1188" t="str">
        <f t="shared" si="101"/>
        <v>37</v>
      </c>
      <c r="E1188" s="21">
        <f t="shared" si="97"/>
        <v>44814</v>
      </c>
      <c r="F1188" s="17" t="str">
        <f t="shared" si="98"/>
        <v>2022-09</v>
      </c>
      <c r="G1188" s="25">
        <f t="shared" si="99"/>
        <v>64.127499999999998</v>
      </c>
    </row>
    <row r="1189" spans="1:7" x14ac:dyDescent="0.25">
      <c r="A1189" s="18" t="s">
        <v>800</v>
      </c>
      <c r="B1189" s="28">
        <v>64.55</v>
      </c>
      <c r="C1189" s="16" t="str">
        <f t="shared" si="100"/>
        <v>2022</v>
      </c>
      <c r="D1189" t="str">
        <f t="shared" si="101"/>
        <v>38</v>
      </c>
      <c r="E1189" s="21">
        <f t="shared" si="97"/>
        <v>44821</v>
      </c>
      <c r="F1189" s="17" t="str">
        <f t="shared" si="98"/>
        <v>2022-09</v>
      </c>
      <c r="G1189" s="25">
        <f t="shared" si="99"/>
        <v>64.127499999999998</v>
      </c>
    </row>
    <row r="1190" spans="1:7" x14ac:dyDescent="0.25">
      <c r="A1190" s="18" t="s">
        <v>799</v>
      </c>
      <c r="B1190" s="28">
        <v>65.67</v>
      </c>
      <c r="C1190" s="16" t="str">
        <f t="shared" si="100"/>
        <v>2022</v>
      </c>
      <c r="D1190" t="str">
        <f t="shared" si="101"/>
        <v>39</v>
      </c>
      <c r="E1190" s="21">
        <f t="shared" si="97"/>
        <v>44828</v>
      </c>
      <c r="F1190" s="17" t="str">
        <f t="shared" si="98"/>
        <v>2022-09</v>
      </c>
      <c r="G1190" s="25">
        <f t="shared" si="99"/>
        <v>64.127499999999998</v>
      </c>
    </row>
    <row r="1191" spans="1:7" x14ac:dyDescent="0.25">
      <c r="A1191" s="18" t="s">
        <v>798</v>
      </c>
      <c r="B1191" s="28">
        <v>69.38</v>
      </c>
      <c r="C1191" s="16" t="str">
        <f t="shared" si="100"/>
        <v>2022</v>
      </c>
      <c r="D1191" t="str">
        <f t="shared" si="101"/>
        <v>40</v>
      </c>
      <c r="E1191" s="21">
        <f t="shared" si="97"/>
        <v>44835</v>
      </c>
      <c r="F1191" s="17" t="str">
        <f t="shared" si="98"/>
        <v>2022-10</v>
      </c>
      <c r="G1191" s="25">
        <f t="shared" si="99"/>
        <v>71.150000000000006</v>
      </c>
    </row>
    <row r="1192" spans="1:7" x14ac:dyDescent="0.25">
      <c r="A1192" s="18" t="s">
        <v>797</v>
      </c>
      <c r="B1192" s="28">
        <v>72.88</v>
      </c>
      <c r="C1192" s="16" t="str">
        <f t="shared" si="100"/>
        <v>2022</v>
      </c>
      <c r="D1192" t="str">
        <f t="shared" si="101"/>
        <v>41</v>
      </c>
      <c r="E1192" s="21">
        <f t="shared" si="97"/>
        <v>44842</v>
      </c>
      <c r="F1192" s="17" t="str">
        <f t="shared" si="98"/>
        <v>2022-10</v>
      </c>
      <c r="G1192" s="25">
        <f t="shared" si="99"/>
        <v>71.150000000000006</v>
      </c>
    </row>
    <row r="1193" spans="1:7" x14ac:dyDescent="0.25">
      <c r="A1193" s="18" t="s">
        <v>796</v>
      </c>
      <c r="B1193" s="28">
        <v>72.09</v>
      </c>
      <c r="C1193" s="16" t="str">
        <f t="shared" si="100"/>
        <v>2022</v>
      </c>
      <c r="D1193" t="str">
        <f t="shared" si="101"/>
        <v>42</v>
      </c>
      <c r="E1193" s="21">
        <f t="shared" si="97"/>
        <v>44849</v>
      </c>
      <c r="F1193" s="17" t="str">
        <f t="shared" si="98"/>
        <v>2022-10</v>
      </c>
      <c r="G1193" s="25">
        <f t="shared" si="99"/>
        <v>71.150000000000006</v>
      </c>
    </row>
    <row r="1194" spans="1:7" x14ac:dyDescent="0.25">
      <c r="A1194" s="18" t="s">
        <v>795</v>
      </c>
      <c r="B1194" s="28">
        <v>70.64</v>
      </c>
      <c r="C1194" s="16" t="str">
        <f t="shared" si="100"/>
        <v>2022</v>
      </c>
      <c r="D1194" t="str">
        <f t="shared" si="101"/>
        <v>43</v>
      </c>
      <c r="E1194" s="21">
        <f t="shared" si="97"/>
        <v>44856</v>
      </c>
      <c r="F1194" s="17" t="str">
        <f t="shared" si="98"/>
        <v>2022-10</v>
      </c>
      <c r="G1194" s="25">
        <f t="shared" si="99"/>
        <v>71.150000000000006</v>
      </c>
    </row>
    <row r="1195" spans="1:7" x14ac:dyDescent="0.25">
      <c r="A1195" s="18" t="s">
        <v>794</v>
      </c>
      <c r="B1195" s="28">
        <v>70.760000000000005</v>
      </c>
      <c r="C1195" s="16" t="str">
        <f t="shared" si="100"/>
        <v>2022</v>
      </c>
      <c r="D1195" t="str">
        <f t="shared" si="101"/>
        <v>44</v>
      </c>
      <c r="E1195" s="21">
        <f t="shared" si="97"/>
        <v>44863</v>
      </c>
      <c r="F1195" s="17" t="str">
        <f t="shared" si="98"/>
        <v>2022-10</v>
      </c>
      <c r="G1195" s="25">
        <f t="shared" si="99"/>
        <v>71.150000000000006</v>
      </c>
    </row>
    <row r="1196" spans="1:7" x14ac:dyDescent="0.25">
      <c r="A1196" s="18" t="s">
        <v>793</v>
      </c>
      <c r="B1196" s="28">
        <v>68.430000000000007</v>
      </c>
      <c r="C1196" s="16" t="str">
        <f t="shared" si="100"/>
        <v>2022</v>
      </c>
      <c r="D1196" t="str">
        <f t="shared" si="101"/>
        <v>45</v>
      </c>
      <c r="E1196" s="21">
        <f t="shared" si="97"/>
        <v>44870</v>
      </c>
      <c r="F1196" s="17" t="str">
        <f t="shared" si="98"/>
        <v>2022-11</v>
      </c>
      <c r="G1196" s="25">
        <f t="shared" si="99"/>
        <v>74.67</v>
      </c>
    </row>
    <row r="1197" spans="1:7" x14ac:dyDescent="0.25">
      <c r="A1197" s="18" t="s">
        <v>792</v>
      </c>
      <c r="B1197" s="28">
        <v>70.55</v>
      </c>
      <c r="C1197" s="16" t="str">
        <f t="shared" si="100"/>
        <v>2022</v>
      </c>
      <c r="D1197" t="str">
        <f t="shared" si="101"/>
        <v>46</v>
      </c>
      <c r="E1197" s="21">
        <f t="shared" si="97"/>
        <v>44877</v>
      </c>
      <c r="F1197" s="17" t="str">
        <f t="shared" si="98"/>
        <v>2022-11</v>
      </c>
      <c r="G1197" s="25">
        <f t="shared" si="99"/>
        <v>74.67</v>
      </c>
    </row>
    <row r="1198" spans="1:7" x14ac:dyDescent="0.25">
      <c r="A1198" s="18" t="s">
        <v>791</v>
      </c>
      <c r="B1198" s="28">
        <v>78</v>
      </c>
      <c r="C1198" s="16" t="str">
        <f t="shared" si="100"/>
        <v>2022</v>
      </c>
      <c r="D1198" t="str">
        <f t="shared" si="101"/>
        <v>47</v>
      </c>
      <c r="E1198" s="21">
        <f t="shared" si="97"/>
        <v>44884</v>
      </c>
      <c r="F1198" s="17" t="str">
        <f t="shared" si="98"/>
        <v>2022-11</v>
      </c>
      <c r="G1198" s="25">
        <f t="shared" si="99"/>
        <v>74.67</v>
      </c>
    </row>
    <row r="1199" spans="1:7" x14ac:dyDescent="0.25">
      <c r="A1199" s="18" t="s">
        <v>790</v>
      </c>
      <c r="B1199" s="28">
        <v>81.7</v>
      </c>
      <c r="C1199" s="16" t="str">
        <f t="shared" si="100"/>
        <v>2022</v>
      </c>
      <c r="D1199" t="str">
        <f t="shared" si="101"/>
        <v>48</v>
      </c>
      <c r="E1199" s="21">
        <f t="shared" si="97"/>
        <v>44891</v>
      </c>
      <c r="F1199" s="17" t="str">
        <f t="shared" si="98"/>
        <v>2022-11</v>
      </c>
      <c r="G1199" s="25">
        <f t="shared" si="99"/>
        <v>74.67</v>
      </c>
    </row>
    <row r="1200" spans="1:7" x14ac:dyDescent="0.25">
      <c r="A1200" s="18" t="s">
        <v>789</v>
      </c>
      <c r="B1200" s="28">
        <v>77.77</v>
      </c>
      <c r="C1200" s="16" t="str">
        <f t="shared" si="100"/>
        <v>2022</v>
      </c>
      <c r="D1200" t="str">
        <f t="shared" si="101"/>
        <v>49</v>
      </c>
      <c r="E1200" s="21">
        <f t="shared" si="97"/>
        <v>44898</v>
      </c>
      <c r="F1200" s="17" t="str">
        <f t="shared" si="98"/>
        <v>2022-12</v>
      </c>
      <c r="G1200" s="25">
        <f t="shared" si="99"/>
        <v>79.039999999999992</v>
      </c>
    </row>
    <row r="1201" spans="1:7" x14ac:dyDescent="0.25">
      <c r="A1201" s="18" t="s">
        <v>788</v>
      </c>
      <c r="B1201" s="28">
        <v>77.349999999999994</v>
      </c>
      <c r="C1201" s="16" t="str">
        <f t="shared" si="100"/>
        <v>2022</v>
      </c>
      <c r="D1201" t="str">
        <f t="shared" si="101"/>
        <v>50</v>
      </c>
      <c r="E1201" s="21">
        <f t="shared" si="97"/>
        <v>44905</v>
      </c>
      <c r="F1201" s="17" t="str">
        <f t="shared" si="98"/>
        <v>2022-12</v>
      </c>
      <c r="G1201" s="25">
        <f t="shared" si="99"/>
        <v>79.039999999999992</v>
      </c>
    </row>
    <row r="1202" spans="1:7" x14ac:dyDescent="0.25">
      <c r="A1202" s="18" t="s">
        <v>787</v>
      </c>
      <c r="B1202" s="28">
        <v>74.709999999999994</v>
      </c>
      <c r="C1202" s="16" t="str">
        <f t="shared" si="100"/>
        <v>2022</v>
      </c>
      <c r="D1202" t="str">
        <f t="shared" si="101"/>
        <v>51</v>
      </c>
      <c r="E1202" s="21">
        <f t="shared" si="97"/>
        <v>44912</v>
      </c>
      <c r="F1202" s="17" t="str">
        <f t="shared" si="98"/>
        <v>2022-12</v>
      </c>
      <c r="G1202" s="25">
        <f t="shared" si="99"/>
        <v>79.039999999999992</v>
      </c>
    </row>
    <row r="1203" spans="1:7" x14ac:dyDescent="0.25">
      <c r="A1203" s="18" t="s">
        <v>786</v>
      </c>
      <c r="B1203" s="28">
        <v>86.33</v>
      </c>
      <c r="C1203" s="16" t="str">
        <f t="shared" si="100"/>
        <v>2022</v>
      </c>
      <c r="D1203" t="str">
        <f t="shared" si="101"/>
        <v>52</v>
      </c>
      <c r="E1203" s="21">
        <f t="shared" si="97"/>
        <v>44919</v>
      </c>
      <c r="F1203" s="17" t="str">
        <f t="shared" si="98"/>
        <v>2022-12</v>
      </c>
      <c r="G1203" s="25">
        <f t="shared" si="99"/>
        <v>79.039999999999992</v>
      </c>
    </row>
    <row r="1204" spans="1:7" x14ac:dyDescent="0.25">
      <c r="A1204" s="18" t="s">
        <v>785</v>
      </c>
      <c r="B1204" s="28">
        <v>89.67</v>
      </c>
      <c r="C1204" s="16" t="str">
        <f t="shared" si="100"/>
        <v>2023</v>
      </c>
      <c r="D1204" t="str">
        <f t="shared" si="101"/>
        <v>01</v>
      </c>
      <c r="E1204" s="21">
        <f t="shared" si="97"/>
        <v>44927</v>
      </c>
      <c r="F1204" s="17" t="str">
        <f t="shared" si="98"/>
        <v>2023-01</v>
      </c>
      <c r="G1204" s="25">
        <f t="shared" si="99"/>
        <v>93</v>
      </c>
    </row>
    <row r="1205" spans="1:7" x14ac:dyDescent="0.25">
      <c r="A1205" s="18" t="s">
        <v>784</v>
      </c>
      <c r="B1205" s="28">
        <v>97.51</v>
      </c>
      <c r="C1205" s="16" t="str">
        <f t="shared" si="100"/>
        <v>2023</v>
      </c>
      <c r="D1205" t="str">
        <f t="shared" si="101"/>
        <v>02</v>
      </c>
      <c r="E1205" s="21">
        <f t="shared" si="97"/>
        <v>44934</v>
      </c>
      <c r="F1205" s="17" t="str">
        <f t="shared" si="98"/>
        <v>2023-01</v>
      </c>
      <c r="G1205" s="25">
        <f t="shared" si="99"/>
        <v>93</v>
      </c>
    </row>
    <row r="1206" spans="1:7" x14ac:dyDescent="0.25">
      <c r="A1206" s="18" t="s">
        <v>783</v>
      </c>
      <c r="B1206" s="28">
        <v>94.98</v>
      </c>
      <c r="C1206" s="16" t="str">
        <f t="shared" si="100"/>
        <v>2023</v>
      </c>
      <c r="D1206" t="str">
        <f t="shared" si="101"/>
        <v>03</v>
      </c>
      <c r="E1206" s="21">
        <f t="shared" si="97"/>
        <v>44941</v>
      </c>
      <c r="F1206" s="17" t="str">
        <f t="shared" si="98"/>
        <v>2023-01</v>
      </c>
      <c r="G1206" s="25">
        <f t="shared" si="99"/>
        <v>93</v>
      </c>
    </row>
    <row r="1207" spans="1:7" x14ac:dyDescent="0.25">
      <c r="A1207" s="18" t="s">
        <v>782</v>
      </c>
      <c r="B1207" s="28">
        <v>89.77</v>
      </c>
      <c r="C1207" s="16" t="str">
        <f t="shared" si="100"/>
        <v>2023</v>
      </c>
      <c r="D1207" t="str">
        <f t="shared" si="101"/>
        <v>04</v>
      </c>
      <c r="E1207" s="21">
        <f t="shared" si="97"/>
        <v>44948</v>
      </c>
      <c r="F1207" s="17" t="str">
        <f t="shared" si="98"/>
        <v>2023-01</v>
      </c>
      <c r="G1207" s="25">
        <f t="shared" si="99"/>
        <v>93</v>
      </c>
    </row>
    <row r="1208" spans="1:7" x14ac:dyDescent="0.25">
      <c r="A1208" s="18" t="s">
        <v>781</v>
      </c>
      <c r="B1208" s="28">
        <v>93.07</v>
      </c>
      <c r="C1208" s="16" t="str">
        <f t="shared" si="100"/>
        <v>2023</v>
      </c>
      <c r="D1208" t="str">
        <f t="shared" si="101"/>
        <v>05</v>
      </c>
      <c r="E1208" s="21">
        <f t="shared" si="97"/>
        <v>44955</v>
      </c>
      <c r="F1208" s="17" t="str">
        <f t="shared" si="98"/>
        <v>2023-01</v>
      </c>
      <c r="G1208" s="25">
        <f t="shared" si="99"/>
        <v>93</v>
      </c>
    </row>
    <row r="1209" spans="1:7" x14ac:dyDescent="0.25">
      <c r="A1209" s="18" t="s">
        <v>780</v>
      </c>
      <c r="B1209" s="28">
        <v>93.3</v>
      </c>
      <c r="C1209" s="16" t="str">
        <f t="shared" si="100"/>
        <v>2023</v>
      </c>
      <c r="D1209" t="str">
        <f t="shared" si="101"/>
        <v>06</v>
      </c>
      <c r="E1209" s="21">
        <f t="shared" si="97"/>
        <v>44962</v>
      </c>
      <c r="F1209" s="17" t="str">
        <f t="shared" si="98"/>
        <v>2023-02</v>
      </c>
      <c r="G1209" s="25">
        <f t="shared" si="99"/>
        <v>107.11499999999999</v>
      </c>
    </row>
    <row r="1210" spans="1:7" x14ac:dyDescent="0.25">
      <c r="A1210" s="18" t="s">
        <v>779</v>
      </c>
      <c r="B1210" s="28">
        <v>103.22</v>
      </c>
      <c r="C1210" s="16" t="str">
        <f t="shared" si="100"/>
        <v>2023</v>
      </c>
      <c r="D1210" t="str">
        <f t="shared" si="101"/>
        <v>07</v>
      </c>
      <c r="E1210" s="21">
        <f t="shared" si="97"/>
        <v>44969</v>
      </c>
      <c r="F1210" s="17" t="str">
        <f t="shared" si="98"/>
        <v>2023-02</v>
      </c>
      <c r="G1210" s="25">
        <f t="shared" si="99"/>
        <v>107.11499999999999</v>
      </c>
    </row>
    <row r="1211" spans="1:7" x14ac:dyDescent="0.25">
      <c r="A1211" s="18" t="s">
        <v>778</v>
      </c>
      <c r="B1211" s="28">
        <v>112.46</v>
      </c>
      <c r="C1211" s="16" t="str">
        <f t="shared" si="100"/>
        <v>2023</v>
      </c>
      <c r="D1211" t="str">
        <f t="shared" si="101"/>
        <v>08</v>
      </c>
      <c r="E1211" s="21">
        <f t="shared" si="97"/>
        <v>44976</v>
      </c>
      <c r="F1211" s="17" t="str">
        <f t="shared" si="98"/>
        <v>2023-02</v>
      </c>
      <c r="G1211" s="25">
        <f t="shared" si="99"/>
        <v>107.11499999999999</v>
      </c>
    </row>
    <row r="1212" spans="1:7" x14ac:dyDescent="0.25">
      <c r="A1212" s="18" t="s">
        <v>777</v>
      </c>
      <c r="B1212" s="28">
        <v>119.48</v>
      </c>
      <c r="C1212" s="16" t="str">
        <f t="shared" si="100"/>
        <v>2023</v>
      </c>
      <c r="D1212" t="str">
        <f t="shared" si="101"/>
        <v>09</v>
      </c>
      <c r="E1212" s="21">
        <f t="shared" si="97"/>
        <v>44983</v>
      </c>
      <c r="F1212" s="17" t="str">
        <f t="shared" si="98"/>
        <v>2023-02</v>
      </c>
      <c r="G1212" s="25">
        <f t="shared" si="99"/>
        <v>107.11499999999999</v>
      </c>
    </row>
    <row r="1213" spans="1:7" x14ac:dyDescent="0.25">
      <c r="A1213" s="18" t="s">
        <v>776</v>
      </c>
      <c r="B1213" s="28">
        <v>118.23</v>
      </c>
      <c r="C1213" s="16" t="str">
        <f t="shared" si="100"/>
        <v>2023</v>
      </c>
      <c r="D1213" t="str">
        <f t="shared" si="101"/>
        <v>10</v>
      </c>
      <c r="E1213" s="21">
        <f t="shared" si="97"/>
        <v>44990</v>
      </c>
      <c r="F1213" s="17" t="str">
        <f t="shared" si="98"/>
        <v>2023-03</v>
      </c>
      <c r="G1213" s="25">
        <f t="shared" si="99"/>
        <v>117.36750000000001</v>
      </c>
    </row>
    <row r="1214" spans="1:7" x14ac:dyDescent="0.25">
      <c r="A1214" s="18" t="s">
        <v>775</v>
      </c>
      <c r="B1214" s="28">
        <v>122.88</v>
      </c>
      <c r="C1214" s="16" t="str">
        <f t="shared" si="100"/>
        <v>2023</v>
      </c>
      <c r="D1214" t="str">
        <f t="shared" si="101"/>
        <v>11</v>
      </c>
      <c r="E1214" s="21">
        <f t="shared" si="97"/>
        <v>44997</v>
      </c>
      <c r="F1214" s="17" t="str">
        <f t="shared" si="98"/>
        <v>2023-03</v>
      </c>
      <c r="G1214" s="25">
        <f t="shared" si="99"/>
        <v>117.36750000000001</v>
      </c>
    </row>
    <row r="1215" spans="1:7" x14ac:dyDescent="0.25">
      <c r="A1215" s="18" t="s">
        <v>774</v>
      </c>
      <c r="B1215" s="28">
        <v>117.32</v>
      </c>
      <c r="C1215" s="16" t="str">
        <f t="shared" si="100"/>
        <v>2023</v>
      </c>
      <c r="D1215" t="str">
        <f t="shared" si="101"/>
        <v>12</v>
      </c>
      <c r="E1215" s="21">
        <f t="shared" si="97"/>
        <v>45004</v>
      </c>
      <c r="F1215" s="17" t="str">
        <f t="shared" si="98"/>
        <v>2023-03</v>
      </c>
      <c r="G1215" s="25">
        <f t="shared" si="99"/>
        <v>117.36750000000001</v>
      </c>
    </row>
    <row r="1216" spans="1:7" x14ac:dyDescent="0.25">
      <c r="A1216" s="18" t="s">
        <v>773</v>
      </c>
      <c r="B1216" s="28">
        <v>111.04</v>
      </c>
      <c r="C1216" s="16" t="str">
        <f t="shared" si="100"/>
        <v>2023</v>
      </c>
      <c r="D1216" t="str">
        <f t="shared" si="101"/>
        <v>13</v>
      </c>
      <c r="E1216" s="21">
        <f t="shared" si="97"/>
        <v>45011</v>
      </c>
      <c r="F1216" s="17" t="str">
        <f t="shared" si="98"/>
        <v>2023-03</v>
      </c>
      <c r="G1216" s="25">
        <f t="shared" si="99"/>
        <v>117.36750000000001</v>
      </c>
    </row>
    <row r="1217" spans="1:7" x14ac:dyDescent="0.25">
      <c r="A1217" s="18" t="s">
        <v>772</v>
      </c>
      <c r="B1217" s="28">
        <v>109.21</v>
      </c>
      <c r="C1217" s="16" t="str">
        <f t="shared" si="100"/>
        <v>2023</v>
      </c>
      <c r="D1217" t="str">
        <f t="shared" si="101"/>
        <v>14</v>
      </c>
      <c r="E1217" s="21">
        <f t="shared" si="97"/>
        <v>45018</v>
      </c>
      <c r="F1217" s="17" t="str">
        <f t="shared" si="98"/>
        <v>2023-04</v>
      </c>
      <c r="G1217" s="25">
        <f t="shared" si="99"/>
        <v>113.434</v>
      </c>
    </row>
    <row r="1218" spans="1:7" x14ac:dyDescent="0.25">
      <c r="A1218" s="18" t="s">
        <v>771</v>
      </c>
      <c r="B1218" s="28">
        <v>113.39</v>
      </c>
      <c r="C1218" s="16" t="str">
        <f t="shared" si="100"/>
        <v>2023</v>
      </c>
      <c r="D1218" t="str">
        <f t="shared" si="101"/>
        <v>15</v>
      </c>
      <c r="E1218" s="21">
        <f t="shared" si="97"/>
        <v>45025</v>
      </c>
      <c r="F1218" s="17" t="str">
        <f t="shared" si="98"/>
        <v>2023-04</v>
      </c>
      <c r="G1218" s="25">
        <f t="shared" si="99"/>
        <v>113.434</v>
      </c>
    </row>
    <row r="1219" spans="1:7" x14ac:dyDescent="0.25">
      <c r="A1219" s="18" t="s">
        <v>770</v>
      </c>
      <c r="B1219" s="28">
        <v>120.57</v>
      </c>
      <c r="C1219" s="16" t="str">
        <f t="shared" si="100"/>
        <v>2023</v>
      </c>
      <c r="D1219" t="str">
        <f t="shared" si="101"/>
        <v>16</v>
      </c>
      <c r="E1219" s="21">
        <f t="shared" si="97"/>
        <v>45032</v>
      </c>
      <c r="F1219" s="17" t="str">
        <f t="shared" si="98"/>
        <v>2023-04</v>
      </c>
      <c r="G1219" s="25">
        <f t="shared" si="99"/>
        <v>113.434</v>
      </c>
    </row>
    <row r="1220" spans="1:7" x14ac:dyDescent="0.25">
      <c r="A1220" s="18" t="s">
        <v>769</v>
      </c>
      <c r="B1220" s="28">
        <v>111.63</v>
      </c>
      <c r="C1220" s="16" t="str">
        <f t="shared" si="100"/>
        <v>2023</v>
      </c>
      <c r="D1220" t="str">
        <f t="shared" si="101"/>
        <v>17</v>
      </c>
      <c r="E1220" s="21">
        <f t="shared" si="97"/>
        <v>45039</v>
      </c>
      <c r="F1220" s="17" t="str">
        <f t="shared" si="98"/>
        <v>2023-04</v>
      </c>
      <c r="G1220" s="25">
        <f t="shared" si="99"/>
        <v>113.434</v>
      </c>
    </row>
    <row r="1221" spans="1:7" x14ac:dyDescent="0.25">
      <c r="A1221" s="18" t="s">
        <v>768</v>
      </c>
      <c r="B1221" s="28">
        <v>112.37</v>
      </c>
      <c r="C1221" s="16" t="str">
        <f t="shared" si="100"/>
        <v>2023</v>
      </c>
      <c r="D1221" t="str">
        <f t="shared" si="101"/>
        <v>18</v>
      </c>
      <c r="E1221" s="21">
        <f t="shared" ref="E1221:E1284" si="102">DATE(C1221,1,1)+(D1221-1)*7</f>
        <v>45046</v>
      </c>
      <c r="F1221" s="17" t="str">
        <f t="shared" ref="F1221:F1284" si="103">TEXT(E1221,"éééé-hh")</f>
        <v>2023-04</v>
      </c>
      <c r="G1221" s="25">
        <f t="shared" ref="G1221:G1284" si="104">AVERAGEIF($F$4:$F$1353,F1221,$B$4:$B$1353)</f>
        <v>113.434</v>
      </c>
    </row>
    <row r="1222" spans="1:7" x14ac:dyDescent="0.25">
      <c r="A1222" s="18" t="s">
        <v>767</v>
      </c>
      <c r="B1222" s="28">
        <v>108.66</v>
      </c>
      <c r="C1222" s="16" t="str">
        <f t="shared" si="100"/>
        <v>2023</v>
      </c>
      <c r="D1222" t="str">
        <f t="shared" si="101"/>
        <v>19</v>
      </c>
      <c r="E1222" s="21">
        <f t="shared" si="102"/>
        <v>45053</v>
      </c>
      <c r="F1222" s="17" t="str">
        <f t="shared" si="103"/>
        <v>2023-05</v>
      </c>
      <c r="G1222" s="25">
        <f t="shared" si="104"/>
        <v>110.2825</v>
      </c>
    </row>
    <row r="1223" spans="1:7" x14ac:dyDescent="0.25">
      <c r="A1223" s="18" t="s">
        <v>766</v>
      </c>
      <c r="B1223" s="28">
        <v>110.87</v>
      </c>
      <c r="C1223" s="16" t="str">
        <f t="shared" si="100"/>
        <v>2023</v>
      </c>
      <c r="D1223" t="str">
        <f t="shared" si="101"/>
        <v>20</v>
      </c>
      <c r="E1223" s="21">
        <f t="shared" si="102"/>
        <v>45060</v>
      </c>
      <c r="F1223" s="17" t="str">
        <f t="shared" si="103"/>
        <v>2023-05</v>
      </c>
      <c r="G1223" s="25">
        <f t="shared" si="104"/>
        <v>110.2825</v>
      </c>
    </row>
    <row r="1224" spans="1:7" x14ac:dyDescent="0.25">
      <c r="A1224" s="18" t="s">
        <v>765</v>
      </c>
      <c r="B1224" s="28">
        <v>108.65</v>
      </c>
      <c r="C1224" s="16" t="str">
        <f t="shared" si="100"/>
        <v>2023</v>
      </c>
      <c r="D1224" t="str">
        <f t="shared" si="101"/>
        <v>21</v>
      </c>
      <c r="E1224" s="21">
        <f t="shared" si="102"/>
        <v>45067</v>
      </c>
      <c r="F1224" s="17" t="str">
        <f t="shared" si="103"/>
        <v>2023-05</v>
      </c>
      <c r="G1224" s="25">
        <f t="shared" si="104"/>
        <v>110.2825</v>
      </c>
    </row>
    <row r="1225" spans="1:7" x14ac:dyDescent="0.25">
      <c r="A1225" s="18" t="s">
        <v>764</v>
      </c>
      <c r="B1225" s="28">
        <v>112.95</v>
      </c>
      <c r="C1225" s="16" t="str">
        <f t="shared" si="100"/>
        <v>2023</v>
      </c>
      <c r="D1225" t="str">
        <f t="shared" si="101"/>
        <v>22</v>
      </c>
      <c r="E1225" s="21">
        <f t="shared" si="102"/>
        <v>45074</v>
      </c>
      <c r="F1225" s="17" t="str">
        <f t="shared" si="103"/>
        <v>2023-05</v>
      </c>
      <c r="G1225" s="25">
        <f t="shared" si="104"/>
        <v>110.2825</v>
      </c>
    </row>
    <row r="1226" spans="1:7" x14ac:dyDescent="0.25">
      <c r="A1226" s="18" t="s">
        <v>763</v>
      </c>
      <c r="B1226" s="28">
        <v>110.08</v>
      </c>
      <c r="C1226" s="16" t="str">
        <f t="shared" si="100"/>
        <v>2023</v>
      </c>
      <c r="D1226" t="str">
        <f t="shared" si="101"/>
        <v>23</v>
      </c>
      <c r="E1226" s="21">
        <f t="shared" si="102"/>
        <v>45081</v>
      </c>
      <c r="F1226" s="17" t="str">
        <f t="shared" si="103"/>
        <v>2023-06</v>
      </c>
      <c r="G1226" s="25">
        <f t="shared" si="104"/>
        <v>98.082499999999996</v>
      </c>
    </row>
    <row r="1227" spans="1:7" x14ac:dyDescent="0.25">
      <c r="A1227" s="18" t="s">
        <v>762</v>
      </c>
      <c r="B1227" s="28">
        <v>100.75</v>
      </c>
      <c r="C1227" s="16" t="str">
        <f t="shared" si="100"/>
        <v>2023</v>
      </c>
      <c r="D1227" t="str">
        <f t="shared" si="101"/>
        <v>24</v>
      </c>
      <c r="E1227" s="21">
        <f t="shared" si="102"/>
        <v>45088</v>
      </c>
      <c r="F1227" s="17" t="str">
        <f t="shared" si="103"/>
        <v>2023-06</v>
      </c>
      <c r="G1227" s="25">
        <f t="shared" si="104"/>
        <v>98.082499999999996</v>
      </c>
    </row>
    <row r="1228" spans="1:7" x14ac:dyDescent="0.25">
      <c r="A1228" s="18" t="s">
        <v>761</v>
      </c>
      <c r="B1228" s="28">
        <v>89.46</v>
      </c>
      <c r="C1228" s="16" t="str">
        <f t="shared" si="100"/>
        <v>2023</v>
      </c>
      <c r="D1228" t="str">
        <f t="shared" si="101"/>
        <v>25</v>
      </c>
      <c r="E1228" s="21">
        <f t="shared" si="102"/>
        <v>45095</v>
      </c>
      <c r="F1228" s="17" t="str">
        <f t="shared" si="103"/>
        <v>2023-06</v>
      </c>
      <c r="G1228" s="25">
        <f t="shared" si="104"/>
        <v>98.082499999999996</v>
      </c>
    </row>
    <row r="1229" spans="1:7" x14ac:dyDescent="0.25">
      <c r="A1229" s="18" t="s">
        <v>760</v>
      </c>
      <c r="B1229" s="28">
        <v>92.04</v>
      </c>
      <c r="C1229" s="16" t="str">
        <f t="shared" si="100"/>
        <v>2023</v>
      </c>
      <c r="D1229" t="str">
        <f t="shared" si="101"/>
        <v>26</v>
      </c>
      <c r="E1229" s="21">
        <f t="shared" si="102"/>
        <v>45102</v>
      </c>
      <c r="F1229" s="17" t="str">
        <f t="shared" si="103"/>
        <v>2023-06</v>
      </c>
      <c r="G1229" s="25">
        <f t="shared" si="104"/>
        <v>98.082499999999996</v>
      </c>
    </row>
    <row r="1230" spans="1:7" x14ac:dyDescent="0.25">
      <c r="A1230" s="18" t="s">
        <v>759</v>
      </c>
      <c r="B1230" s="28">
        <v>94.9</v>
      </c>
      <c r="C1230" s="16" t="str">
        <f t="shared" si="100"/>
        <v>2023</v>
      </c>
      <c r="D1230" t="str">
        <f t="shared" si="101"/>
        <v>27</v>
      </c>
      <c r="E1230" s="21">
        <f t="shared" si="102"/>
        <v>45109</v>
      </c>
      <c r="F1230" s="17" t="str">
        <f t="shared" si="103"/>
        <v>2023-07</v>
      </c>
      <c r="G1230" s="25">
        <f t="shared" si="104"/>
        <v>90.801999999999992</v>
      </c>
    </row>
    <row r="1231" spans="1:7" x14ac:dyDescent="0.25">
      <c r="A1231" s="18" t="s">
        <v>758</v>
      </c>
      <c r="B1231" s="28">
        <v>97.02</v>
      </c>
      <c r="C1231" s="16" t="str">
        <f t="shared" si="100"/>
        <v>2023</v>
      </c>
      <c r="D1231" t="str">
        <f t="shared" si="101"/>
        <v>28</v>
      </c>
      <c r="E1231" s="21">
        <f t="shared" si="102"/>
        <v>45116</v>
      </c>
      <c r="F1231" s="17" t="str">
        <f t="shared" si="103"/>
        <v>2023-07</v>
      </c>
      <c r="G1231" s="25">
        <f t="shared" si="104"/>
        <v>90.801999999999992</v>
      </c>
    </row>
    <row r="1232" spans="1:7" x14ac:dyDescent="0.25">
      <c r="A1232" s="18" t="s">
        <v>757</v>
      </c>
      <c r="B1232" s="28">
        <v>92.67</v>
      </c>
      <c r="C1232" s="16" t="str">
        <f t="shared" si="100"/>
        <v>2023</v>
      </c>
      <c r="D1232" t="str">
        <f t="shared" si="101"/>
        <v>29</v>
      </c>
      <c r="E1232" s="21">
        <f t="shared" si="102"/>
        <v>45123</v>
      </c>
      <c r="F1232" s="17" t="str">
        <f t="shared" si="103"/>
        <v>2023-07</v>
      </c>
      <c r="G1232" s="25">
        <f t="shared" si="104"/>
        <v>90.801999999999992</v>
      </c>
    </row>
    <row r="1233" spans="1:7" x14ac:dyDescent="0.25">
      <c r="A1233" s="18" t="s">
        <v>756</v>
      </c>
      <c r="B1233" s="28">
        <v>86.14</v>
      </c>
      <c r="C1233" s="16" t="str">
        <f t="shared" si="100"/>
        <v>2023</v>
      </c>
      <c r="D1233" t="str">
        <f t="shared" si="101"/>
        <v>30</v>
      </c>
      <c r="E1233" s="21">
        <f t="shared" si="102"/>
        <v>45130</v>
      </c>
      <c r="F1233" s="17" t="str">
        <f t="shared" si="103"/>
        <v>2023-07</v>
      </c>
      <c r="G1233" s="25">
        <f t="shared" si="104"/>
        <v>90.801999999999992</v>
      </c>
    </row>
    <row r="1234" spans="1:7" x14ac:dyDescent="0.25">
      <c r="A1234" s="18" t="s">
        <v>755</v>
      </c>
      <c r="B1234" s="28">
        <v>83.28</v>
      </c>
      <c r="C1234" s="16" t="str">
        <f t="shared" si="100"/>
        <v>2023</v>
      </c>
      <c r="D1234" t="str">
        <f t="shared" si="101"/>
        <v>31</v>
      </c>
      <c r="E1234" s="21">
        <f t="shared" si="102"/>
        <v>45137</v>
      </c>
      <c r="F1234" s="17" t="str">
        <f t="shared" si="103"/>
        <v>2023-07</v>
      </c>
      <c r="G1234" s="25">
        <f t="shared" si="104"/>
        <v>90.801999999999992</v>
      </c>
    </row>
    <row r="1235" spans="1:7" x14ac:dyDescent="0.25">
      <c r="A1235" s="18" t="s">
        <v>754</v>
      </c>
      <c r="B1235" s="28">
        <v>80.260000000000005</v>
      </c>
      <c r="C1235" s="16" t="str">
        <f t="shared" si="100"/>
        <v>2023</v>
      </c>
      <c r="D1235" t="str">
        <f t="shared" si="101"/>
        <v>32</v>
      </c>
      <c r="E1235" s="21">
        <f t="shared" si="102"/>
        <v>45144</v>
      </c>
      <c r="F1235" s="17" t="str">
        <f t="shared" si="103"/>
        <v>2023-08</v>
      </c>
      <c r="G1235" s="25">
        <f t="shared" si="104"/>
        <v>77.605000000000004</v>
      </c>
    </row>
    <row r="1236" spans="1:7" x14ac:dyDescent="0.25">
      <c r="A1236" s="18" t="s">
        <v>753</v>
      </c>
      <c r="B1236" s="28">
        <v>78.14</v>
      </c>
      <c r="C1236" s="16" t="str">
        <f t="shared" ref="C1236:C1299" si="105">LEFT(A1236,4)</f>
        <v>2023</v>
      </c>
      <c r="D1236" t="str">
        <f t="shared" ref="D1236:D1299" si="106">RIGHT(A1236,2)</f>
        <v>33</v>
      </c>
      <c r="E1236" s="21">
        <f t="shared" si="102"/>
        <v>45151</v>
      </c>
      <c r="F1236" s="17" t="str">
        <f t="shared" si="103"/>
        <v>2023-08</v>
      </c>
      <c r="G1236" s="25">
        <f t="shared" si="104"/>
        <v>77.605000000000004</v>
      </c>
    </row>
    <row r="1237" spans="1:7" x14ac:dyDescent="0.25">
      <c r="A1237" s="18" t="s">
        <v>752</v>
      </c>
      <c r="B1237" s="28">
        <v>76.87</v>
      </c>
      <c r="C1237" s="16" t="str">
        <f t="shared" si="105"/>
        <v>2023</v>
      </c>
      <c r="D1237" t="str">
        <f t="shared" si="106"/>
        <v>34</v>
      </c>
      <c r="E1237" s="21">
        <f t="shared" si="102"/>
        <v>45158</v>
      </c>
      <c r="F1237" s="17" t="str">
        <f t="shared" si="103"/>
        <v>2023-08</v>
      </c>
      <c r="G1237" s="25">
        <f t="shared" si="104"/>
        <v>77.605000000000004</v>
      </c>
    </row>
    <row r="1238" spans="1:7" x14ac:dyDescent="0.25">
      <c r="A1238" s="18" t="s">
        <v>751</v>
      </c>
      <c r="B1238" s="28">
        <v>75.150000000000006</v>
      </c>
      <c r="C1238" s="16" t="str">
        <f t="shared" si="105"/>
        <v>2023</v>
      </c>
      <c r="D1238" t="str">
        <f t="shared" si="106"/>
        <v>35</v>
      </c>
      <c r="E1238" s="21">
        <f t="shared" si="102"/>
        <v>45165</v>
      </c>
      <c r="F1238" s="17" t="str">
        <f t="shared" si="103"/>
        <v>2023-08</v>
      </c>
      <c r="G1238" s="25">
        <f t="shared" si="104"/>
        <v>77.605000000000004</v>
      </c>
    </row>
    <row r="1239" spans="1:7" x14ac:dyDescent="0.25">
      <c r="A1239" s="18" t="s">
        <v>750</v>
      </c>
      <c r="B1239" s="28">
        <v>76.81</v>
      </c>
      <c r="C1239" s="16" t="str">
        <f t="shared" si="105"/>
        <v>2023</v>
      </c>
      <c r="D1239" t="str">
        <f t="shared" si="106"/>
        <v>36</v>
      </c>
      <c r="E1239" s="21">
        <f t="shared" si="102"/>
        <v>45172</v>
      </c>
      <c r="F1239" s="17" t="str">
        <f t="shared" si="103"/>
        <v>2023-09</v>
      </c>
      <c r="G1239" s="25">
        <f t="shared" si="104"/>
        <v>77.83250000000001</v>
      </c>
    </row>
    <row r="1240" spans="1:7" x14ac:dyDescent="0.25">
      <c r="A1240" s="18" t="s">
        <v>749</v>
      </c>
      <c r="B1240" s="28">
        <v>77.05</v>
      </c>
      <c r="C1240" s="16" t="str">
        <f t="shared" si="105"/>
        <v>2023</v>
      </c>
      <c r="D1240" t="str">
        <f t="shared" si="106"/>
        <v>37</v>
      </c>
      <c r="E1240" s="21">
        <f t="shared" si="102"/>
        <v>45179</v>
      </c>
      <c r="F1240" s="17" t="str">
        <f t="shared" si="103"/>
        <v>2023-09</v>
      </c>
      <c r="G1240" s="25">
        <f t="shared" si="104"/>
        <v>77.83250000000001</v>
      </c>
    </row>
    <row r="1241" spans="1:7" x14ac:dyDescent="0.25">
      <c r="A1241" s="18" t="s">
        <v>748</v>
      </c>
      <c r="B1241" s="28">
        <v>76.930000000000007</v>
      </c>
      <c r="C1241" s="16" t="str">
        <f t="shared" si="105"/>
        <v>2023</v>
      </c>
      <c r="D1241" t="str">
        <f t="shared" si="106"/>
        <v>38</v>
      </c>
      <c r="E1241" s="21">
        <f t="shared" si="102"/>
        <v>45186</v>
      </c>
      <c r="F1241" s="17" t="str">
        <f t="shared" si="103"/>
        <v>2023-09</v>
      </c>
      <c r="G1241" s="25">
        <f t="shared" si="104"/>
        <v>77.83250000000001</v>
      </c>
    </row>
    <row r="1242" spans="1:7" x14ac:dyDescent="0.25">
      <c r="A1242" s="18" t="s">
        <v>747</v>
      </c>
      <c r="B1242" s="28">
        <v>80.540000000000006</v>
      </c>
      <c r="C1242" s="16" t="str">
        <f t="shared" si="105"/>
        <v>2023</v>
      </c>
      <c r="D1242" t="str">
        <f t="shared" si="106"/>
        <v>39</v>
      </c>
      <c r="E1242" s="21">
        <f t="shared" si="102"/>
        <v>45193</v>
      </c>
      <c r="F1242" s="17" t="str">
        <f t="shared" si="103"/>
        <v>2023-09</v>
      </c>
      <c r="G1242" s="25">
        <f t="shared" si="104"/>
        <v>77.83250000000001</v>
      </c>
    </row>
    <row r="1243" spans="1:7" x14ac:dyDescent="0.25">
      <c r="A1243" s="18" t="s">
        <v>746</v>
      </c>
      <c r="B1243" s="28">
        <v>82.68</v>
      </c>
      <c r="C1243" s="16" t="str">
        <f t="shared" si="105"/>
        <v>2023</v>
      </c>
      <c r="D1243" t="str">
        <f t="shared" si="106"/>
        <v>40</v>
      </c>
      <c r="E1243" s="21">
        <f t="shared" si="102"/>
        <v>45200</v>
      </c>
      <c r="F1243" s="17" t="str">
        <f t="shared" si="103"/>
        <v>2023-10</v>
      </c>
      <c r="G1243" s="25">
        <f t="shared" si="104"/>
        <v>82.806000000000012</v>
      </c>
    </row>
    <row r="1244" spans="1:7" x14ac:dyDescent="0.25">
      <c r="A1244" s="18" t="s">
        <v>745</v>
      </c>
      <c r="B1244" s="28">
        <v>81.28</v>
      </c>
      <c r="C1244" s="16" t="str">
        <f t="shared" si="105"/>
        <v>2023</v>
      </c>
      <c r="D1244" t="str">
        <f t="shared" si="106"/>
        <v>41</v>
      </c>
      <c r="E1244" s="21">
        <f t="shared" si="102"/>
        <v>45207</v>
      </c>
      <c r="F1244" s="17" t="str">
        <f t="shared" si="103"/>
        <v>2023-10</v>
      </c>
      <c r="G1244" s="25">
        <f t="shared" si="104"/>
        <v>82.806000000000012</v>
      </c>
    </row>
    <row r="1245" spans="1:7" x14ac:dyDescent="0.25">
      <c r="A1245" s="18" t="s">
        <v>744</v>
      </c>
      <c r="B1245" s="28">
        <v>85.69</v>
      </c>
      <c r="C1245" s="16" t="str">
        <f t="shared" si="105"/>
        <v>2023</v>
      </c>
      <c r="D1245" t="str">
        <f t="shared" si="106"/>
        <v>42</v>
      </c>
      <c r="E1245" s="21">
        <f t="shared" si="102"/>
        <v>45214</v>
      </c>
      <c r="F1245" s="17" t="str">
        <f t="shared" si="103"/>
        <v>2023-10</v>
      </c>
      <c r="G1245" s="25">
        <f t="shared" si="104"/>
        <v>82.806000000000012</v>
      </c>
    </row>
    <row r="1246" spans="1:7" x14ac:dyDescent="0.25">
      <c r="A1246" s="18" t="s">
        <v>743</v>
      </c>
      <c r="B1246" s="28">
        <v>83.27</v>
      </c>
      <c r="C1246" s="16" t="str">
        <f t="shared" si="105"/>
        <v>2023</v>
      </c>
      <c r="D1246" t="str">
        <f t="shared" si="106"/>
        <v>43</v>
      </c>
      <c r="E1246" s="21">
        <f t="shared" si="102"/>
        <v>45221</v>
      </c>
      <c r="F1246" s="17" t="str">
        <f t="shared" si="103"/>
        <v>2023-10</v>
      </c>
      <c r="G1246" s="25">
        <f t="shared" si="104"/>
        <v>82.806000000000012</v>
      </c>
    </row>
    <row r="1247" spans="1:7" x14ac:dyDescent="0.25">
      <c r="A1247" s="18" t="s">
        <v>742</v>
      </c>
      <c r="B1247" s="28">
        <v>81.11</v>
      </c>
      <c r="C1247" s="16" t="str">
        <f t="shared" si="105"/>
        <v>2023</v>
      </c>
      <c r="D1247" t="str">
        <f t="shared" si="106"/>
        <v>44</v>
      </c>
      <c r="E1247" s="21">
        <f t="shared" si="102"/>
        <v>45228</v>
      </c>
      <c r="F1247" s="17" t="str">
        <f t="shared" si="103"/>
        <v>2023-10</v>
      </c>
      <c r="G1247" s="25">
        <f t="shared" si="104"/>
        <v>82.806000000000012</v>
      </c>
    </row>
    <row r="1248" spans="1:7" x14ac:dyDescent="0.25">
      <c r="A1248" s="18" t="s">
        <v>741</v>
      </c>
      <c r="B1248" s="28">
        <v>81.99</v>
      </c>
      <c r="C1248" s="16" t="str">
        <f t="shared" si="105"/>
        <v>2023</v>
      </c>
      <c r="D1248" t="str">
        <f t="shared" si="106"/>
        <v>45</v>
      </c>
      <c r="E1248" s="21">
        <f t="shared" si="102"/>
        <v>45235</v>
      </c>
      <c r="F1248" s="17" t="str">
        <f t="shared" si="103"/>
        <v>2023-11</v>
      </c>
      <c r="G1248" s="25">
        <f t="shared" si="104"/>
        <v>83.134999999999991</v>
      </c>
    </row>
    <row r="1249" spans="1:7" x14ac:dyDescent="0.25">
      <c r="A1249" s="18" t="s">
        <v>740</v>
      </c>
      <c r="B1249" s="28">
        <v>81.52</v>
      </c>
      <c r="C1249" s="16" t="str">
        <f t="shared" si="105"/>
        <v>2023</v>
      </c>
      <c r="D1249" t="str">
        <f t="shared" si="106"/>
        <v>46</v>
      </c>
      <c r="E1249" s="21">
        <f t="shared" si="102"/>
        <v>45242</v>
      </c>
      <c r="F1249" s="17" t="str">
        <f t="shared" si="103"/>
        <v>2023-11</v>
      </c>
      <c r="G1249" s="25">
        <f t="shared" si="104"/>
        <v>83.134999999999991</v>
      </c>
    </row>
    <row r="1250" spans="1:7" x14ac:dyDescent="0.25">
      <c r="A1250" s="18" t="s">
        <v>739</v>
      </c>
      <c r="B1250" s="28">
        <v>83.51</v>
      </c>
      <c r="C1250" s="16" t="str">
        <f t="shared" si="105"/>
        <v>2023</v>
      </c>
      <c r="D1250" t="str">
        <f t="shared" si="106"/>
        <v>47</v>
      </c>
      <c r="E1250" s="21">
        <f t="shared" si="102"/>
        <v>45249</v>
      </c>
      <c r="F1250" s="17" t="str">
        <f t="shared" si="103"/>
        <v>2023-11</v>
      </c>
      <c r="G1250" s="25">
        <f t="shared" si="104"/>
        <v>83.134999999999991</v>
      </c>
    </row>
    <row r="1251" spans="1:7" x14ac:dyDescent="0.25">
      <c r="A1251" s="18" t="s">
        <v>738</v>
      </c>
      <c r="B1251" s="28">
        <v>85.52</v>
      </c>
      <c r="C1251" s="16" t="str">
        <f t="shared" si="105"/>
        <v>2023</v>
      </c>
      <c r="D1251" t="str">
        <f t="shared" si="106"/>
        <v>48</v>
      </c>
      <c r="E1251" s="21">
        <f t="shared" si="102"/>
        <v>45256</v>
      </c>
      <c r="F1251" s="17" t="str">
        <f t="shared" si="103"/>
        <v>2023-11</v>
      </c>
      <c r="G1251" s="25">
        <f t="shared" si="104"/>
        <v>83.134999999999991</v>
      </c>
    </row>
    <row r="1252" spans="1:7" x14ac:dyDescent="0.25">
      <c r="A1252" s="18" t="s">
        <v>737</v>
      </c>
      <c r="B1252" s="28">
        <v>86.73</v>
      </c>
      <c r="C1252" s="16" t="str">
        <f t="shared" si="105"/>
        <v>2023</v>
      </c>
      <c r="D1252" t="str">
        <f t="shared" si="106"/>
        <v>49</v>
      </c>
      <c r="E1252" s="21">
        <f t="shared" si="102"/>
        <v>45263</v>
      </c>
      <c r="F1252" s="17" t="str">
        <f t="shared" si="103"/>
        <v>2023-12</v>
      </c>
      <c r="G1252" s="25">
        <f t="shared" si="104"/>
        <v>91.570000000000007</v>
      </c>
    </row>
    <row r="1253" spans="1:7" x14ac:dyDescent="0.25">
      <c r="A1253" s="18" t="s">
        <v>736</v>
      </c>
      <c r="B1253" s="28">
        <v>87.82</v>
      </c>
      <c r="C1253" s="16" t="str">
        <f t="shared" si="105"/>
        <v>2023</v>
      </c>
      <c r="D1253" t="str">
        <f t="shared" si="106"/>
        <v>50</v>
      </c>
      <c r="E1253" s="21">
        <f t="shared" si="102"/>
        <v>45270</v>
      </c>
      <c r="F1253" s="17" t="str">
        <f t="shared" si="103"/>
        <v>2023-12</v>
      </c>
      <c r="G1253" s="25">
        <f t="shared" si="104"/>
        <v>91.570000000000007</v>
      </c>
    </row>
    <row r="1254" spans="1:7" x14ac:dyDescent="0.25">
      <c r="A1254" s="18" t="s">
        <v>735</v>
      </c>
      <c r="B1254" s="28">
        <v>91.03</v>
      </c>
      <c r="C1254" s="16" t="str">
        <f t="shared" si="105"/>
        <v>2023</v>
      </c>
      <c r="D1254" t="str">
        <f t="shared" si="106"/>
        <v>51</v>
      </c>
      <c r="E1254" s="21">
        <f t="shared" si="102"/>
        <v>45277</v>
      </c>
      <c r="F1254" s="17" t="str">
        <f t="shared" si="103"/>
        <v>2023-12</v>
      </c>
      <c r="G1254" s="25">
        <f t="shared" si="104"/>
        <v>91.570000000000007</v>
      </c>
    </row>
    <row r="1255" spans="1:7" x14ac:dyDescent="0.25">
      <c r="A1255" s="18" t="s">
        <v>734</v>
      </c>
      <c r="B1255" s="28">
        <v>100.7</v>
      </c>
      <c r="C1255" s="16" t="str">
        <f t="shared" si="105"/>
        <v>2023</v>
      </c>
      <c r="D1255" t="str">
        <f t="shared" si="106"/>
        <v>52</v>
      </c>
      <c r="E1255" s="21">
        <f t="shared" si="102"/>
        <v>45284</v>
      </c>
      <c r="F1255" s="17" t="str">
        <f t="shared" si="103"/>
        <v>2023-12</v>
      </c>
      <c r="G1255" s="25">
        <f t="shared" si="104"/>
        <v>91.570000000000007</v>
      </c>
    </row>
    <row r="1256" spans="1:7" x14ac:dyDescent="0.25">
      <c r="A1256" s="18" t="s">
        <v>733</v>
      </c>
      <c r="B1256" s="28">
        <v>112.9</v>
      </c>
      <c r="C1256" s="16" t="str">
        <f t="shared" si="105"/>
        <v>2024</v>
      </c>
      <c r="D1256" t="str">
        <f t="shared" si="106"/>
        <v>01</v>
      </c>
      <c r="E1256" s="21">
        <f t="shared" si="102"/>
        <v>45292</v>
      </c>
      <c r="F1256" s="17" t="str">
        <f t="shared" si="103"/>
        <v>2024-01</v>
      </c>
      <c r="G1256" s="25">
        <f t="shared" si="104"/>
        <v>107.056</v>
      </c>
    </row>
    <row r="1257" spans="1:7" x14ac:dyDescent="0.25">
      <c r="A1257" s="18" t="s">
        <v>732</v>
      </c>
      <c r="B1257" s="28">
        <v>108.85</v>
      </c>
      <c r="C1257" s="16" t="str">
        <f t="shared" si="105"/>
        <v>2024</v>
      </c>
      <c r="D1257" t="str">
        <f t="shared" si="106"/>
        <v>02</v>
      </c>
      <c r="E1257" s="21">
        <f t="shared" si="102"/>
        <v>45299</v>
      </c>
      <c r="F1257" s="17" t="str">
        <f t="shared" si="103"/>
        <v>2024-01</v>
      </c>
      <c r="G1257" s="25">
        <f t="shared" si="104"/>
        <v>107.056</v>
      </c>
    </row>
    <row r="1258" spans="1:7" x14ac:dyDescent="0.25">
      <c r="A1258" s="18" t="s">
        <v>731</v>
      </c>
      <c r="B1258" s="28">
        <v>99.87</v>
      </c>
      <c r="C1258" s="16" t="str">
        <f t="shared" si="105"/>
        <v>2024</v>
      </c>
      <c r="D1258" t="str">
        <f t="shared" si="106"/>
        <v>03</v>
      </c>
      <c r="E1258" s="21">
        <f t="shared" si="102"/>
        <v>45306</v>
      </c>
      <c r="F1258" s="17" t="str">
        <f t="shared" si="103"/>
        <v>2024-01</v>
      </c>
      <c r="G1258" s="25">
        <f t="shared" si="104"/>
        <v>107.056</v>
      </c>
    </row>
    <row r="1259" spans="1:7" x14ac:dyDescent="0.25">
      <c r="A1259" s="18" t="s">
        <v>730</v>
      </c>
      <c r="B1259" s="28">
        <v>104.48</v>
      </c>
      <c r="C1259" s="16" t="str">
        <f t="shared" si="105"/>
        <v>2024</v>
      </c>
      <c r="D1259" t="str">
        <f t="shared" si="106"/>
        <v>04</v>
      </c>
      <c r="E1259" s="21">
        <f t="shared" si="102"/>
        <v>45313</v>
      </c>
      <c r="F1259" s="17" t="str">
        <f t="shared" si="103"/>
        <v>2024-01</v>
      </c>
      <c r="G1259" s="25">
        <f t="shared" si="104"/>
        <v>107.056</v>
      </c>
    </row>
    <row r="1260" spans="1:7" x14ac:dyDescent="0.25">
      <c r="A1260" s="18" t="s">
        <v>729</v>
      </c>
      <c r="B1260" s="28">
        <v>109.18</v>
      </c>
      <c r="C1260" s="16" t="str">
        <f t="shared" si="105"/>
        <v>2024</v>
      </c>
      <c r="D1260" t="str">
        <f t="shared" si="106"/>
        <v>05</v>
      </c>
      <c r="E1260" s="21">
        <f t="shared" si="102"/>
        <v>45320</v>
      </c>
      <c r="F1260" s="17" t="str">
        <f t="shared" si="103"/>
        <v>2024-01</v>
      </c>
      <c r="G1260" s="25">
        <f t="shared" si="104"/>
        <v>107.056</v>
      </c>
    </row>
    <row r="1261" spans="1:7" x14ac:dyDescent="0.25">
      <c r="A1261" s="18" t="s">
        <v>728</v>
      </c>
      <c r="B1261" s="28">
        <v>106.91</v>
      </c>
      <c r="C1261" s="16" t="str">
        <f t="shared" si="105"/>
        <v>2024</v>
      </c>
      <c r="D1261" t="str">
        <f t="shared" si="106"/>
        <v>06</v>
      </c>
      <c r="E1261" s="21">
        <f t="shared" si="102"/>
        <v>45327</v>
      </c>
      <c r="F1261" s="17" t="str">
        <f t="shared" si="103"/>
        <v>2024-02</v>
      </c>
      <c r="G1261" s="25">
        <f t="shared" si="104"/>
        <v>108.88</v>
      </c>
    </row>
    <row r="1262" spans="1:7" x14ac:dyDescent="0.25">
      <c r="A1262" s="18" t="s">
        <v>727</v>
      </c>
      <c r="B1262" s="28">
        <v>107.78</v>
      </c>
      <c r="C1262" s="16" t="str">
        <f t="shared" si="105"/>
        <v>2024</v>
      </c>
      <c r="D1262" t="str">
        <f t="shared" si="106"/>
        <v>07</v>
      </c>
      <c r="E1262" s="21">
        <f t="shared" si="102"/>
        <v>45334</v>
      </c>
      <c r="F1262" s="17" t="str">
        <f t="shared" si="103"/>
        <v>2024-02</v>
      </c>
      <c r="G1262" s="25">
        <f t="shared" si="104"/>
        <v>108.88</v>
      </c>
    </row>
    <row r="1263" spans="1:7" x14ac:dyDescent="0.25">
      <c r="A1263" s="18" t="s">
        <v>726</v>
      </c>
      <c r="B1263" s="28">
        <v>111.25</v>
      </c>
      <c r="C1263" s="16" t="str">
        <f t="shared" si="105"/>
        <v>2024</v>
      </c>
      <c r="D1263" t="str">
        <f t="shared" si="106"/>
        <v>08</v>
      </c>
      <c r="E1263" s="21">
        <f t="shared" si="102"/>
        <v>45341</v>
      </c>
      <c r="F1263" s="17" t="str">
        <f t="shared" si="103"/>
        <v>2024-02</v>
      </c>
      <c r="G1263" s="25">
        <f t="shared" si="104"/>
        <v>108.88</v>
      </c>
    </row>
    <row r="1264" spans="1:7" x14ac:dyDescent="0.25">
      <c r="A1264" s="18" t="s">
        <v>725</v>
      </c>
      <c r="B1264" s="28">
        <v>109.58</v>
      </c>
      <c r="C1264" s="16" t="str">
        <f t="shared" si="105"/>
        <v>2024</v>
      </c>
      <c r="D1264" t="str">
        <f t="shared" si="106"/>
        <v>09</v>
      </c>
      <c r="E1264" s="21">
        <f t="shared" si="102"/>
        <v>45348</v>
      </c>
      <c r="F1264" s="17" t="str">
        <f t="shared" si="103"/>
        <v>2024-02</v>
      </c>
      <c r="G1264" s="25">
        <f t="shared" si="104"/>
        <v>108.88</v>
      </c>
    </row>
    <row r="1265" spans="1:7" x14ac:dyDescent="0.25">
      <c r="A1265" s="18" t="s">
        <v>724</v>
      </c>
      <c r="B1265" s="28">
        <v>107.29</v>
      </c>
      <c r="C1265" s="16" t="str">
        <f t="shared" si="105"/>
        <v>2024</v>
      </c>
      <c r="D1265" t="str">
        <f t="shared" si="106"/>
        <v>10</v>
      </c>
      <c r="E1265" s="21">
        <f t="shared" si="102"/>
        <v>45355</v>
      </c>
      <c r="F1265" s="17" t="str">
        <f t="shared" si="103"/>
        <v>2024-03</v>
      </c>
      <c r="G1265" s="25">
        <f t="shared" si="104"/>
        <v>108.8625</v>
      </c>
    </row>
    <row r="1266" spans="1:7" x14ac:dyDescent="0.25">
      <c r="A1266" s="18" t="s">
        <v>723</v>
      </c>
      <c r="B1266" s="28">
        <v>106.19</v>
      </c>
      <c r="C1266" s="16" t="str">
        <f t="shared" si="105"/>
        <v>2024</v>
      </c>
      <c r="D1266" t="str">
        <f t="shared" si="106"/>
        <v>11</v>
      </c>
      <c r="E1266" s="21">
        <f t="shared" si="102"/>
        <v>45362</v>
      </c>
      <c r="F1266" s="17" t="str">
        <f t="shared" si="103"/>
        <v>2024-03</v>
      </c>
      <c r="G1266" s="25">
        <f t="shared" si="104"/>
        <v>108.8625</v>
      </c>
    </row>
    <row r="1267" spans="1:7" x14ac:dyDescent="0.25">
      <c r="A1267" s="18" t="s">
        <v>722</v>
      </c>
      <c r="B1267" s="28">
        <v>106.78</v>
      </c>
      <c r="C1267" s="16" t="str">
        <f t="shared" si="105"/>
        <v>2024</v>
      </c>
      <c r="D1267" t="str">
        <f t="shared" si="106"/>
        <v>12</v>
      </c>
      <c r="E1267" s="21">
        <f t="shared" si="102"/>
        <v>45369</v>
      </c>
      <c r="F1267" s="17" t="str">
        <f t="shared" si="103"/>
        <v>2024-03</v>
      </c>
      <c r="G1267" s="25">
        <f t="shared" si="104"/>
        <v>108.8625</v>
      </c>
    </row>
    <row r="1268" spans="1:7" x14ac:dyDescent="0.25">
      <c r="A1268" s="18" t="s">
        <v>721</v>
      </c>
      <c r="B1268" s="28">
        <v>115.19</v>
      </c>
      <c r="C1268" s="16" t="str">
        <f t="shared" si="105"/>
        <v>2024</v>
      </c>
      <c r="D1268" t="str">
        <f t="shared" si="106"/>
        <v>13</v>
      </c>
      <c r="E1268" s="21">
        <f t="shared" si="102"/>
        <v>45376</v>
      </c>
      <c r="F1268" s="17" t="str">
        <f t="shared" si="103"/>
        <v>2024-03</v>
      </c>
      <c r="G1268" s="25">
        <f t="shared" si="104"/>
        <v>108.8625</v>
      </c>
    </row>
    <row r="1269" spans="1:7" x14ac:dyDescent="0.25">
      <c r="A1269" s="18" t="s">
        <v>720</v>
      </c>
      <c r="B1269" s="28">
        <v>120.04</v>
      </c>
      <c r="C1269" s="16" t="str">
        <f t="shared" si="105"/>
        <v>2024</v>
      </c>
      <c r="D1269" t="str">
        <f t="shared" si="106"/>
        <v>14</v>
      </c>
      <c r="E1269" s="21">
        <f t="shared" si="102"/>
        <v>45383</v>
      </c>
      <c r="F1269" s="17" t="str">
        <f t="shared" si="103"/>
        <v>2024-04</v>
      </c>
      <c r="G1269" s="25">
        <f t="shared" si="104"/>
        <v>119.474</v>
      </c>
    </row>
    <row r="1270" spans="1:7" x14ac:dyDescent="0.25">
      <c r="A1270" s="18" t="s">
        <v>719</v>
      </c>
      <c r="B1270" s="28">
        <v>123.28</v>
      </c>
      <c r="C1270" s="16" t="str">
        <f t="shared" si="105"/>
        <v>2024</v>
      </c>
      <c r="D1270" t="str">
        <f t="shared" si="106"/>
        <v>15</v>
      </c>
      <c r="E1270" s="21">
        <f t="shared" si="102"/>
        <v>45390</v>
      </c>
      <c r="F1270" s="17" t="str">
        <f t="shared" si="103"/>
        <v>2024-04</v>
      </c>
      <c r="G1270" s="25">
        <f t="shared" si="104"/>
        <v>119.474</v>
      </c>
    </row>
    <row r="1271" spans="1:7" x14ac:dyDescent="0.25">
      <c r="A1271" s="18" t="s">
        <v>718</v>
      </c>
      <c r="B1271" s="28">
        <v>121.22</v>
      </c>
      <c r="C1271" s="16" t="str">
        <f t="shared" si="105"/>
        <v>2024</v>
      </c>
      <c r="D1271" t="str">
        <f t="shared" si="106"/>
        <v>16</v>
      </c>
      <c r="E1271" s="21">
        <f t="shared" si="102"/>
        <v>45397</v>
      </c>
      <c r="F1271" s="17" t="str">
        <f t="shared" si="103"/>
        <v>2024-04</v>
      </c>
      <c r="G1271" s="25">
        <f t="shared" si="104"/>
        <v>119.474</v>
      </c>
    </row>
    <row r="1272" spans="1:7" x14ac:dyDescent="0.25">
      <c r="A1272" s="18" t="s">
        <v>717</v>
      </c>
      <c r="B1272" s="28">
        <v>113.18</v>
      </c>
      <c r="C1272" s="16" t="str">
        <f t="shared" si="105"/>
        <v>2024</v>
      </c>
      <c r="D1272" t="str">
        <f t="shared" si="106"/>
        <v>17</v>
      </c>
      <c r="E1272" s="21">
        <f t="shared" si="102"/>
        <v>45404</v>
      </c>
      <c r="F1272" s="17" t="str">
        <f t="shared" si="103"/>
        <v>2024-04</v>
      </c>
      <c r="G1272" s="25">
        <f t="shared" si="104"/>
        <v>119.474</v>
      </c>
    </row>
    <row r="1273" spans="1:7" x14ac:dyDescent="0.25">
      <c r="A1273" s="18" t="s">
        <v>716</v>
      </c>
      <c r="B1273" s="28">
        <v>119.65</v>
      </c>
      <c r="C1273" s="16" t="str">
        <f t="shared" si="105"/>
        <v>2024</v>
      </c>
      <c r="D1273" t="str">
        <f t="shared" si="106"/>
        <v>18</v>
      </c>
      <c r="E1273" s="21">
        <f t="shared" si="102"/>
        <v>45411</v>
      </c>
      <c r="F1273" s="17" t="str">
        <f t="shared" si="103"/>
        <v>2024-04</v>
      </c>
      <c r="G1273" s="25">
        <f t="shared" si="104"/>
        <v>119.474</v>
      </c>
    </row>
    <row r="1274" spans="1:7" x14ac:dyDescent="0.25">
      <c r="A1274" s="18" t="s">
        <v>715</v>
      </c>
      <c r="B1274" s="28">
        <v>122.05</v>
      </c>
      <c r="C1274" s="16" t="str">
        <f t="shared" si="105"/>
        <v>2024</v>
      </c>
      <c r="D1274" t="str">
        <f t="shared" si="106"/>
        <v>19</v>
      </c>
      <c r="E1274" s="21">
        <f t="shared" si="102"/>
        <v>45418</v>
      </c>
      <c r="F1274" s="17" t="str">
        <f t="shared" si="103"/>
        <v>2024-05</v>
      </c>
      <c r="G1274" s="25">
        <f t="shared" si="104"/>
        <v>116.46250000000001</v>
      </c>
    </row>
    <row r="1275" spans="1:7" x14ac:dyDescent="0.25">
      <c r="A1275" s="18" t="s">
        <v>714</v>
      </c>
      <c r="B1275" s="28">
        <v>120.83</v>
      </c>
      <c r="C1275" s="16" t="str">
        <f t="shared" si="105"/>
        <v>2024</v>
      </c>
      <c r="D1275" t="str">
        <f t="shared" si="106"/>
        <v>20</v>
      </c>
      <c r="E1275" s="21">
        <f t="shared" si="102"/>
        <v>45425</v>
      </c>
      <c r="F1275" s="17" t="str">
        <f t="shared" si="103"/>
        <v>2024-05</v>
      </c>
      <c r="G1275" s="25">
        <f t="shared" si="104"/>
        <v>116.46250000000001</v>
      </c>
    </row>
    <row r="1276" spans="1:7" x14ac:dyDescent="0.25">
      <c r="A1276" s="18" t="s">
        <v>713</v>
      </c>
      <c r="B1276" s="28">
        <v>118.07</v>
      </c>
      <c r="C1276" s="16" t="str">
        <f t="shared" si="105"/>
        <v>2024</v>
      </c>
      <c r="D1276" t="str">
        <f t="shared" si="106"/>
        <v>21</v>
      </c>
      <c r="E1276" s="21">
        <f t="shared" si="102"/>
        <v>45432</v>
      </c>
      <c r="F1276" s="17" t="str">
        <f t="shared" si="103"/>
        <v>2024-05</v>
      </c>
      <c r="G1276" s="25">
        <f t="shared" si="104"/>
        <v>116.46250000000001</v>
      </c>
    </row>
    <row r="1277" spans="1:7" x14ac:dyDescent="0.25">
      <c r="A1277" s="18" t="s">
        <v>712</v>
      </c>
      <c r="B1277" s="28">
        <v>104.9</v>
      </c>
      <c r="C1277" s="16" t="str">
        <f t="shared" si="105"/>
        <v>2024</v>
      </c>
      <c r="D1277" t="str">
        <f t="shared" si="106"/>
        <v>22</v>
      </c>
      <c r="E1277" s="21">
        <f t="shared" si="102"/>
        <v>45439</v>
      </c>
      <c r="F1277" s="17" t="str">
        <f t="shared" si="103"/>
        <v>2024-05</v>
      </c>
      <c r="G1277" s="25">
        <f t="shared" si="104"/>
        <v>116.46250000000001</v>
      </c>
    </row>
    <row r="1278" spans="1:7" x14ac:dyDescent="0.25">
      <c r="A1278" s="18" t="s">
        <v>711</v>
      </c>
      <c r="B1278" s="28">
        <v>92.2</v>
      </c>
      <c r="C1278" s="16" t="str">
        <f t="shared" si="105"/>
        <v>2024</v>
      </c>
      <c r="D1278" t="str">
        <f t="shared" si="106"/>
        <v>23</v>
      </c>
      <c r="E1278" s="21">
        <f t="shared" si="102"/>
        <v>45446</v>
      </c>
      <c r="F1278" s="17" t="str">
        <f t="shared" si="103"/>
        <v>2024-06</v>
      </c>
      <c r="G1278" s="25">
        <f t="shared" si="104"/>
        <v>85.484999999999999</v>
      </c>
    </row>
    <row r="1279" spans="1:7" x14ac:dyDescent="0.25">
      <c r="A1279" s="18" t="s">
        <v>710</v>
      </c>
      <c r="B1279" s="28">
        <v>84.87</v>
      </c>
      <c r="C1279" s="16" t="str">
        <f t="shared" si="105"/>
        <v>2024</v>
      </c>
      <c r="D1279" t="str">
        <f t="shared" si="106"/>
        <v>24</v>
      </c>
      <c r="E1279" s="21">
        <f t="shared" si="102"/>
        <v>45453</v>
      </c>
      <c r="F1279" s="17" t="str">
        <f t="shared" si="103"/>
        <v>2024-06</v>
      </c>
      <c r="G1279" s="25">
        <f t="shared" si="104"/>
        <v>85.484999999999999</v>
      </c>
    </row>
    <row r="1280" spans="1:7" x14ac:dyDescent="0.25">
      <c r="A1280" s="18" t="s">
        <v>709</v>
      </c>
      <c r="B1280" s="28">
        <v>85.58</v>
      </c>
      <c r="C1280" s="16" t="str">
        <f t="shared" si="105"/>
        <v>2024</v>
      </c>
      <c r="D1280" t="str">
        <f t="shared" si="106"/>
        <v>25</v>
      </c>
      <c r="E1280" s="21">
        <f t="shared" si="102"/>
        <v>45460</v>
      </c>
      <c r="F1280" s="17" t="str">
        <f t="shared" si="103"/>
        <v>2024-06</v>
      </c>
      <c r="G1280" s="25">
        <f t="shared" si="104"/>
        <v>85.484999999999999</v>
      </c>
    </row>
    <row r="1281" spans="1:7" x14ac:dyDescent="0.25">
      <c r="A1281" s="18" t="s">
        <v>708</v>
      </c>
      <c r="B1281" s="28">
        <v>79.290000000000006</v>
      </c>
      <c r="C1281" s="16" t="str">
        <f t="shared" si="105"/>
        <v>2024</v>
      </c>
      <c r="D1281" t="str">
        <f t="shared" si="106"/>
        <v>26</v>
      </c>
      <c r="E1281" s="21">
        <f t="shared" si="102"/>
        <v>45467</v>
      </c>
      <c r="F1281" s="17" t="str">
        <f t="shared" si="103"/>
        <v>2024-06</v>
      </c>
      <c r="G1281" s="25">
        <f t="shared" si="104"/>
        <v>85.484999999999999</v>
      </c>
    </row>
    <row r="1282" spans="1:7" x14ac:dyDescent="0.25">
      <c r="A1282" s="18" t="s">
        <v>707</v>
      </c>
      <c r="B1282" s="28">
        <v>78.239999999999995</v>
      </c>
      <c r="C1282" s="16" t="str">
        <f t="shared" si="105"/>
        <v>2024</v>
      </c>
      <c r="D1282" t="str">
        <f t="shared" si="106"/>
        <v>27</v>
      </c>
      <c r="E1282" s="21">
        <f t="shared" si="102"/>
        <v>45474</v>
      </c>
      <c r="F1282" s="17" t="str">
        <f t="shared" si="103"/>
        <v>2024-07</v>
      </c>
      <c r="G1282" s="25">
        <f t="shared" si="104"/>
        <v>80.443999999999988</v>
      </c>
    </row>
    <row r="1283" spans="1:7" x14ac:dyDescent="0.25">
      <c r="A1283" s="18" t="s">
        <v>706</v>
      </c>
      <c r="B1283" s="28">
        <v>79.78</v>
      </c>
      <c r="C1283" s="16" t="str">
        <f t="shared" si="105"/>
        <v>2024</v>
      </c>
      <c r="D1283" t="str">
        <f t="shared" si="106"/>
        <v>28</v>
      </c>
      <c r="E1283" s="21">
        <f t="shared" si="102"/>
        <v>45481</v>
      </c>
      <c r="F1283" s="17" t="str">
        <f t="shared" si="103"/>
        <v>2024-07</v>
      </c>
      <c r="G1283" s="25">
        <f t="shared" si="104"/>
        <v>80.443999999999988</v>
      </c>
    </row>
    <row r="1284" spans="1:7" x14ac:dyDescent="0.25">
      <c r="A1284" s="18" t="s">
        <v>705</v>
      </c>
      <c r="B1284" s="28">
        <v>81.459999999999994</v>
      </c>
      <c r="C1284" s="16" t="str">
        <f t="shared" si="105"/>
        <v>2024</v>
      </c>
      <c r="D1284" t="str">
        <f t="shared" si="106"/>
        <v>29</v>
      </c>
      <c r="E1284" s="21">
        <f t="shared" si="102"/>
        <v>45488</v>
      </c>
      <c r="F1284" s="17" t="str">
        <f t="shared" si="103"/>
        <v>2024-07</v>
      </c>
      <c r="G1284" s="25">
        <f t="shared" si="104"/>
        <v>80.443999999999988</v>
      </c>
    </row>
    <row r="1285" spans="1:7" x14ac:dyDescent="0.25">
      <c r="A1285" s="18" t="s">
        <v>704</v>
      </c>
      <c r="B1285" s="28">
        <v>81.55</v>
      </c>
      <c r="C1285" s="16" t="str">
        <f t="shared" si="105"/>
        <v>2024</v>
      </c>
      <c r="D1285" t="str">
        <f t="shared" si="106"/>
        <v>30</v>
      </c>
      <c r="E1285" s="21">
        <f t="shared" ref="E1285:E1348" si="107">DATE(C1285,1,1)+(D1285-1)*7</f>
        <v>45495</v>
      </c>
      <c r="F1285" s="17" t="str">
        <f t="shared" ref="F1285:F1348" si="108">TEXT(E1285,"éééé-hh")</f>
        <v>2024-07</v>
      </c>
      <c r="G1285" s="25">
        <f t="shared" ref="G1285:G1348" si="109">AVERAGEIF($F$4:$F$1353,F1285,$B$4:$B$1353)</f>
        <v>80.443999999999988</v>
      </c>
    </row>
    <row r="1286" spans="1:7" x14ac:dyDescent="0.25">
      <c r="A1286" s="18" t="s">
        <v>703</v>
      </c>
      <c r="B1286" s="28">
        <v>81.19</v>
      </c>
      <c r="C1286" s="16" t="str">
        <f t="shared" si="105"/>
        <v>2024</v>
      </c>
      <c r="D1286" t="str">
        <f t="shared" si="106"/>
        <v>31</v>
      </c>
      <c r="E1286" s="21">
        <f t="shared" si="107"/>
        <v>45502</v>
      </c>
      <c r="F1286" s="17" t="str">
        <f t="shared" si="108"/>
        <v>2024-07</v>
      </c>
      <c r="G1286" s="25">
        <f t="shared" si="109"/>
        <v>80.443999999999988</v>
      </c>
    </row>
    <row r="1287" spans="1:7" x14ac:dyDescent="0.25">
      <c r="A1287" s="18" t="s">
        <v>702</v>
      </c>
      <c r="B1287" s="28">
        <v>80.41</v>
      </c>
      <c r="C1287" s="16" t="str">
        <f t="shared" si="105"/>
        <v>2024</v>
      </c>
      <c r="D1287" t="str">
        <f t="shared" si="106"/>
        <v>32</v>
      </c>
      <c r="E1287" s="21">
        <f t="shared" si="107"/>
        <v>45509</v>
      </c>
      <c r="F1287" s="17" t="str">
        <f t="shared" si="108"/>
        <v>2024-08</v>
      </c>
      <c r="G1287" s="25">
        <f t="shared" si="109"/>
        <v>78.012500000000003</v>
      </c>
    </row>
    <row r="1288" spans="1:7" x14ac:dyDescent="0.25">
      <c r="A1288" s="18" t="s">
        <v>701</v>
      </c>
      <c r="B1288" s="28">
        <v>80.89</v>
      </c>
      <c r="C1288" s="16" t="str">
        <f t="shared" si="105"/>
        <v>2024</v>
      </c>
      <c r="D1288" t="str">
        <f t="shared" si="106"/>
        <v>33</v>
      </c>
      <c r="E1288" s="21">
        <f t="shared" si="107"/>
        <v>45516</v>
      </c>
      <c r="F1288" s="17" t="str">
        <f t="shared" si="108"/>
        <v>2024-08</v>
      </c>
      <c r="G1288" s="25">
        <f t="shared" si="109"/>
        <v>78.012500000000003</v>
      </c>
    </row>
    <row r="1289" spans="1:7" x14ac:dyDescent="0.25">
      <c r="A1289" s="18" t="s">
        <v>700</v>
      </c>
      <c r="B1289" s="28">
        <v>76.819999999999993</v>
      </c>
      <c r="C1289" s="16" t="str">
        <f t="shared" si="105"/>
        <v>2024</v>
      </c>
      <c r="D1289" t="str">
        <f t="shared" si="106"/>
        <v>34</v>
      </c>
      <c r="E1289" s="21">
        <f t="shared" si="107"/>
        <v>45523</v>
      </c>
      <c r="F1289" s="17" t="str">
        <f t="shared" si="108"/>
        <v>2024-08</v>
      </c>
      <c r="G1289" s="25">
        <f t="shared" si="109"/>
        <v>78.012500000000003</v>
      </c>
    </row>
    <row r="1290" spans="1:7" x14ac:dyDescent="0.25">
      <c r="A1290" s="18" t="s">
        <v>699</v>
      </c>
      <c r="B1290" s="28">
        <v>73.930000000000007</v>
      </c>
      <c r="C1290" s="16" t="str">
        <f t="shared" si="105"/>
        <v>2024</v>
      </c>
      <c r="D1290" t="str">
        <f t="shared" si="106"/>
        <v>35</v>
      </c>
      <c r="E1290" s="21">
        <f t="shared" si="107"/>
        <v>45530</v>
      </c>
      <c r="F1290" s="17" t="str">
        <f t="shared" si="108"/>
        <v>2024-08</v>
      </c>
      <c r="G1290" s="25">
        <f t="shared" si="109"/>
        <v>78.012500000000003</v>
      </c>
    </row>
    <row r="1291" spans="1:7" x14ac:dyDescent="0.25">
      <c r="A1291" s="18" t="s">
        <v>698</v>
      </c>
      <c r="B1291" s="28">
        <v>73.08</v>
      </c>
      <c r="C1291" s="16" t="str">
        <f t="shared" si="105"/>
        <v>2024</v>
      </c>
      <c r="D1291" t="str">
        <f t="shared" si="106"/>
        <v>36</v>
      </c>
      <c r="E1291" s="21">
        <f t="shared" si="107"/>
        <v>45537</v>
      </c>
      <c r="F1291" s="17" t="str">
        <f t="shared" si="108"/>
        <v>2024-09</v>
      </c>
      <c r="G1291" s="25">
        <f t="shared" si="109"/>
        <v>72.94</v>
      </c>
    </row>
    <row r="1292" spans="1:7" x14ac:dyDescent="0.25">
      <c r="A1292" s="18" t="s">
        <v>697</v>
      </c>
      <c r="B1292" s="28">
        <v>74.12</v>
      </c>
      <c r="C1292" s="16" t="str">
        <f t="shared" si="105"/>
        <v>2024</v>
      </c>
      <c r="D1292" t="str">
        <f t="shared" si="106"/>
        <v>37</v>
      </c>
      <c r="E1292" s="21">
        <f t="shared" si="107"/>
        <v>45544</v>
      </c>
      <c r="F1292" s="17" t="str">
        <f t="shared" si="108"/>
        <v>2024-09</v>
      </c>
      <c r="G1292" s="25">
        <f t="shared" si="109"/>
        <v>72.94</v>
      </c>
    </row>
    <row r="1293" spans="1:7" x14ac:dyDescent="0.25">
      <c r="A1293" s="18" t="s">
        <v>696</v>
      </c>
      <c r="B1293" s="28">
        <v>74.569999999999993</v>
      </c>
      <c r="C1293" s="16" t="str">
        <f t="shared" si="105"/>
        <v>2024</v>
      </c>
      <c r="D1293" t="str">
        <f t="shared" si="106"/>
        <v>38</v>
      </c>
      <c r="E1293" s="21">
        <f t="shared" si="107"/>
        <v>45551</v>
      </c>
      <c r="F1293" s="17" t="str">
        <f t="shared" si="108"/>
        <v>2024-09</v>
      </c>
      <c r="G1293" s="25">
        <f t="shared" si="109"/>
        <v>72.94</v>
      </c>
    </row>
    <row r="1294" spans="1:7" x14ac:dyDescent="0.25">
      <c r="A1294" s="18" t="s">
        <v>695</v>
      </c>
      <c r="B1294" s="28">
        <v>73.23</v>
      </c>
      <c r="C1294" s="16" t="str">
        <f t="shared" si="105"/>
        <v>2024</v>
      </c>
      <c r="D1294" t="str">
        <f t="shared" si="106"/>
        <v>39</v>
      </c>
      <c r="E1294" s="21">
        <f t="shared" si="107"/>
        <v>45558</v>
      </c>
      <c r="F1294" s="17" t="str">
        <f t="shared" si="108"/>
        <v>2024-09</v>
      </c>
      <c r="G1294" s="25">
        <f t="shared" si="109"/>
        <v>72.94</v>
      </c>
    </row>
    <row r="1295" spans="1:7" x14ac:dyDescent="0.25">
      <c r="A1295" s="18" t="s">
        <v>694</v>
      </c>
      <c r="B1295" s="28">
        <v>69.7</v>
      </c>
      <c r="C1295" s="16" t="str">
        <f t="shared" si="105"/>
        <v>2024</v>
      </c>
      <c r="D1295" t="str">
        <f t="shared" si="106"/>
        <v>40</v>
      </c>
      <c r="E1295" s="21">
        <f t="shared" si="107"/>
        <v>45565</v>
      </c>
      <c r="F1295" s="17" t="str">
        <f t="shared" si="108"/>
        <v>2024-09</v>
      </c>
      <c r="G1295" s="25">
        <f t="shared" si="109"/>
        <v>72.94</v>
      </c>
    </row>
    <row r="1296" spans="1:7" x14ac:dyDescent="0.25">
      <c r="A1296" s="18" t="s">
        <v>693</v>
      </c>
      <c r="B1296" s="28">
        <v>72.760000000000005</v>
      </c>
      <c r="C1296" s="16" t="str">
        <f t="shared" si="105"/>
        <v>2024</v>
      </c>
      <c r="D1296" t="str">
        <f t="shared" si="106"/>
        <v>41</v>
      </c>
      <c r="E1296" s="21">
        <f t="shared" si="107"/>
        <v>45572</v>
      </c>
      <c r="F1296" s="17" t="str">
        <f t="shared" si="108"/>
        <v>2024-10</v>
      </c>
      <c r="G1296" s="25">
        <f t="shared" si="109"/>
        <v>75.715000000000003</v>
      </c>
    </row>
    <row r="1297" spans="1:7" x14ac:dyDescent="0.25">
      <c r="A1297" s="18" t="s">
        <v>692</v>
      </c>
      <c r="B1297" s="28">
        <v>76.02</v>
      </c>
      <c r="C1297" s="16" t="str">
        <f t="shared" si="105"/>
        <v>2024</v>
      </c>
      <c r="D1297" t="str">
        <f t="shared" si="106"/>
        <v>42</v>
      </c>
      <c r="E1297" s="21">
        <f t="shared" si="107"/>
        <v>45579</v>
      </c>
      <c r="F1297" s="17" t="str">
        <f t="shared" si="108"/>
        <v>2024-10</v>
      </c>
      <c r="G1297" s="25">
        <f t="shared" si="109"/>
        <v>75.715000000000003</v>
      </c>
    </row>
    <row r="1298" spans="1:7" x14ac:dyDescent="0.25">
      <c r="A1298" s="18" t="s">
        <v>691</v>
      </c>
      <c r="B1298" s="28">
        <v>77.59</v>
      </c>
      <c r="C1298" s="16" t="str">
        <f t="shared" si="105"/>
        <v>2024</v>
      </c>
      <c r="D1298" t="str">
        <f t="shared" si="106"/>
        <v>43</v>
      </c>
      <c r="E1298" s="21">
        <f t="shared" si="107"/>
        <v>45586</v>
      </c>
      <c r="F1298" s="17" t="str">
        <f t="shared" si="108"/>
        <v>2024-10</v>
      </c>
      <c r="G1298" s="25">
        <f t="shared" si="109"/>
        <v>75.715000000000003</v>
      </c>
    </row>
    <row r="1299" spans="1:7" x14ac:dyDescent="0.25">
      <c r="A1299" s="18" t="s">
        <v>690</v>
      </c>
      <c r="B1299" s="28">
        <v>76.489999999999995</v>
      </c>
      <c r="C1299" s="16" t="str">
        <f t="shared" si="105"/>
        <v>2024</v>
      </c>
      <c r="D1299" t="str">
        <f t="shared" si="106"/>
        <v>44</v>
      </c>
      <c r="E1299" s="21">
        <f t="shared" si="107"/>
        <v>45593</v>
      </c>
      <c r="F1299" s="17" t="str">
        <f t="shared" si="108"/>
        <v>2024-10</v>
      </c>
      <c r="G1299" s="25">
        <f t="shared" si="109"/>
        <v>75.715000000000003</v>
      </c>
    </row>
    <row r="1300" spans="1:7" x14ac:dyDescent="0.25">
      <c r="A1300" s="18" t="s">
        <v>689</v>
      </c>
      <c r="B1300" s="28">
        <v>77.8</v>
      </c>
      <c r="C1300" s="16" t="str">
        <f t="shared" ref="C1300:C1353" si="110">LEFT(A1300,4)</f>
        <v>2024</v>
      </c>
      <c r="D1300" t="str">
        <f t="shared" ref="D1300:D1353" si="111">RIGHT(A1300,2)</f>
        <v>45</v>
      </c>
      <c r="E1300" s="21">
        <f t="shared" si="107"/>
        <v>45600</v>
      </c>
      <c r="F1300" s="17" t="str">
        <f t="shared" si="108"/>
        <v>2024-11</v>
      </c>
      <c r="G1300" s="25">
        <f t="shared" si="109"/>
        <v>83.847499999999997</v>
      </c>
    </row>
    <row r="1301" spans="1:7" x14ac:dyDescent="0.25">
      <c r="A1301" s="18" t="s">
        <v>688</v>
      </c>
      <c r="B1301" s="28">
        <v>81.680000000000007</v>
      </c>
      <c r="C1301" s="16" t="str">
        <f t="shared" si="110"/>
        <v>2024</v>
      </c>
      <c r="D1301" t="str">
        <f t="shared" si="111"/>
        <v>46</v>
      </c>
      <c r="E1301" s="21">
        <f t="shared" si="107"/>
        <v>45607</v>
      </c>
      <c r="F1301" s="17" t="str">
        <f t="shared" si="108"/>
        <v>2024-11</v>
      </c>
      <c r="G1301" s="25">
        <f t="shared" si="109"/>
        <v>83.847499999999997</v>
      </c>
    </row>
    <row r="1302" spans="1:7" x14ac:dyDescent="0.25">
      <c r="A1302" s="18" t="s">
        <v>687</v>
      </c>
      <c r="B1302" s="28">
        <v>86.59</v>
      </c>
      <c r="C1302" s="16" t="str">
        <f t="shared" si="110"/>
        <v>2024</v>
      </c>
      <c r="D1302" t="str">
        <f t="shared" si="111"/>
        <v>47</v>
      </c>
      <c r="E1302" s="21">
        <f t="shared" si="107"/>
        <v>45614</v>
      </c>
      <c r="F1302" s="17" t="str">
        <f t="shared" si="108"/>
        <v>2024-11</v>
      </c>
      <c r="G1302" s="25">
        <f t="shared" si="109"/>
        <v>83.847499999999997</v>
      </c>
    </row>
    <row r="1303" spans="1:7" x14ac:dyDescent="0.25">
      <c r="A1303" s="18" t="s">
        <v>686</v>
      </c>
      <c r="B1303" s="28">
        <v>89.32</v>
      </c>
      <c r="C1303" s="16" t="str">
        <f t="shared" si="110"/>
        <v>2024</v>
      </c>
      <c r="D1303" t="str">
        <f t="shared" si="111"/>
        <v>48</v>
      </c>
      <c r="E1303" s="21">
        <f t="shared" si="107"/>
        <v>45621</v>
      </c>
      <c r="F1303" s="17" t="str">
        <f t="shared" si="108"/>
        <v>2024-11</v>
      </c>
      <c r="G1303" s="25">
        <f t="shared" si="109"/>
        <v>83.847499999999997</v>
      </c>
    </row>
    <row r="1304" spans="1:7" x14ac:dyDescent="0.25">
      <c r="A1304" s="18" t="s">
        <v>685</v>
      </c>
      <c r="B1304" s="28">
        <v>87.46</v>
      </c>
      <c r="C1304" s="16" t="str">
        <f t="shared" si="110"/>
        <v>2024</v>
      </c>
      <c r="D1304" t="str">
        <f t="shared" si="111"/>
        <v>49</v>
      </c>
      <c r="E1304" s="21">
        <f t="shared" si="107"/>
        <v>45628</v>
      </c>
      <c r="F1304" s="17" t="str">
        <f t="shared" si="108"/>
        <v>2024-12</v>
      </c>
      <c r="G1304" s="25">
        <f t="shared" si="109"/>
        <v>95.542500000000004</v>
      </c>
    </row>
    <row r="1305" spans="1:7" x14ac:dyDescent="0.25">
      <c r="A1305" s="18" t="s">
        <v>684</v>
      </c>
      <c r="B1305" s="28">
        <v>90.74</v>
      </c>
      <c r="C1305" s="16" t="str">
        <f t="shared" si="110"/>
        <v>2024</v>
      </c>
      <c r="D1305" t="str">
        <f t="shared" si="111"/>
        <v>50</v>
      </c>
      <c r="E1305" s="21">
        <f t="shared" si="107"/>
        <v>45635</v>
      </c>
      <c r="F1305" s="17" t="str">
        <f t="shared" si="108"/>
        <v>2024-12</v>
      </c>
      <c r="G1305" s="25">
        <f t="shared" si="109"/>
        <v>95.542500000000004</v>
      </c>
    </row>
    <row r="1306" spans="1:7" x14ac:dyDescent="0.25">
      <c r="A1306" s="18" t="s">
        <v>683</v>
      </c>
      <c r="B1306" s="28">
        <v>92.15</v>
      </c>
      <c r="C1306" s="16" t="str">
        <f t="shared" si="110"/>
        <v>2024</v>
      </c>
      <c r="D1306" t="str">
        <f t="shared" si="111"/>
        <v>51</v>
      </c>
      <c r="E1306" s="21">
        <f t="shared" si="107"/>
        <v>45642</v>
      </c>
      <c r="F1306" s="17" t="str">
        <f t="shared" si="108"/>
        <v>2024-12</v>
      </c>
      <c r="G1306" s="25">
        <f t="shared" si="109"/>
        <v>95.542500000000004</v>
      </c>
    </row>
    <row r="1307" spans="1:7" x14ac:dyDescent="0.25">
      <c r="A1307" s="18" t="s">
        <v>682</v>
      </c>
      <c r="B1307" s="28">
        <v>111.82</v>
      </c>
      <c r="C1307" s="16" t="str">
        <f t="shared" si="110"/>
        <v>2024</v>
      </c>
      <c r="D1307" t="str">
        <f t="shared" si="111"/>
        <v>52</v>
      </c>
      <c r="E1307" s="21">
        <f t="shared" si="107"/>
        <v>45649</v>
      </c>
      <c r="F1307" s="17" t="str">
        <f t="shared" si="108"/>
        <v>2024-12</v>
      </c>
      <c r="G1307" s="25">
        <f t="shared" si="109"/>
        <v>95.542500000000004</v>
      </c>
    </row>
    <row r="1308" spans="1:7" x14ac:dyDescent="0.25">
      <c r="A1308" s="18" t="s">
        <v>681</v>
      </c>
      <c r="B1308" s="28">
        <v>125.36</v>
      </c>
      <c r="C1308" s="16" t="str">
        <f t="shared" si="110"/>
        <v>2025</v>
      </c>
      <c r="D1308" t="str">
        <f t="shared" si="111"/>
        <v>01</v>
      </c>
      <c r="E1308" s="21">
        <f t="shared" si="107"/>
        <v>45658</v>
      </c>
      <c r="F1308" s="17" t="str">
        <f t="shared" si="108"/>
        <v>2025-01</v>
      </c>
      <c r="G1308" s="25">
        <f t="shared" si="109"/>
        <v>108.226</v>
      </c>
    </row>
    <row r="1309" spans="1:7" x14ac:dyDescent="0.25">
      <c r="A1309" s="18" t="s">
        <v>680</v>
      </c>
      <c r="B1309" s="28">
        <v>117.77</v>
      </c>
      <c r="C1309" s="16" t="str">
        <f t="shared" si="110"/>
        <v>2025</v>
      </c>
      <c r="D1309" t="str">
        <f t="shared" si="111"/>
        <v>02</v>
      </c>
      <c r="E1309" s="21">
        <f t="shared" si="107"/>
        <v>45665</v>
      </c>
      <c r="F1309" s="17" t="str">
        <f t="shared" si="108"/>
        <v>2025-01</v>
      </c>
      <c r="G1309" s="25">
        <f t="shared" si="109"/>
        <v>108.226</v>
      </c>
    </row>
    <row r="1310" spans="1:7" x14ac:dyDescent="0.25">
      <c r="A1310" s="18" t="s">
        <v>679</v>
      </c>
      <c r="B1310" s="28">
        <v>105.08</v>
      </c>
      <c r="C1310" s="16" t="str">
        <f t="shared" si="110"/>
        <v>2025</v>
      </c>
      <c r="D1310" t="str">
        <f t="shared" si="111"/>
        <v>03</v>
      </c>
      <c r="E1310" s="21">
        <f t="shared" si="107"/>
        <v>45672</v>
      </c>
      <c r="F1310" s="17" t="str">
        <f t="shared" si="108"/>
        <v>2025-01</v>
      </c>
      <c r="G1310" s="25">
        <f t="shared" si="109"/>
        <v>108.226</v>
      </c>
    </row>
    <row r="1311" spans="1:7" x14ac:dyDescent="0.25">
      <c r="A1311" s="18" t="s">
        <v>678</v>
      </c>
      <c r="B1311" s="28">
        <v>98.43</v>
      </c>
      <c r="C1311" s="16" t="str">
        <f t="shared" si="110"/>
        <v>2025</v>
      </c>
      <c r="D1311" t="str">
        <f t="shared" si="111"/>
        <v>04</v>
      </c>
      <c r="E1311" s="21">
        <f t="shared" si="107"/>
        <v>45679</v>
      </c>
      <c r="F1311" s="17" t="str">
        <f t="shared" si="108"/>
        <v>2025-01</v>
      </c>
      <c r="G1311" s="25">
        <f t="shared" si="109"/>
        <v>108.226</v>
      </c>
    </row>
    <row r="1312" spans="1:7" x14ac:dyDescent="0.25">
      <c r="A1312" s="18" t="s">
        <v>677</v>
      </c>
      <c r="B1312" s="28">
        <v>94.49</v>
      </c>
      <c r="C1312" s="16" t="str">
        <f t="shared" si="110"/>
        <v>2025</v>
      </c>
      <c r="D1312" t="str">
        <f t="shared" si="111"/>
        <v>05</v>
      </c>
      <c r="E1312" s="21">
        <f t="shared" si="107"/>
        <v>45686</v>
      </c>
      <c r="F1312" s="17" t="str">
        <f t="shared" si="108"/>
        <v>2025-01</v>
      </c>
      <c r="G1312" s="25">
        <f t="shared" si="109"/>
        <v>108.226</v>
      </c>
    </row>
    <row r="1313" spans="1:7" x14ac:dyDescent="0.25">
      <c r="A1313" s="18" t="s">
        <v>676</v>
      </c>
      <c r="B1313" s="28">
        <v>92.18</v>
      </c>
      <c r="C1313" s="16" t="str">
        <f t="shared" si="110"/>
        <v>2025</v>
      </c>
      <c r="D1313" t="str">
        <f t="shared" si="111"/>
        <v>06</v>
      </c>
      <c r="E1313" s="21">
        <f t="shared" si="107"/>
        <v>45693</v>
      </c>
      <c r="F1313" s="17" t="str">
        <f t="shared" si="108"/>
        <v>2025-02</v>
      </c>
      <c r="G1313" s="25">
        <f t="shared" si="109"/>
        <v>92.762500000000003</v>
      </c>
    </row>
    <row r="1314" spans="1:7" x14ac:dyDescent="0.25">
      <c r="A1314" s="18" t="s">
        <v>675</v>
      </c>
      <c r="B1314" s="28">
        <v>93.23</v>
      </c>
      <c r="C1314" s="16" t="str">
        <f t="shared" si="110"/>
        <v>2025</v>
      </c>
      <c r="D1314" t="str">
        <f t="shared" si="111"/>
        <v>07</v>
      </c>
      <c r="E1314" s="21">
        <f t="shared" si="107"/>
        <v>45700</v>
      </c>
      <c r="F1314" s="17" t="str">
        <f t="shared" si="108"/>
        <v>2025-02</v>
      </c>
      <c r="G1314" s="25">
        <f t="shared" si="109"/>
        <v>92.762500000000003</v>
      </c>
    </row>
    <row r="1315" spans="1:7" x14ac:dyDescent="0.25">
      <c r="A1315" s="18" t="s">
        <v>674</v>
      </c>
      <c r="B1315" s="28">
        <v>92.97</v>
      </c>
      <c r="C1315" s="16" t="str">
        <f t="shared" si="110"/>
        <v>2025</v>
      </c>
      <c r="D1315" t="str">
        <f t="shared" si="111"/>
        <v>08</v>
      </c>
      <c r="E1315" s="21">
        <f t="shared" si="107"/>
        <v>45707</v>
      </c>
      <c r="F1315" s="17" t="str">
        <f t="shared" si="108"/>
        <v>2025-02</v>
      </c>
      <c r="G1315" s="25">
        <f t="shared" si="109"/>
        <v>92.762500000000003</v>
      </c>
    </row>
    <row r="1316" spans="1:7" x14ac:dyDescent="0.25">
      <c r="A1316" s="18" t="s">
        <v>673</v>
      </c>
      <c r="B1316" s="28">
        <v>92.67</v>
      </c>
      <c r="C1316" s="16" t="str">
        <f t="shared" si="110"/>
        <v>2025</v>
      </c>
      <c r="D1316" t="str">
        <f t="shared" si="111"/>
        <v>09</v>
      </c>
      <c r="E1316" s="21">
        <f t="shared" si="107"/>
        <v>45714</v>
      </c>
      <c r="F1316" s="17" t="str">
        <f t="shared" si="108"/>
        <v>2025-02</v>
      </c>
      <c r="G1316" s="25">
        <f t="shared" si="109"/>
        <v>92.762500000000003</v>
      </c>
    </row>
    <row r="1317" spans="1:7" x14ac:dyDescent="0.25">
      <c r="A1317" s="18" t="s">
        <v>672</v>
      </c>
      <c r="B1317" s="28">
        <v>87</v>
      </c>
      <c r="C1317" s="16" t="str">
        <f t="shared" si="110"/>
        <v>2025</v>
      </c>
      <c r="D1317" t="str">
        <f t="shared" si="111"/>
        <v>10</v>
      </c>
      <c r="E1317" s="21">
        <f t="shared" si="107"/>
        <v>45721</v>
      </c>
      <c r="F1317" s="17" t="str">
        <f t="shared" si="108"/>
        <v>2025-03</v>
      </c>
      <c r="G1317" s="25">
        <f t="shared" si="109"/>
        <v>87.295000000000002</v>
      </c>
    </row>
    <row r="1318" spans="1:7" x14ac:dyDescent="0.25">
      <c r="A1318" s="18" t="s">
        <v>671</v>
      </c>
      <c r="B1318" s="28">
        <v>88.64</v>
      </c>
      <c r="C1318" s="16" t="str">
        <f t="shared" si="110"/>
        <v>2025</v>
      </c>
      <c r="D1318" t="str">
        <f t="shared" si="111"/>
        <v>11</v>
      </c>
      <c r="E1318" s="21">
        <f t="shared" si="107"/>
        <v>45728</v>
      </c>
      <c r="F1318" s="17" t="str">
        <f t="shared" si="108"/>
        <v>2025-03</v>
      </c>
      <c r="G1318" s="25">
        <f t="shared" si="109"/>
        <v>87.295000000000002</v>
      </c>
    </row>
    <row r="1319" spans="1:7" x14ac:dyDescent="0.25">
      <c r="A1319" s="18" t="s">
        <v>670</v>
      </c>
      <c r="B1319" s="28">
        <v>89.09</v>
      </c>
      <c r="C1319" s="16" t="str">
        <f t="shared" si="110"/>
        <v>2025</v>
      </c>
      <c r="D1319" t="str">
        <f t="shared" si="111"/>
        <v>12</v>
      </c>
      <c r="E1319" s="21">
        <f t="shared" si="107"/>
        <v>45735</v>
      </c>
      <c r="F1319" s="17" t="str">
        <f t="shared" si="108"/>
        <v>2025-03</v>
      </c>
      <c r="G1319" s="25">
        <f t="shared" si="109"/>
        <v>87.295000000000002</v>
      </c>
    </row>
    <row r="1320" spans="1:7" x14ac:dyDescent="0.25">
      <c r="A1320" s="18" t="s">
        <v>669</v>
      </c>
      <c r="B1320" s="28">
        <v>84.45</v>
      </c>
      <c r="C1320" s="16" t="str">
        <f t="shared" si="110"/>
        <v>2025</v>
      </c>
      <c r="D1320" t="str">
        <f t="shared" si="111"/>
        <v>13</v>
      </c>
      <c r="E1320" s="21">
        <f t="shared" si="107"/>
        <v>45742</v>
      </c>
      <c r="F1320" s="17" t="str">
        <f t="shared" si="108"/>
        <v>2025-03</v>
      </c>
      <c r="G1320" s="25">
        <f t="shared" si="109"/>
        <v>87.295000000000002</v>
      </c>
    </row>
    <row r="1321" spans="1:7" x14ac:dyDescent="0.25">
      <c r="A1321" s="18" t="s">
        <v>668</v>
      </c>
      <c r="B1321" s="28">
        <v>76.400000000000006</v>
      </c>
      <c r="C1321" s="16" t="str">
        <f t="shared" si="110"/>
        <v>2025</v>
      </c>
      <c r="D1321" t="str">
        <f t="shared" si="111"/>
        <v>14</v>
      </c>
      <c r="E1321" s="21">
        <f t="shared" si="107"/>
        <v>45749</v>
      </c>
      <c r="F1321" s="17" t="str">
        <f t="shared" si="108"/>
        <v>2025-04</v>
      </c>
      <c r="G1321" s="25">
        <f t="shared" si="109"/>
        <v>82.966000000000008</v>
      </c>
    </row>
    <row r="1322" spans="1:7" x14ac:dyDescent="0.25">
      <c r="A1322" s="18" t="s">
        <v>667</v>
      </c>
      <c r="B1322" s="28">
        <v>78.56</v>
      </c>
      <c r="C1322" s="16" t="str">
        <f t="shared" si="110"/>
        <v>2025</v>
      </c>
      <c r="D1322" t="str">
        <f t="shared" si="111"/>
        <v>15</v>
      </c>
      <c r="E1322" s="21">
        <f t="shared" si="107"/>
        <v>45756</v>
      </c>
      <c r="F1322" s="17" t="str">
        <f t="shared" si="108"/>
        <v>2025-04</v>
      </c>
      <c r="G1322" s="25">
        <f t="shared" si="109"/>
        <v>82.966000000000008</v>
      </c>
    </row>
    <row r="1323" spans="1:7" x14ac:dyDescent="0.25">
      <c r="A1323" s="18" t="s">
        <v>666</v>
      </c>
      <c r="B1323" s="28">
        <v>95.33</v>
      </c>
      <c r="C1323" s="16" t="str">
        <f t="shared" si="110"/>
        <v>2025</v>
      </c>
      <c r="D1323" t="str">
        <f t="shared" si="111"/>
        <v>16</v>
      </c>
      <c r="E1323" s="21">
        <f t="shared" si="107"/>
        <v>45763</v>
      </c>
      <c r="F1323" s="17" t="str">
        <f t="shared" si="108"/>
        <v>2025-04</v>
      </c>
      <c r="G1323" s="25">
        <f t="shared" si="109"/>
        <v>82.966000000000008</v>
      </c>
    </row>
    <row r="1324" spans="1:7" x14ac:dyDescent="0.25">
      <c r="A1324" s="18" t="s">
        <v>665</v>
      </c>
      <c r="B1324" s="28">
        <v>89.19</v>
      </c>
      <c r="C1324" s="16" t="str">
        <f t="shared" si="110"/>
        <v>2025</v>
      </c>
      <c r="D1324" t="str">
        <f t="shared" si="111"/>
        <v>17</v>
      </c>
      <c r="E1324" s="21">
        <f t="shared" si="107"/>
        <v>45770</v>
      </c>
      <c r="F1324" s="17" t="str">
        <f t="shared" si="108"/>
        <v>2025-04</v>
      </c>
      <c r="G1324" s="25">
        <f t="shared" si="109"/>
        <v>82.966000000000008</v>
      </c>
    </row>
    <row r="1325" spans="1:7" x14ac:dyDescent="0.25">
      <c r="A1325" s="18" t="s">
        <v>664</v>
      </c>
      <c r="B1325" s="28">
        <v>75.349999999999994</v>
      </c>
      <c r="C1325" s="16" t="str">
        <f t="shared" si="110"/>
        <v>2025</v>
      </c>
      <c r="D1325" t="str">
        <f t="shared" si="111"/>
        <v>18</v>
      </c>
      <c r="E1325" s="21">
        <f t="shared" si="107"/>
        <v>45777</v>
      </c>
      <c r="F1325" s="17" t="str">
        <f t="shared" si="108"/>
        <v>2025-04</v>
      </c>
      <c r="G1325" s="25">
        <f t="shared" si="109"/>
        <v>82.966000000000008</v>
      </c>
    </row>
    <row r="1326" spans="1:7" x14ac:dyDescent="0.25">
      <c r="A1326" s="18" t="s">
        <v>663</v>
      </c>
      <c r="B1326" s="28">
        <v>74.31</v>
      </c>
      <c r="C1326" s="16" t="str">
        <f t="shared" si="110"/>
        <v>2025</v>
      </c>
      <c r="D1326" t="str">
        <f t="shared" si="111"/>
        <v>19</v>
      </c>
      <c r="E1326" s="21">
        <f t="shared" si="107"/>
        <v>45784</v>
      </c>
      <c r="F1326" s="17" t="str">
        <f t="shared" si="108"/>
        <v>2025-05</v>
      </c>
      <c r="G1326" s="25">
        <f t="shared" si="109"/>
        <v>74.42</v>
      </c>
    </row>
    <row r="1327" spans="1:7" x14ac:dyDescent="0.25">
      <c r="A1327" s="18" t="s">
        <v>662</v>
      </c>
      <c r="B1327" s="28">
        <v>77.06</v>
      </c>
      <c r="C1327" s="16" t="str">
        <f t="shared" si="110"/>
        <v>2025</v>
      </c>
      <c r="D1327" t="str">
        <f t="shared" si="111"/>
        <v>20</v>
      </c>
      <c r="E1327" s="21">
        <f t="shared" si="107"/>
        <v>45791</v>
      </c>
      <c r="F1327" s="17" t="str">
        <f t="shared" si="108"/>
        <v>2025-05</v>
      </c>
      <c r="G1327" s="25">
        <f t="shared" si="109"/>
        <v>74.42</v>
      </c>
    </row>
    <row r="1328" spans="1:7" x14ac:dyDescent="0.25">
      <c r="A1328" s="18" t="s">
        <v>661</v>
      </c>
      <c r="B1328" s="28">
        <v>75.89</v>
      </c>
      <c r="C1328" s="16" t="str">
        <f t="shared" si="110"/>
        <v>2025</v>
      </c>
      <c r="D1328" t="str">
        <f t="shared" si="111"/>
        <v>21</v>
      </c>
      <c r="E1328" s="21">
        <f t="shared" si="107"/>
        <v>45798</v>
      </c>
      <c r="F1328" s="17" t="str">
        <f t="shared" si="108"/>
        <v>2025-05</v>
      </c>
      <c r="G1328" s="25">
        <f t="shared" si="109"/>
        <v>74.42</v>
      </c>
    </row>
    <row r="1329" spans="1:7" x14ac:dyDescent="0.25">
      <c r="A1329" s="18" t="s">
        <v>660</v>
      </c>
      <c r="B1329" s="28">
        <v>70.42</v>
      </c>
      <c r="C1329" s="16" t="str">
        <f t="shared" si="110"/>
        <v>2025</v>
      </c>
      <c r="D1329" t="str">
        <f t="shared" si="111"/>
        <v>22</v>
      </c>
      <c r="E1329" s="21">
        <f t="shared" si="107"/>
        <v>45805</v>
      </c>
      <c r="F1329" s="17" t="str">
        <f t="shared" si="108"/>
        <v>2025-05</v>
      </c>
      <c r="G1329" s="25">
        <f t="shared" si="109"/>
        <v>74.42</v>
      </c>
    </row>
    <row r="1330" spans="1:7" x14ac:dyDescent="0.25">
      <c r="A1330" s="18" t="s">
        <v>659</v>
      </c>
      <c r="B1330" s="28">
        <v>72.42</v>
      </c>
      <c r="C1330" s="16" t="str">
        <f t="shared" si="110"/>
        <v>2025</v>
      </c>
      <c r="D1330" t="str">
        <f t="shared" si="111"/>
        <v>23</v>
      </c>
      <c r="E1330" s="21">
        <f t="shared" si="107"/>
        <v>45812</v>
      </c>
      <c r="F1330" s="17" t="str">
        <f t="shared" si="108"/>
        <v>2025-06</v>
      </c>
      <c r="G1330" s="25">
        <f t="shared" si="109"/>
        <v>75.055000000000007</v>
      </c>
    </row>
    <row r="1331" spans="1:7" x14ac:dyDescent="0.25">
      <c r="A1331" s="18" t="s">
        <v>658</v>
      </c>
      <c r="B1331" s="28">
        <v>82.73</v>
      </c>
      <c r="C1331" s="16" t="str">
        <f t="shared" si="110"/>
        <v>2025</v>
      </c>
      <c r="D1331" t="str">
        <f t="shared" si="111"/>
        <v>24</v>
      </c>
      <c r="E1331" s="21">
        <f t="shared" si="107"/>
        <v>45819</v>
      </c>
      <c r="F1331" s="17" t="str">
        <f t="shared" si="108"/>
        <v>2025-06</v>
      </c>
      <c r="G1331" s="25">
        <f t="shared" si="109"/>
        <v>75.055000000000007</v>
      </c>
    </row>
    <row r="1332" spans="1:7" x14ac:dyDescent="0.25">
      <c r="A1332" s="18" t="s">
        <v>657</v>
      </c>
      <c r="B1332" s="28">
        <v>76.33</v>
      </c>
      <c r="C1332" s="16" t="str">
        <f t="shared" si="110"/>
        <v>2025</v>
      </c>
      <c r="D1332" t="str">
        <f t="shared" si="111"/>
        <v>25</v>
      </c>
      <c r="E1332" s="21">
        <f t="shared" si="107"/>
        <v>45826</v>
      </c>
      <c r="F1332" s="17" t="str">
        <f t="shared" si="108"/>
        <v>2025-06</v>
      </c>
      <c r="G1332" s="25">
        <f t="shared" si="109"/>
        <v>75.055000000000007</v>
      </c>
    </row>
    <row r="1333" spans="1:7" x14ac:dyDescent="0.25">
      <c r="A1333" s="18" t="s">
        <v>656</v>
      </c>
      <c r="B1333" s="28">
        <v>68.739999999999995</v>
      </c>
      <c r="C1333" s="16" t="str">
        <f t="shared" si="110"/>
        <v>2025</v>
      </c>
      <c r="D1333" t="str">
        <f t="shared" si="111"/>
        <v>26</v>
      </c>
      <c r="E1333" s="21">
        <f t="shared" si="107"/>
        <v>45833</v>
      </c>
      <c r="F1333" s="17" t="str">
        <f t="shared" si="108"/>
        <v>2025-06</v>
      </c>
      <c r="G1333" s="25">
        <f t="shared" si="109"/>
        <v>75.055000000000007</v>
      </c>
    </row>
    <row r="1334" spans="1:7" x14ac:dyDescent="0.25">
      <c r="A1334" s="18" t="s">
        <v>655</v>
      </c>
      <c r="B1334" s="28">
        <v>70.28</v>
      </c>
      <c r="C1334" s="16" t="str">
        <f t="shared" si="110"/>
        <v>2025</v>
      </c>
      <c r="D1334" t="str">
        <f t="shared" si="111"/>
        <v>27</v>
      </c>
      <c r="E1334" s="21">
        <f t="shared" si="107"/>
        <v>45840</v>
      </c>
      <c r="F1334" s="17" t="str">
        <f t="shared" si="108"/>
        <v>2025-07</v>
      </c>
      <c r="G1334" s="25">
        <f t="shared" si="109"/>
        <v>66.275999999999982</v>
      </c>
    </row>
    <row r="1335" spans="1:7" x14ac:dyDescent="0.25">
      <c r="A1335" s="18" t="s">
        <v>654</v>
      </c>
      <c r="B1335" s="28">
        <v>67.290000000000006</v>
      </c>
      <c r="C1335" s="16" t="str">
        <f t="shared" si="110"/>
        <v>2025</v>
      </c>
      <c r="D1335" t="str">
        <f t="shared" si="111"/>
        <v>28</v>
      </c>
      <c r="E1335" s="21">
        <f t="shared" si="107"/>
        <v>45847</v>
      </c>
      <c r="F1335" s="17" t="str">
        <f t="shared" si="108"/>
        <v>2025-07</v>
      </c>
      <c r="G1335" s="25">
        <f t="shared" si="109"/>
        <v>66.275999999999982</v>
      </c>
    </row>
    <row r="1336" spans="1:7" x14ac:dyDescent="0.25">
      <c r="A1336" s="18" t="s">
        <v>653</v>
      </c>
      <c r="B1336" s="28">
        <v>68.13</v>
      </c>
      <c r="C1336" s="16" t="str">
        <f t="shared" si="110"/>
        <v>2025</v>
      </c>
      <c r="D1336" t="str">
        <f t="shared" si="111"/>
        <v>29</v>
      </c>
      <c r="E1336" s="21">
        <f t="shared" si="107"/>
        <v>45854</v>
      </c>
      <c r="F1336" s="17" t="str">
        <f t="shared" si="108"/>
        <v>2025-07</v>
      </c>
      <c r="G1336" s="25">
        <f t="shared" si="109"/>
        <v>66.275999999999982</v>
      </c>
    </row>
    <row r="1337" spans="1:7" x14ac:dyDescent="0.25">
      <c r="A1337" s="18" t="s">
        <v>652</v>
      </c>
      <c r="B1337" s="28">
        <v>65.099999999999994</v>
      </c>
      <c r="C1337" s="16" t="str">
        <f t="shared" si="110"/>
        <v>2025</v>
      </c>
      <c r="D1337" t="str">
        <f t="shared" si="111"/>
        <v>30</v>
      </c>
      <c r="E1337" s="21">
        <f t="shared" si="107"/>
        <v>45861</v>
      </c>
      <c r="F1337" s="17" t="str">
        <f t="shared" si="108"/>
        <v>2025-07</v>
      </c>
      <c r="G1337" s="25">
        <f t="shared" si="109"/>
        <v>66.275999999999982</v>
      </c>
    </row>
    <row r="1338" spans="1:7" x14ac:dyDescent="0.25">
      <c r="A1338" s="18" t="s">
        <v>651</v>
      </c>
      <c r="B1338" s="28">
        <v>60.58</v>
      </c>
      <c r="C1338" s="16" t="str">
        <f t="shared" si="110"/>
        <v>2025</v>
      </c>
      <c r="D1338" t="str">
        <f t="shared" si="111"/>
        <v>31</v>
      </c>
      <c r="E1338" s="21">
        <f t="shared" si="107"/>
        <v>45868</v>
      </c>
      <c r="F1338" s="17" t="str">
        <f t="shared" si="108"/>
        <v>2025-07</v>
      </c>
      <c r="G1338" s="25">
        <f t="shared" si="109"/>
        <v>66.275999999999982</v>
      </c>
    </row>
    <row r="1339" spans="1:7" x14ac:dyDescent="0.25">
      <c r="A1339" s="18" t="s">
        <v>650</v>
      </c>
      <c r="B1339" s="28">
        <v>62.05</v>
      </c>
      <c r="C1339" s="16" t="str">
        <f t="shared" si="110"/>
        <v>2025</v>
      </c>
      <c r="D1339" t="str">
        <f t="shared" si="111"/>
        <v>32</v>
      </c>
      <c r="E1339" s="21">
        <f t="shared" si="107"/>
        <v>45875</v>
      </c>
      <c r="F1339" s="17" t="str">
        <f t="shared" si="108"/>
        <v>2025-08</v>
      </c>
      <c r="G1339" s="25">
        <f t="shared" si="109"/>
        <v>64.355000000000004</v>
      </c>
    </row>
    <row r="1340" spans="1:7" x14ac:dyDescent="0.25">
      <c r="A1340" s="18" t="s">
        <v>649</v>
      </c>
      <c r="B1340" s="28">
        <v>64.38</v>
      </c>
      <c r="C1340" s="16" t="str">
        <f t="shared" si="110"/>
        <v>2025</v>
      </c>
      <c r="D1340" t="str">
        <f t="shared" si="111"/>
        <v>33</v>
      </c>
      <c r="E1340" s="21">
        <f t="shared" si="107"/>
        <v>45882</v>
      </c>
      <c r="F1340" s="17" t="str">
        <f t="shared" si="108"/>
        <v>2025-08</v>
      </c>
      <c r="G1340" s="25">
        <f t="shared" si="109"/>
        <v>64.355000000000004</v>
      </c>
    </row>
    <row r="1341" spans="1:7" x14ac:dyDescent="0.25">
      <c r="A1341" s="18" t="s">
        <v>648</v>
      </c>
      <c r="B1341" s="28">
        <v>65.13</v>
      </c>
      <c r="C1341" s="16" t="str">
        <f t="shared" si="110"/>
        <v>2025</v>
      </c>
      <c r="D1341" t="str">
        <f t="shared" si="111"/>
        <v>34</v>
      </c>
      <c r="E1341" s="21">
        <f t="shared" si="107"/>
        <v>45889</v>
      </c>
      <c r="F1341" s="17" t="str">
        <f t="shared" si="108"/>
        <v>2025-08</v>
      </c>
      <c r="G1341" s="25">
        <f t="shared" si="109"/>
        <v>64.355000000000004</v>
      </c>
    </row>
    <row r="1342" spans="1:7" x14ac:dyDescent="0.25">
      <c r="A1342" s="18" t="s">
        <v>647</v>
      </c>
      <c r="B1342" s="28">
        <v>65.86</v>
      </c>
      <c r="C1342" s="16" t="str">
        <f t="shared" si="110"/>
        <v>2025</v>
      </c>
      <c r="D1342" t="str">
        <f t="shared" si="111"/>
        <v>35</v>
      </c>
      <c r="E1342" s="21">
        <f t="shared" si="107"/>
        <v>45896</v>
      </c>
      <c r="F1342" s="17" t="str">
        <f t="shared" si="108"/>
        <v>2025-08</v>
      </c>
      <c r="G1342" s="25">
        <f t="shared" si="109"/>
        <v>64.355000000000004</v>
      </c>
    </row>
    <row r="1343" spans="1:7" x14ac:dyDescent="0.25">
      <c r="A1343" s="18" t="s">
        <v>646</v>
      </c>
      <c r="B1343" s="28">
        <v>70.2</v>
      </c>
      <c r="C1343" s="16" t="str">
        <f t="shared" si="110"/>
        <v>2025</v>
      </c>
      <c r="D1343" t="str">
        <f t="shared" si="111"/>
        <v>36</v>
      </c>
      <c r="E1343" s="21">
        <f t="shared" si="107"/>
        <v>45903</v>
      </c>
      <c r="F1343" s="17" t="str">
        <f t="shared" si="108"/>
        <v>2025-09</v>
      </c>
      <c r="G1343" s="25">
        <f t="shared" si="109"/>
        <v>75.625</v>
      </c>
    </row>
    <row r="1344" spans="1:7" x14ac:dyDescent="0.25">
      <c r="A1344" s="18" t="s">
        <v>645</v>
      </c>
      <c r="B1344" s="28">
        <v>74.989999999999995</v>
      </c>
      <c r="C1344" s="16" t="str">
        <f t="shared" si="110"/>
        <v>2025</v>
      </c>
      <c r="D1344" t="str">
        <f t="shared" si="111"/>
        <v>37</v>
      </c>
      <c r="E1344" s="21">
        <f t="shared" si="107"/>
        <v>45910</v>
      </c>
      <c r="F1344" s="17" t="str">
        <f t="shared" si="108"/>
        <v>2025-09</v>
      </c>
      <c r="G1344" s="25">
        <f t="shared" si="109"/>
        <v>75.625</v>
      </c>
    </row>
    <row r="1345" spans="1:7" x14ac:dyDescent="0.25">
      <c r="A1345" s="18" t="s">
        <v>644</v>
      </c>
      <c r="B1345" s="28">
        <v>77.400000000000006</v>
      </c>
      <c r="C1345" s="16" t="str">
        <f t="shared" si="110"/>
        <v>2025</v>
      </c>
      <c r="D1345" t="str">
        <f t="shared" si="111"/>
        <v>38</v>
      </c>
      <c r="E1345" s="21">
        <f t="shared" si="107"/>
        <v>45917</v>
      </c>
      <c r="F1345" s="17" t="str">
        <f t="shared" si="108"/>
        <v>2025-09</v>
      </c>
      <c r="G1345" s="25">
        <f t="shared" si="109"/>
        <v>75.625</v>
      </c>
    </row>
    <row r="1346" spans="1:7" x14ac:dyDescent="0.25">
      <c r="A1346" s="18" t="s">
        <v>643</v>
      </c>
      <c r="B1346" s="28">
        <v>79.91</v>
      </c>
      <c r="C1346" s="16" t="str">
        <f t="shared" si="110"/>
        <v>2025</v>
      </c>
      <c r="D1346" t="str">
        <f t="shared" si="111"/>
        <v>39</v>
      </c>
      <c r="E1346" s="21">
        <f t="shared" si="107"/>
        <v>45924</v>
      </c>
      <c r="F1346" s="17" t="str">
        <f t="shared" si="108"/>
        <v>2025-09</v>
      </c>
      <c r="G1346" s="25">
        <f t="shared" si="109"/>
        <v>75.625</v>
      </c>
    </row>
    <row r="1347" spans="1:7" x14ac:dyDescent="0.25">
      <c r="A1347" s="18" t="s">
        <v>642</v>
      </c>
      <c r="B1347" s="28">
        <v>77.680000000000007</v>
      </c>
      <c r="C1347" s="16" t="str">
        <f t="shared" si="110"/>
        <v>2025</v>
      </c>
      <c r="D1347" t="str">
        <f t="shared" si="111"/>
        <v>40</v>
      </c>
      <c r="E1347" s="21">
        <f t="shared" si="107"/>
        <v>45931</v>
      </c>
      <c r="F1347" s="17" t="str">
        <f t="shared" si="108"/>
        <v>2025-10</v>
      </c>
      <c r="G1347" s="25">
        <f t="shared" si="109"/>
        <v>77.12</v>
      </c>
    </row>
    <row r="1348" spans="1:7" x14ac:dyDescent="0.25">
      <c r="A1348" s="18" t="s">
        <v>641</v>
      </c>
      <c r="B1348" s="28">
        <v>75.38</v>
      </c>
      <c r="C1348" s="16" t="str">
        <f t="shared" si="110"/>
        <v>2025</v>
      </c>
      <c r="D1348" t="str">
        <f t="shared" si="111"/>
        <v>41</v>
      </c>
      <c r="E1348" s="21">
        <f t="shared" si="107"/>
        <v>45938</v>
      </c>
      <c r="F1348" s="17" t="str">
        <f t="shared" si="108"/>
        <v>2025-10</v>
      </c>
      <c r="G1348" s="25">
        <f t="shared" si="109"/>
        <v>77.12</v>
      </c>
    </row>
    <row r="1349" spans="1:7" x14ac:dyDescent="0.25">
      <c r="A1349" s="18" t="s">
        <v>640</v>
      </c>
      <c r="B1349" s="28">
        <v>73.739999999999995</v>
      </c>
      <c r="C1349" s="16" t="str">
        <f t="shared" si="110"/>
        <v>2025</v>
      </c>
      <c r="D1349" t="str">
        <f t="shared" si="111"/>
        <v>42</v>
      </c>
      <c r="E1349" s="21">
        <f t="shared" ref="E1349:E1353" si="112">DATE(C1349,1,1)+(D1349-1)*7</f>
        <v>45945</v>
      </c>
      <c r="F1349" s="17" t="str">
        <f t="shared" ref="F1349:F1353" si="113">TEXT(E1349,"éééé-hh")</f>
        <v>2025-10</v>
      </c>
      <c r="G1349" s="25">
        <f t="shared" ref="G1349:G1353" si="114">AVERAGEIF($F$4:$F$1353,F1349,$B$4:$B$1353)</f>
        <v>77.12</v>
      </c>
    </row>
    <row r="1350" spans="1:7" x14ac:dyDescent="0.25">
      <c r="A1350" s="18" t="s">
        <v>639</v>
      </c>
      <c r="B1350" s="28">
        <v>78.25</v>
      </c>
      <c r="C1350" s="16" t="str">
        <f t="shared" si="110"/>
        <v>2025</v>
      </c>
      <c r="D1350" t="str">
        <f t="shared" si="111"/>
        <v>43</v>
      </c>
      <c r="E1350" s="21">
        <f t="shared" si="112"/>
        <v>45952</v>
      </c>
      <c r="F1350" s="17" t="str">
        <f t="shared" si="113"/>
        <v>2025-10</v>
      </c>
      <c r="G1350" s="25">
        <f t="shared" si="114"/>
        <v>77.12</v>
      </c>
    </row>
    <row r="1351" spans="1:7" x14ac:dyDescent="0.25">
      <c r="A1351" s="18" t="s">
        <v>638</v>
      </c>
      <c r="B1351" s="28">
        <v>80.55</v>
      </c>
      <c r="C1351" s="16" t="str">
        <f t="shared" si="110"/>
        <v>2025</v>
      </c>
      <c r="D1351" t="str">
        <f t="shared" si="111"/>
        <v>44</v>
      </c>
      <c r="E1351" s="21">
        <f t="shared" si="112"/>
        <v>45959</v>
      </c>
      <c r="F1351" s="17" t="str">
        <f t="shared" si="113"/>
        <v>2025-10</v>
      </c>
      <c r="G1351" s="25">
        <f t="shared" si="114"/>
        <v>77.12</v>
      </c>
    </row>
    <row r="1352" spans="1:7" x14ac:dyDescent="0.25">
      <c r="A1352" s="18" t="s">
        <v>637</v>
      </c>
      <c r="B1352" s="28">
        <v>78.08</v>
      </c>
      <c r="C1352" s="16" t="str">
        <f t="shared" si="110"/>
        <v>2025</v>
      </c>
      <c r="D1352" t="str">
        <f t="shared" si="111"/>
        <v>45</v>
      </c>
      <c r="E1352" s="21">
        <f t="shared" si="112"/>
        <v>45966</v>
      </c>
      <c r="F1352" s="17" t="str">
        <f t="shared" si="113"/>
        <v>2025-11</v>
      </c>
      <c r="G1352" s="25">
        <f t="shared" si="114"/>
        <v>79.09</v>
      </c>
    </row>
    <row r="1353" spans="1:7" x14ac:dyDescent="0.25">
      <c r="A1353" s="18" t="s">
        <v>636</v>
      </c>
      <c r="B1353" s="28">
        <v>80.099999999999994</v>
      </c>
      <c r="C1353" s="16" t="str">
        <f t="shared" si="110"/>
        <v>2025</v>
      </c>
      <c r="D1353" t="str">
        <f t="shared" si="111"/>
        <v>46</v>
      </c>
      <c r="E1353" s="21">
        <f t="shared" si="112"/>
        <v>45973</v>
      </c>
      <c r="F1353" s="17" t="str">
        <f t="shared" si="113"/>
        <v>2025-11</v>
      </c>
      <c r="G1353" s="25">
        <f t="shared" si="114"/>
        <v>79.09</v>
      </c>
    </row>
  </sheetData>
  <autoFilter ref="A1:J2" xr:uid="{68535C52-DF20-443E-B7C9-C954B9F8C008}">
    <filterColumn colId="0" showButton="0"/>
    <filterColumn colId="2" showButton="0"/>
    <filterColumn colId="3" showButton="0"/>
    <filterColumn colId="4" showButton="0"/>
    <filterColumn colId="6" showButton="0"/>
    <filterColumn colId="7" showButton="0"/>
    <filterColumn colId="8" showButton="0"/>
  </autoFilter>
  <mergeCells count="5">
    <mergeCell ref="K1:L2"/>
    <mergeCell ref="M1:N2"/>
    <mergeCell ref="A1:B2"/>
    <mergeCell ref="C1:F2"/>
    <mergeCell ref="G1:J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C992C-6B69-4EEF-8DAB-0C6B10D083A9}">
  <dimension ref="A1:C1393"/>
  <sheetViews>
    <sheetView workbookViewId="0">
      <selection activeCell="G26" sqref="G26"/>
    </sheetView>
  </sheetViews>
  <sheetFormatPr defaultRowHeight="15" x14ac:dyDescent="0.25"/>
  <cols>
    <col min="1" max="3" width="9.140625" style="8" customWidth="1"/>
    <col min="4" max="16384" width="9.140625" style="8"/>
  </cols>
  <sheetData>
    <row r="1" spans="1:3" ht="18.75" x14ac:dyDescent="0.3">
      <c r="A1" s="11" t="s">
        <v>1987</v>
      </c>
    </row>
    <row r="3" spans="1:3" x14ac:dyDescent="0.25">
      <c r="C3" s="10" t="s">
        <v>632</v>
      </c>
    </row>
    <row r="4" spans="1:3" x14ac:dyDescent="0.25">
      <c r="A4" s="10" t="s">
        <v>1986</v>
      </c>
      <c r="B4" s="10" t="s">
        <v>1985</v>
      </c>
      <c r="C4" s="12">
        <v>30.98</v>
      </c>
    </row>
    <row r="5" spans="1:3" x14ac:dyDescent="0.25">
      <c r="B5" s="10" t="s">
        <v>1984</v>
      </c>
      <c r="C5" s="12">
        <v>31.12</v>
      </c>
    </row>
    <row r="6" spans="1:3" x14ac:dyDescent="0.25">
      <c r="B6" s="10" t="s">
        <v>1983</v>
      </c>
      <c r="C6" s="12">
        <v>31.03</v>
      </c>
    </row>
    <row r="7" spans="1:3" x14ac:dyDescent="0.25">
      <c r="B7" s="10" t="s">
        <v>1982</v>
      </c>
      <c r="C7" s="12">
        <v>30.95</v>
      </c>
    </row>
    <row r="8" spans="1:3" x14ac:dyDescent="0.25">
      <c r="B8" s="10" t="s">
        <v>1981</v>
      </c>
      <c r="C8" s="12">
        <v>31.3</v>
      </c>
    </row>
    <row r="9" spans="1:3" x14ac:dyDescent="0.25">
      <c r="B9" s="10" t="s">
        <v>1980</v>
      </c>
      <c r="C9" s="12">
        <v>32.53</v>
      </c>
    </row>
    <row r="10" spans="1:3" x14ac:dyDescent="0.25">
      <c r="B10" s="10" t="s">
        <v>1979</v>
      </c>
      <c r="C10" s="12">
        <v>32.46</v>
      </c>
    </row>
    <row r="11" spans="1:3" x14ac:dyDescent="0.25">
      <c r="B11" s="10" t="s">
        <v>1978</v>
      </c>
      <c r="C11" s="12">
        <v>32.19</v>
      </c>
    </row>
    <row r="12" spans="1:3" x14ac:dyDescent="0.25">
      <c r="B12" s="10" t="s">
        <v>1977</v>
      </c>
      <c r="C12" s="12">
        <v>32.04</v>
      </c>
    </row>
    <row r="13" spans="1:3" x14ac:dyDescent="0.25">
      <c r="B13" s="10" t="s">
        <v>1976</v>
      </c>
      <c r="C13" s="12">
        <v>32</v>
      </c>
    </row>
    <row r="14" spans="1:3" x14ac:dyDescent="0.25">
      <c r="B14" s="10" t="s">
        <v>1975</v>
      </c>
      <c r="C14" s="12">
        <v>33.29</v>
      </c>
    </row>
    <row r="15" spans="1:3" x14ac:dyDescent="0.25">
      <c r="B15" s="10" t="s">
        <v>1974</v>
      </c>
      <c r="C15" s="12">
        <v>33.770000000000003</v>
      </c>
    </row>
    <row r="16" spans="1:3" x14ac:dyDescent="0.25">
      <c r="B16" s="10" t="s">
        <v>1973</v>
      </c>
      <c r="C16" s="12">
        <v>34.11</v>
      </c>
    </row>
    <row r="17" spans="2:3" x14ac:dyDescent="0.25">
      <c r="B17" s="10" t="s">
        <v>1972</v>
      </c>
      <c r="C17" s="12">
        <v>34.61</v>
      </c>
    </row>
    <row r="18" spans="2:3" x14ac:dyDescent="0.25">
      <c r="B18" s="10" t="s">
        <v>1971</v>
      </c>
      <c r="C18" s="12">
        <v>34.119999999999997</v>
      </c>
    </row>
    <row r="19" spans="2:3" x14ac:dyDescent="0.25">
      <c r="B19" s="10" t="s">
        <v>1970</v>
      </c>
      <c r="C19" s="12">
        <v>34.450000000000003</v>
      </c>
    </row>
    <row r="20" spans="2:3" x14ac:dyDescent="0.25">
      <c r="B20" s="10" t="s">
        <v>1969</v>
      </c>
      <c r="C20" s="12">
        <v>35.56</v>
      </c>
    </row>
    <row r="21" spans="2:3" x14ac:dyDescent="0.25">
      <c r="B21" s="10" t="s">
        <v>1968</v>
      </c>
      <c r="C21" s="12">
        <v>37.69</v>
      </c>
    </row>
    <row r="22" spans="2:3" x14ac:dyDescent="0.25">
      <c r="B22" s="10" t="s">
        <v>1967</v>
      </c>
      <c r="C22" s="12">
        <v>37.94</v>
      </c>
    </row>
    <row r="23" spans="2:3" x14ac:dyDescent="0.25">
      <c r="B23" s="10" t="s">
        <v>1966</v>
      </c>
      <c r="C23" s="12">
        <v>37.32</v>
      </c>
    </row>
    <row r="24" spans="2:3" x14ac:dyDescent="0.25">
      <c r="B24" s="10" t="s">
        <v>1965</v>
      </c>
      <c r="C24" s="12">
        <v>35.4</v>
      </c>
    </row>
    <row r="25" spans="2:3" x14ac:dyDescent="0.25">
      <c r="B25" s="10" t="s">
        <v>1964</v>
      </c>
      <c r="C25" s="12">
        <v>34.630000000000003</v>
      </c>
    </row>
    <row r="26" spans="2:3" x14ac:dyDescent="0.25">
      <c r="B26" s="10" t="s">
        <v>1963</v>
      </c>
      <c r="C26" s="12">
        <v>34</v>
      </c>
    </row>
    <row r="27" spans="2:3" x14ac:dyDescent="0.25">
      <c r="B27" s="10" t="s">
        <v>1962</v>
      </c>
      <c r="C27" s="12">
        <v>34.39</v>
      </c>
    </row>
    <row r="28" spans="2:3" x14ac:dyDescent="0.25">
      <c r="B28" s="10" t="s">
        <v>1961</v>
      </c>
      <c r="C28" s="12">
        <v>35.33</v>
      </c>
    </row>
    <row r="29" spans="2:3" x14ac:dyDescent="0.25">
      <c r="B29" s="10" t="s">
        <v>1960</v>
      </c>
      <c r="C29" s="12">
        <v>36</v>
      </c>
    </row>
    <row r="30" spans="2:3" x14ac:dyDescent="0.25">
      <c r="B30" s="10" t="s">
        <v>1959</v>
      </c>
      <c r="C30" s="12">
        <v>35.229999999999997</v>
      </c>
    </row>
    <row r="31" spans="2:3" x14ac:dyDescent="0.25">
      <c r="B31" s="10" t="s">
        <v>1958</v>
      </c>
      <c r="C31" s="12">
        <v>35.33</v>
      </c>
    </row>
    <row r="32" spans="2:3" x14ac:dyDescent="0.25">
      <c r="B32" s="10" t="s">
        <v>1957</v>
      </c>
      <c r="C32" s="12">
        <v>35.31</v>
      </c>
    </row>
    <row r="33" spans="2:3" x14ac:dyDescent="0.25">
      <c r="B33" s="10" t="s">
        <v>1956</v>
      </c>
      <c r="C33" s="12">
        <v>35.86</v>
      </c>
    </row>
    <row r="34" spans="2:3" x14ac:dyDescent="0.25">
      <c r="B34" s="10" t="s">
        <v>1955</v>
      </c>
      <c r="C34" s="12">
        <v>36.090000000000003</v>
      </c>
    </row>
    <row r="35" spans="2:3" x14ac:dyDescent="0.25">
      <c r="B35" s="10" t="s">
        <v>1954</v>
      </c>
      <c r="C35" s="12">
        <v>35.44</v>
      </c>
    </row>
    <row r="36" spans="2:3" x14ac:dyDescent="0.25">
      <c r="B36" s="10" t="s">
        <v>1953</v>
      </c>
      <c r="C36" s="12">
        <v>34.07</v>
      </c>
    </row>
    <row r="37" spans="2:3" x14ac:dyDescent="0.25">
      <c r="B37" s="10" t="s">
        <v>1952</v>
      </c>
      <c r="C37" s="12">
        <v>33.46</v>
      </c>
    </row>
    <row r="38" spans="2:3" x14ac:dyDescent="0.25">
      <c r="B38" s="10" t="s">
        <v>1951</v>
      </c>
      <c r="C38" s="12">
        <v>32.03</v>
      </c>
    </row>
    <row r="39" spans="2:3" x14ac:dyDescent="0.25">
      <c r="B39" s="10" t="s">
        <v>1950</v>
      </c>
      <c r="C39" s="12">
        <v>30.65</v>
      </c>
    </row>
    <row r="40" spans="2:3" x14ac:dyDescent="0.25">
      <c r="B40" s="10" t="s">
        <v>1949</v>
      </c>
      <c r="C40" s="12">
        <v>29.51</v>
      </c>
    </row>
    <row r="41" spans="2:3" x14ac:dyDescent="0.25">
      <c r="B41" s="10" t="s">
        <v>1948</v>
      </c>
      <c r="C41" s="12">
        <v>29.33</v>
      </c>
    </row>
    <row r="42" spans="2:3" x14ac:dyDescent="0.25">
      <c r="B42" s="10" t="s">
        <v>1947</v>
      </c>
      <c r="C42" s="12">
        <v>29.18</v>
      </c>
    </row>
    <row r="43" spans="2:3" x14ac:dyDescent="0.25">
      <c r="B43" s="10" t="s">
        <v>1946</v>
      </c>
      <c r="C43" s="12">
        <v>28.44</v>
      </c>
    </row>
    <row r="44" spans="2:3" x14ac:dyDescent="0.25">
      <c r="B44" s="10" t="s">
        <v>1945</v>
      </c>
      <c r="C44" s="12">
        <v>27.76</v>
      </c>
    </row>
    <row r="45" spans="2:3" x14ac:dyDescent="0.25">
      <c r="B45" s="10" t="s">
        <v>1944</v>
      </c>
      <c r="C45" s="12">
        <v>27.01</v>
      </c>
    </row>
    <row r="46" spans="2:3" x14ac:dyDescent="0.25">
      <c r="B46" s="10" t="s">
        <v>1943</v>
      </c>
      <c r="C46" s="12">
        <v>27.13</v>
      </c>
    </row>
    <row r="47" spans="2:3" x14ac:dyDescent="0.25">
      <c r="B47" s="10" t="s">
        <v>1942</v>
      </c>
      <c r="C47" s="12">
        <v>27.22</v>
      </c>
    </row>
    <row r="48" spans="2:3" x14ac:dyDescent="0.25">
      <c r="B48" s="10" t="s">
        <v>1941</v>
      </c>
      <c r="C48" s="12">
        <v>27.2</v>
      </c>
    </row>
    <row r="49" spans="2:3" x14ac:dyDescent="0.25">
      <c r="B49" s="10" t="s">
        <v>1940</v>
      </c>
      <c r="C49" s="12">
        <v>26.88</v>
      </c>
    </row>
    <row r="50" spans="2:3" x14ac:dyDescent="0.25">
      <c r="B50" s="10" t="s">
        <v>1939</v>
      </c>
      <c r="C50" s="12">
        <v>26.65</v>
      </c>
    </row>
    <row r="51" spans="2:3" x14ac:dyDescent="0.25">
      <c r="B51" s="10" t="s">
        <v>1938</v>
      </c>
      <c r="C51" s="12">
        <v>26.43</v>
      </c>
    </row>
    <row r="52" spans="2:3" x14ac:dyDescent="0.25">
      <c r="B52" s="10" t="s">
        <v>1937</v>
      </c>
      <c r="C52" s="12">
        <v>26.71</v>
      </c>
    </row>
    <row r="53" spans="2:3" x14ac:dyDescent="0.25">
      <c r="B53" s="10" t="s">
        <v>1936</v>
      </c>
      <c r="C53" s="12">
        <v>27.6</v>
      </c>
    </row>
    <row r="54" spans="2:3" x14ac:dyDescent="0.25">
      <c r="B54" s="10" t="s">
        <v>1935</v>
      </c>
      <c r="C54" s="12">
        <v>27.93</v>
      </c>
    </row>
    <row r="55" spans="2:3" x14ac:dyDescent="0.25">
      <c r="B55" s="10" t="s">
        <v>1934</v>
      </c>
      <c r="C55" s="12">
        <v>28.35</v>
      </c>
    </row>
    <row r="56" spans="2:3" x14ac:dyDescent="0.25">
      <c r="B56" s="10" t="s">
        <v>1933</v>
      </c>
      <c r="C56" s="12">
        <v>28.04</v>
      </c>
    </row>
    <row r="57" spans="2:3" x14ac:dyDescent="0.25">
      <c r="B57" s="10" t="s">
        <v>1932</v>
      </c>
      <c r="C57" s="12">
        <v>27.32</v>
      </c>
    </row>
    <row r="58" spans="2:3" x14ac:dyDescent="0.25">
      <c r="B58" s="10" t="s">
        <v>1931</v>
      </c>
      <c r="C58" s="12">
        <v>26.58</v>
      </c>
    </row>
    <row r="59" spans="2:3" x14ac:dyDescent="0.25">
      <c r="B59" s="10" t="s">
        <v>1930</v>
      </c>
      <c r="C59" s="12">
        <v>26.16</v>
      </c>
    </row>
    <row r="60" spans="2:3" x14ac:dyDescent="0.25">
      <c r="B60" s="10" t="s">
        <v>1929</v>
      </c>
      <c r="C60" s="12">
        <v>26.27</v>
      </c>
    </row>
    <row r="61" spans="2:3" x14ac:dyDescent="0.25">
      <c r="B61" s="10" t="s">
        <v>1928</v>
      </c>
      <c r="C61" s="12">
        <v>26.73</v>
      </c>
    </row>
    <row r="62" spans="2:3" x14ac:dyDescent="0.25">
      <c r="B62" s="10" t="s">
        <v>1927</v>
      </c>
      <c r="C62" s="12">
        <v>26.85</v>
      </c>
    </row>
    <row r="63" spans="2:3" x14ac:dyDescent="0.25">
      <c r="B63" s="10" t="s">
        <v>1926</v>
      </c>
      <c r="C63" s="12">
        <v>27.15</v>
      </c>
    </row>
    <row r="64" spans="2:3" x14ac:dyDescent="0.25">
      <c r="B64" s="10" t="s">
        <v>1925</v>
      </c>
      <c r="C64" s="12">
        <v>27.44</v>
      </c>
    </row>
    <row r="65" spans="2:3" x14ac:dyDescent="0.25">
      <c r="B65" s="10" t="s">
        <v>1924</v>
      </c>
      <c r="C65" s="12">
        <v>28</v>
      </c>
    </row>
    <row r="66" spans="2:3" x14ac:dyDescent="0.25">
      <c r="B66" s="10" t="s">
        <v>1923</v>
      </c>
      <c r="C66" s="12">
        <v>28.09</v>
      </c>
    </row>
    <row r="67" spans="2:3" x14ac:dyDescent="0.25">
      <c r="B67" s="10" t="s">
        <v>1922</v>
      </c>
      <c r="C67" s="12">
        <v>28.08</v>
      </c>
    </row>
    <row r="68" spans="2:3" x14ac:dyDescent="0.25">
      <c r="B68" s="10" t="s">
        <v>1921</v>
      </c>
      <c r="C68" s="12">
        <v>27.21</v>
      </c>
    </row>
    <row r="69" spans="2:3" x14ac:dyDescent="0.25">
      <c r="B69" s="10" t="s">
        <v>1920</v>
      </c>
      <c r="C69" s="12">
        <v>26.98</v>
      </c>
    </row>
    <row r="70" spans="2:3" x14ac:dyDescent="0.25">
      <c r="B70" s="10" t="s">
        <v>1919</v>
      </c>
      <c r="C70" s="12">
        <v>27.77</v>
      </c>
    </row>
    <row r="71" spans="2:3" x14ac:dyDescent="0.25">
      <c r="B71" s="10" t="s">
        <v>1918</v>
      </c>
      <c r="C71" s="12">
        <v>27.79</v>
      </c>
    </row>
    <row r="72" spans="2:3" x14ac:dyDescent="0.25">
      <c r="B72" s="10" t="s">
        <v>1917</v>
      </c>
      <c r="C72" s="12">
        <v>27.77</v>
      </c>
    </row>
    <row r="73" spans="2:3" x14ac:dyDescent="0.25">
      <c r="B73" s="10" t="s">
        <v>1916</v>
      </c>
      <c r="C73" s="12">
        <v>27.46</v>
      </c>
    </row>
    <row r="74" spans="2:3" x14ac:dyDescent="0.25">
      <c r="B74" s="10" t="s">
        <v>1915</v>
      </c>
      <c r="C74" s="12">
        <v>27.36</v>
      </c>
    </row>
    <row r="75" spans="2:3" x14ac:dyDescent="0.25">
      <c r="B75" s="10" t="s">
        <v>1914</v>
      </c>
      <c r="C75" s="12">
        <v>27.28</v>
      </c>
    </row>
    <row r="76" spans="2:3" x14ac:dyDescent="0.25">
      <c r="B76" s="10" t="s">
        <v>1913</v>
      </c>
      <c r="C76" s="12">
        <v>27.13</v>
      </c>
    </row>
    <row r="77" spans="2:3" x14ac:dyDescent="0.25">
      <c r="B77" s="10" t="s">
        <v>1912</v>
      </c>
      <c r="C77" s="12">
        <v>27.12</v>
      </c>
    </row>
    <row r="78" spans="2:3" x14ac:dyDescent="0.25">
      <c r="B78" s="10" t="s">
        <v>1911</v>
      </c>
      <c r="C78" s="12">
        <v>27.07</v>
      </c>
    </row>
    <row r="79" spans="2:3" x14ac:dyDescent="0.25">
      <c r="B79" s="10" t="s">
        <v>1910</v>
      </c>
      <c r="C79" s="12">
        <v>26.75</v>
      </c>
    </row>
    <row r="80" spans="2:3" x14ac:dyDescent="0.25">
      <c r="B80" s="10" t="s">
        <v>1909</v>
      </c>
      <c r="C80" s="12">
        <v>27.03</v>
      </c>
    </row>
    <row r="81" spans="2:3" x14ac:dyDescent="0.25">
      <c r="B81" s="10" t="s">
        <v>1908</v>
      </c>
      <c r="C81" s="12">
        <v>26.97</v>
      </c>
    </row>
    <row r="82" spans="2:3" x14ac:dyDescent="0.25">
      <c r="B82" s="10" t="s">
        <v>1907</v>
      </c>
      <c r="C82" s="12">
        <v>26.69</v>
      </c>
    </row>
    <row r="83" spans="2:3" x14ac:dyDescent="0.25">
      <c r="B83" s="10" t="s">
        <v>1906</v>
      </c>
      <c r="C83" s="12">
        <v>26.19</v>
      </c>
    </row>
    <row r="84" spans="2:3" x14ac:dyDescent="0.25">
      <c r="B84" s="10" t="s">
        <v>1905</v>
      </c>
      <c r="C84" s="12">
        <v>26.31</v>
      </c>
    </row>
    <row r="85" spans="2:3" x14ac:dyDescent="0.25">
      <c r="B85" s="10" t="s">
        <v>1904</v>
      </c>
      <c r="C85" s="12">
        <v>26.2</v>
      </c>
    </row>
    <row r="86" spans="2:3" x14ac:dyDescent="0.25">
      <c r="B86" s="10" t="s">
        <v>1903</v>
      </c>
      <c r="C86" s="12">
        <v>26.32</v>
      </c>
    </row>
    <row r="87" spans="2:3" x14ac:dyDescent="0.25">
      <c r="B87" s="10" t="s">
        <v>1902</v>
      </c>
      <c r="C87" s="12">
        <v>26.71</v>
      </c>
    </row>
    <row r="88" spans="2:3" x14ac:dyDescent="0.25">
      <c r="B88" s="10" t="s">
        <v>1901</v>
      </c>
      <c r="C88" s="12">
        <v>26.05</v>
      </c>
    </row>
    <row r="89" spans="2:3" x14ac:dyDescent="0.25">
      <c r="B89" s="10" t="s">
        <v>1900</v>
      </c>
      <c r="C89" s="12">
        <v>26.02</v>
      </c>
    </row>
    <row r="90" spans="2:3" x14ac:dyDescent="0.25">
      <c r="B90" s="10" t="s">
        <v>1899</v>
      </c>
      <c r="C90" s="12">
        <v>25.91</v>
      </c>
    </row>
    <row r="91" spans="2:3" x14ac:dyDescent="0.25">
      <c r="B91" s="10" t="s">
        <v>1898</v>
      </c>
      <c r="C91" s="12">
        <v>25.92</v>
      </c>
    </row>
    <row r="92" spans="2:3" x14ac:dyDescent="0.25">
      <c r="B92" s="10" t="s">
        <v>1897</v>
      </c>
      <c r="C92" s="12">
        <v>25.66</v>
      </c>
    </row>
    <row r="93" spans="2:3" x14ac:dyDescent="0.25">
      <c r="B93" s="10" t="s">
        <v>1896</v>
      </c>
      <c r="C93" s="12">
        <v>25.15</v>
      </c>
    </row>
    <row r="94" spans="2:3" x14ac:dyDescent="0.25">
      <c r="B94" s="10" t="s">
        <v>1895</v>
      </c>
      <c r="C94" s="12">
        <v>25.08</v>
      </c>
    </row>
    <row r="95" spans="2:3" x14ac:dyDescent="0.25">
      <c r="B95" s="10" t="s">
        <v>1894</v>
      </c>
      <c r="C95" s="12">
        <v>24.55</v>
      </c>
    </row>
    <row r="96" spans="2:3" x14ac:dyDescent="0.25">
      <c r="B96" s="10" t="s">
        <v>1893</v>
      </c>
      <c r="C96" s="12">
        <v>24.66</v>
      </c>
    </row>
    <row r="97" spans="2:3" x14ac:dyDescent="0.25">
      <c r="B97" s="10" t="s">
        <v>1892</v>
      </c>
      <c r="C97" s="12">
        <v>24.43</v>
      </c>
    </row>
    <row r="98" spans="2:3" x14ac:dyDescent="0.25">
      <c r="B98" s="10" t="s">
        <v>1891</v>
      </c>
      <c r="C98" s="12">
        <v>23.98</v>
      </c>
    </row>
    <row r="99" spans="2:3" x14ac:dyDescent="0.25">
      <c r="B99" s="10" t="s">
        <v>1890</v>
      </c>
      <c r="C99" s="12">
        <v>23.28</v>
      </c>
    </row>
    <row r="100" spans="2:3" x14ac:dyDescent="0.25">
      <c r="B100" s="10" t="s">
        <v>1889</v>
      </c>
      <c r="C100" s="12">
        <v>23.5</v>
      </c>
    </row>
    <row r="101" spans="2:3" x14ac:dyDescent="0.25">
      <c r="B101" s="10" t="s">
        <v>1888</v>
      </c>
      <c r="C101" s="12">
        <v>23.09</v>
      </c>
    </row>
    <row r="102" spans="2:3" x14ac:dyDescent="0.25">
      <c r="B102" s="10" t="s">
        <v>1887</v>
      </c>
      <c r="C102" s="12">
        <v>23.22</v>
      </c>
    </row>
    <row r="103" spans="2:3" x14ac:dyDescent="0.25">
      <c r="B103" s="10" t="s">
        <v>1886</v>
      </c>
      <c r="C103" s="12">
        <v>22.95</v>
      </c>
    </row>
    <row r="104" spans="2:3" x14ac:dyDescent="0.25">
      <c r="B104" s="10" t="s">
        <v>1885</v>
      </c>
      <c r="C104" s="12">
        <v>22.71</v>
      </c>
    </row>
    <row r="105" spans="2:3" x14ac:dyDescent="0.25">
      <c r="B105" s="10" t="s">
        <v>1884</v>
      </c>
      <c r="C105" s="12">
        <v>22.8</v>
      </c>
    </row>
    <row r="106" spans="2:3" x14ac:dyDescent="0.25">
      <c r="B106" s="10" t="s">
        <v>1883</v>
      </c>
      <c r="C106" s="12">
        <v>22.86</v>
      </c>
    </row>
    <row r="107" spans="2:3" x14ac:dyDescent="0.25">
      <c r="B107" s="10" t="s">
        <v>1882</v>
      </c>
      <c r="C107" s="12">
        <v>22.75</v>
      </c>
    </row>
    <row r="108" spans="2:3" x14ac:dyDescent="0.25">
      <c r="B108" s="10" t="s">
        <v>1881</v>
      </c>
      <c r="C108" s="12">
        <v>23.21</v>
      </c>
    </row>
    <row r="109" spans="2:3" x14ac:dyDescent="0.25">
      <c r="B109" s="10" t="s">
        <v>1880</v>
      </c>
      <c r="C109" s="12">
        <v>22.51</v>
      </c>
    </row>
    <row r="110" spans="2:3" x14ac:dyDescent="0.25">
      <c r="B110" s="10" t="s">
        <v>1879</v>
      </c>
      <c r="C110" s="12">
        <v>22.28</v>
      </c>
    </row>
    <row r="111" spans="2:3" x14ac:dyDescent="0.25">
      <c r="B111" s="10" t="s">
        <v>1878</v>
      </c>
      <c r="C111" s="12">
        <v>22.96</v>
      </c>
    </row>
    <row r="112" spans="2:3" x14ac:dyDescent="0.25">
      <c r="B112" s="10" t="s">
        <v>1877</v>
      </c>
      <c r="C112" s="12">
        <v>22.65</v>
      </c>
    </row>
    <row r="113" spans="2:3" x14ac:dyDescent="0.25">
      <c r="B113" s="10" t="s">
        <v>1876</v>
      </c>
      <c r="C113" s="12">
        <v>22.28</v>
      </c>
    </row>
    <row r="114" spans="2:3" x14ac:dyDescent="0.25">
      <c r="B114" s="10" t="s">
        <v>1875</v>
      </c>
      <c r="C114" s="12">
        <v>22.39</v>
      </c>
    </row>
    <row r="115" spans="2:3" x14ac:dyDescent="0.25">
      <c r="B115" s="10" t="s">
        <v>1874</v>
      </c>
      <c r="C115" s="12">
        <v>22.65</v>
      </c>
    </row>
    <row r="116" spans="2:3" x14ac:dyDescent="0.25">
      <c r="B116" s="10" t="s">
        <v>1873</v>
      </c>
      <c r="C116" s="12">
        <v>22.73</v>
      </c>
    </row>
    <row r="117" spans="2:3" x14ac:dyDescent="0.25">
      <c r="B117" s="10" t="s">
        <v>1872</v>
      </c>
      <c r="C117" s="12">
        <v>23.05</v>
      </c>
    </row>
    <row r="118" spans="2:3" x14ac:dyDescent="0.25">
      <c r="B118" s="10" t="s">
        <v>1871</v>
      </c>
      <c r="C118" s="12">
        <v>23.57</v>
      </c>
    </row>
    <row r="119" spans="2:3" x14ac:dyDescent="0.25">
      <c r="B119" s="10" t="s">
        <v>1870</v>
      </c>
      <c r="C119" s="12">
        <v>23.94</v>
      </c>
    </row>
    <row r="120" spans="2:3" x14ac:dyDescent="0.25">
      <c r="B120" s="10" t="s">
        <v>1869</v>
      </c>
      <c r="C120" s="12">
        <v>23.79</v>
      </c>
    </row>
    <row r="121" spans="2:3" x14ac:dyDescent="0.25">
      <c r="B121" s="10" t="s">
        <v>1868</v>
      </c>
      <c r="C121" s="12">
        <v>24.04</v>
      </c>
    </row>
    <row r="122" spans="2:3" x14ac:dyDescent="0.25">
      <c r="B122" s="10" t="s">
        <v>1867</v>
      </c>
      <c r="C122" s="12">
        <v>23.87</v>
      </c>
    </row>
    <row r="123" spans="2:3" x14ac:dyDescent="0.25">
      <c r="B123" s="10" t="s">
        <v>1866</v>
      </c>
      <c r="C123" s="12">
        <v>24.03</v>
      </c>
    </row>
    <row r="124" spans="2:3" x14ac:dyDescent="0.25">
      <c r="B124" s="10" t="s">
        <v>1865</v>
      </c>
      <c r="C124" s="12">
        <v>23.96</v>
      </c>
    </row>
    <row r="125" spans="2:3" x14ac:dyDescent="0.25">
      <c r="B125" s="10" t="s">
        <v>1864</v>
      </c>
      <c r="C125" s="12">
        <v>23.97</v>
      </c>
    </row>
    <row r="126" spans="2:3" x14ac:dyDescent="0.25">
      <c r="B126" s="10" t="s">
        <v>1863</v>
      </c>
      <c r="C126" s="12">
        <v>24</v>
      </c>
    </row>
    <row r="127" spans="2:3" x14ac:dyDescent="0.25">
      <c r="B127" s="10" t="s">
        <v>1862</v>
      </c>
      <c r="C127" s="12">
        <v>24.7</v>
      </c>
    </row>
    <row r="128" spans="2:3" x14ac:dyDescent="0.25">
      <c r="B128" s="10" t="s">
        <v>1861</v>
      </c>
      <c r="C128" s="12">
        <v>25.21</v>
      </c>
    </row>
    <row r="129" spans="2:3" x14ac:dyDescent="0.25">
      <c r="B129" s="10" t="s">
        <v>1860</v>
      </c>
      <c r="C129" s="12">
        <v>24.75</v>
      </c>
    </row>
    <row r="130" spans="2:3" x14ac:dyDescent="0.25">
      <c r="B130" s="10" t="s">
        <v>1859</v>
      </c>
      <c r="C130" s="12">
        <v>24.24</v>
      </c>
    </row>
    <row r="131" spans="2:3" x14ac:dyDescent="0.25">
      <c r="B131" s="10" t="s">
        <v>1858</v>
      </c>
      <c r="C131" s="12">
        <v>23.63</v>
      </c>
    </row>
    <row r="132" spans="2:3" x14ac:dyDescent="0.25">
      <c r="B132" s="10" t="s">
        <v>1857</v>
      </c>
      <c r="C132" s="12">
        <v>23.44</v>
      </c>
    </row>
    <row r="133" spans="2:3" x14ac:dyDescent="0.25">
      <c r="B133" s="10" t="s">
        <v>1856</v>
      </c>
      <c r="C133" s="12">
        <v>23.18</v>
      </c>
    </row>
    <row r="134" spans="2:3" x14ac:dyDescent="0.25">
      <c r="B134" s="10" t="s">
        <v>1855</v>
      </c>
      <c r="C134" s="12">
        <v>22.82</v>
      </c>
    </row>
    <row r="135" spans="2:3" x14ac:dyDescent="0.25">
      <c r="B135" s="10" t="s">
        <v>1854</v>
      </c>
      <c r="C135" s="12">
        <v>22.7</v>
      </c>
    </row>
    <row r="136" spans="2:3" x14ac:dyDescent="0.25">
      <c r="B136" s="10" t="s">
        <v>1853</v>
      </c>
      <c r="C136" s="12">
        <v>22.8</v>
      </c>
    </row>
    <row r="137" spans="2:3" x14ac:dyDescent="0.25">
      <c r="B137" s="10" t="s">
        <v>1852</v>
      </c>
      <c r="C137" s="12">
        <v>22.93</v>
      </c>
    </row>
    <row r="138" spans="2:3" x14ac:dyDescent="0.25">
      <c r="B138" s="10" t="s">
        <v>1851</v>
      </c>
      <c r="C138" s="12">
        <v>23.25</v>
      </c>
    </row>
    <row r="139" spans="2:3" x14ac:dyDescent="0.25">
      <c r="B139" s="10" t="s">
        <v>1850</v>
      </c>
      <c r="C139" s="12">
        <v>24.1</v>
      </c>
    </row>
    <row r="140" spans="2:3" x14ac:dyDescent="0.25">
      <c r="B140" s="10" t="s">
        <v>1849</v>
      </c>
      <c r="C140" s="12">
        <v>24.05</v>
      </c>
    </row>
    <row r="141" spans="2:3" x14ac:dyDescent="0.25">
      <c r="B141" s="10" t="s">
        <v>1848</v>
      </c>
      <c r="C141" s="12">
        <v>24.22</v>
      </c>
    </row>
    <row r="142" spans="2:3" x14ac:dyDescent="0.25">
      <c r="B142" s="10" t="s">
        <v>1847</v>
      </c>
      <c r="C142" s="12">
        <v>23.48</v>
      </c>
    </row>
    <row r="143" spans="2:3" x14ac:dyDescent="0.25">
      <c r="B143" s="10" t="s">
        <v>1846</v>
      </c>
      <c r="C143" s="12">
        <v>23.37</v>
      </c>
    </row>
    <row r="144" spans="2:3" x14ac:dyDescent="0.25">
      <c r="B144" s="10" t="s">
        <v>1845</v>
      </c>
      <c r="C144" s="12">
        <v>23.71</v>
      </c>
    </row>
    <row r="145" spans="2:3" x14ac:dyDescent="0.25">
      <c r="B145" s="10" t="s">
        <v>1844</v>
      </c>
      <c r="C145" s="12">
        <v>23.55</v>
      </c>
    </row>
    <row r="146" spans="2:3" x14ac:dyDescent="0.25">
      <c r="B146" s="10" t="s">
        <v>1843</v>
      </c>
      <c r="C146" s="12">
        <v>23.85</v>
      </c>
    </row>
    <row r="147" spans="2:3" x14ac:dyDescent="0.25">
      <c r="B147" s="10" t="s">
        <v>1842</v>
      </c>
      <c r="C147" s="12">
        <v>23.74</v>
      </c>
    </row>
    <row r="148" spans="2:3" x14ac:dyDescent="0.25">
      <c r="B148" s="10" t="s">
        <v>1841</v>
      </c>
      <c r="C148" s="12">
        <v>23.68</v>
      </c>
    </row>
    <row r="149" spans="2:3" x14ac:dyDescent="0.25">
      <c r="B149" s="10" t="s">
        <v>1840</v>
      </c>
      <c r="C149" s="12">
        <v>23.22</v>
      </c>
    </row>
    <row r="150" spans="2:3" x14ac:dyDescent="0.25">
      <c r="B150" s="10" t="s">
        <v>1839</v>
      </c>
      <c r="C150" s="12">
        <v>22.93</v>
      </c>
    </row>
    <row r="151" spans="2:3" x14ac:dyDescent="0.25">
      <c r="B151" s="10" t="s">
        <v>1838</v>
      </c>
      <c r="C151" s="12">
        <v>23.09</v>
      </c>
    </row>
    <row r="152" spans="2:3" x14ac:dyDescent="0.25">
      <c r="B152" s="10" t="s">
        <v>1837</v>
      </c>
      <c r="C152" s="12">
        <v>22.78</v>
      </c>
    </row>
    <row r="153" spans="2:3" x14ac:dyDescent="0.25">
      <c r="B153" s="10" t="s">
        <v>1836</v>
      </c>
      <c r="C153" s="12">
        <v>22.62</v>
      </c>
    </row>
    <row r="154" spans="2:3" x14ac:dyDescent="0.25">
      <c r="B154" s="10" t="s">
        <v>1835</v>
      </c>
      <c r="C154" s="12">
        <v>22.47</v>
      </c>
    </row>
    <row r="155" spans="2:3" x14ac:dyDescent="0.25">
      <c r="B155" s="10" t="s">
        <v>1834</v>
      </c>
      <c r="C155" s="12">
        <v>21.94</v>
      </c>
    </row>
    <row r="156" spans="2:3" x14ac:dyDescent="0.25">
      <c r="B156" s="10" t="s">
        <v>1833</v>
      </c>
      <c r="C156" s="12">
        <v>22.45</v>
      </c>
    </row>
    <row r="157" spans="2:3" x14ac:dyDescent="0.25">
      <c r="B157" s="10" t="s">
        <v>1832</v>
      </c>
      <c r="C157" s="12">
        <v>23</v>
      </c>
    </row>
    <row r="158" spans="2:3" x14ac:dyDescent="0.25">
      <c r="B158" s="10" t="s">
        <v>1831</v>
      </c>
      <c r="C158" s="12">
        <v>23.39</v>
      </c>
    </row>
    <row r="159" spans="2:3" x14ac:dyDescent="0.25">
      <c r="B159" s="10" t="s">
        <v>1830</v>
      </c>
      <c r="C159" s="12">
        <v>23.5</v>
      </c>
    </row>
    <row r="160" spans="2:3" x14ac:dyDescent="0.25">
      <c r="B160" s="10" t="s">
        <v>1829</v>
      </c>
      <c r="C160" s="12">
        <v>22.93</v>
      </c>
    </row>
    <row r="161" spans="2:3" x14ac:dyDescent="0.25">
      <c r="B161" s="10" t="s">
        <v>1828</v>
      </c>
      <c r="C161" s="12">
        <v>23.19</v>
      </c>
    </row>
    <row r="162" spans="2:3" x14ac:dyDescent="0.25">
      <c r="B162" s="10" t="s">
        <v>1827</v>
      </c>
      <c r="C162" s="12">
        <v>22.78</v>
      </c>
    </row>
    <row r="163" spans="2:3" x14ac:dyDescent="0.25">
      <c r="B163" s="10" t="s">
        <v>1826</v>
      </c>
      <c r="C163" s="12">
        <v>22.51</v>
      </c>
    </row>
    <row r="164" spans="2:3" x14ac:dyDescent="0.25">
      <c r="B164" s="10" t="s">
        <v>1825</v>
      </c>
      <c r="C164" s="12">
        <v>22.68</v>
      </c>
    </row>
    <row r="165" spans="2:3" x14ac:dyDescent="0.25">
      <c r="B165" s="10" t="s">
        <v>1824</v>
      </c>
      <c r="C165" s="12">
        <v>22.62</v>
      </c>
    </row>
    <row r="166" spans="2:3" x14ac:dyDescent="0.25">
      <c r="B166" s="10" t="s">
        <v>1823</v>
      </c>
      <c r="C166" s="12">
        <v>22.97</v>
      </c>
    </row>
    <row r="167" spans="2:3" x14ac:dyDescent="0.25">
      <c r="B167" s="10" t="s">
        <v>1822</v>
      </c>
      <c r="C167" s="12">
        <v>22.99</v>
      </c>
    </row>
    <row r="168" spans="2:3" x14ac:dyDescent="0.25">
      <c r="B168" s="10" t="s">
        <v>1821</v>
      </c>
      <c r="C168" s="12">
        <v>22.52</v>
      </c>
    </row>
    <row r="169" spans="2:3" x14ac:dyDescent="0.25">
      <c r="B169" s="10" t="s">
        <v>1820</v>
      </c>
      <c r="C169" s="12">
        <v>23.14</v>
      </c>
    </row>
    <row r="170" spans="2:3" x14ac:dyDescent="0.25">
      <c r="B170" s="10" t="s">
        <v>1819</v>
      </c>
      <c r="C170" s="12">
        <v>22.91</v>
      </c>
    </row>
    <row r="171" spans="2:3" x14ac:dyDescent="0.25">
      <c r="B171" s="10" t="s">
        <v>1818</v>
      </c>
      <c r="C171" s="12">
        <v>23.05</v>
      </c>
    </row>
    <row r="172" spans="2:3" x14ac:dyDescent="0.25">
      <c r="B172" s="10" t="s">
        <v>1817</v>
      </c>
      <c r="C172" s="12">
        <v>23.44</v>
      </c>
    </row>
    <row r="173" spans="2:3" x14ac:dyDescent="0.25">
      <c r="B173" s="10" t="s">
        <v>1816</v>
      </c>
      <c r="C173" s="12">
        <v>23.5</v>
      </c>
    </row>
    <row r="174" spans="2:3" x14ac:dyDescent="0.25">
      <c r="B174" s="10" t="s">
        <v>1815</v>
      </c>
      <c r="C174" s="12">
        <v>22.84</v>
      </c>
    </row>
    <row r="175" spans="2:3" x14ac:dyDescent="0.25">
      <c r="B175" s="10" t="s">
        <v>1814</v>
      </c>
      <c r="C175" s="12">
        <v>22.69</v>
      </c>
    </row>
    <row r="176" spans="2:3" x14ac:dyDescent="0.25">
      <c r="B176" s="10" t="s">
        <v>1813</v>
      </c>
      <c r="C176" s="12">
        <v>22.95</v>
      </c>
    </row>
    <row r="177" spans="2:3" x14ac:dyDescent="0.25">
      <c r="B177" s="10" t="s">
        <v>1812</v>
      </c>
      <c r="C177" s="12">
        <v>22.67</v>
      </c>
    </row>
    <row r="178" spans="2:3" x14ac:dyDescent="0.25">
      <c r="B178" s="10" t="s">
        <v>1811</v>
      </c>
      <c r="C178" s="12">
        <v>22.43</v>
      </c>
    </row>
    <row r="179" spans="2:3" x14ac:dyDescent="0.25">
      <c r="B179" s="10" t="s">
        <v>1810</v>
      </c>
      <c r="C179" s="12">
        <v>22.4</v>
      </c>
    </row>
    <row r="180" spans="2:3" x14ac:dyDescent="0.25">
      <c r="B180" s="10" t="s">
        <v>1809</v>
      </c>
      <c r="C180" s="12">
        <v>22.2</v>
      </c>
    </row>
    <row r="181" spans="2:3" x14ac:dyDescent="0.25">
      <c r="B181" s="10" t="s">
        <v>1808</v>
      </c>
      <c r="C181" s="12">
        <v>21.35</v>
      </c>
    </row>
    <row r="182" spans="2:3" x14ac:dyDescent="0.25">
      <c r="B182" s="10" t="s">
        <v>1807</v>
      </c>
      <c r="C182" s="12">
        <v>19.27</v>
      </c>
    </row>
    <row r="183" spans="2:3" x14ac:dyDescent="0.25">
      <c r="B183" s="10" t="s">
        <v>1806</v>
      </c>
      <c r="C183" s="12">
        <v>19.43</v>
      </c>
    </row>
    <row r="184" spans="2:3" x14ac:dyDescent="0.25">
      <c r="B184" s="10" t="s">
        <v>1805</v>
      </c>
      <c r="C184" s="12">
        <v>18.760000000000002</v>
      </c>
    </row>
    <row r="185" spans="2:3" x14ac:dyDescent="0.25">
      <c r="B185" s="10" t="s">
        <v>1804</v>
      </c>
      <c r="C185" s="12">
        <v>18.600000000000001</v>
      </c>
    </row>
    <row r="186" spans="2:3" x14ac:dyDescent="0.25">
      <c r="B186" s="10" t="s">
        <v>1803</v>
      </c>
      <c r="C186" s="12">
        <v>17.670000000000002</v>
      </c>
    </row>
    <row r="187" spans="2:3" x14ac:dyDescent="0.25">
      <c r="B187" s="10" t="s">
        <v>1802</v>
      </c>
      <c r="C187" s="12">
        <v>17.46</v>
      </c>
    </row>
    <row r="188" spans="2:3" x14ac:dyDescent="0.25">
      <c r="B188" s="10" t="s">
        <v>1801</v>
      </c>
      <c r="C188" s="12">
        <v>18.260000000000002</v>
      </c>
    </row>
    <row r="189" spans="2:3" x14ac:dyDescent="0.25">
      <c r="B189" s="10" t="s">
        <v>1800</v>
      </c>
      <c r="C189" s="12">
        <v>18.07</v>
      </c>
    </row>
    <row r="190" spans="2:3" x14ac:dyDescent="0.25">
      <c r="B190" s="10" t="s">
        <v>1799</v>
      </c>
      <c r="C190" s="12">
        <v>18.09</v>
      </c>
    </row>
    <row r="191" spans="2:3" x14ac:dyDescent="0.25">
      <c r="B191" s="10" t="s">
        <v>1798</v>
      </c>
      <c r="C191" s="12">
        <v>18.05</v>
      </c>
    </row>
    <row r="192" spans="2:3" x14ac:dyDescent="0.25">
      <c r="B192" s="10" t="s">
        <v>1797</v>
      </c>
      <c r="C192" s="12">
        <v>18.48</v>
      </c>
    </row>
    <row r="193" spans="2:3" x14ac:dyDescent="0.25">
      <c r="B193" s="10" t="s">
        <v>1796</v>
      </c>
      <c r="C193" s="12">
        <v>18.809999999999999</v>
      </c>
    </row>
    <row r="194" spans="2:3" x14ac:dyDescent="0.25">
      <c r="B194" s="10" t="s">
        <v>1795</v>
      </c>
      <c r="C194" s="12">
        <v>19.649999999999999</v>
      </c>
    </row>
    <row r="195" spans="2:3" x14ac:dyDescent="0.25">
      <c r="B195" s="10" t="s">
        <v>1794</v>
      </c>
      <c r="C195" s="12">
        <v>20.41</v>
      </c>
    </row>
    <row r="196" spans="2:3" x14ac:dyDescent="0.25">
      <c r="B196" s="10" t="s">
        <v>1793</v>
      </c>
      <c r="C196" s="12">
        <v>20.86</v>
      </c>
    </row>
    <row r="197" spans="2:3" x14ac:dyDescent="0.25">
      <c r="B197" s="10" t="s">
        <v>1792</v>
      </c>
      <c r="C197" s="12">
        <v>21.17</v>
      </c>
    </row>
    <row r="198" spans="2:3" x14ac:dyDescent="0.25">
      <c r="B198" s="10" t="s">
        <v>1791</v>
      </c>
      <c r="C198" s="12">
        <v>21.78</v>
      </c>
    </row>
    <row r="199" spans="2:3" x14ac:dyDescent="0.25">
      <c r="B199" s="10" t="s">
        <v>1790</v>
      </c>
      <c r="C199" s="12">
        <v>22.21</v>
      </c>
    </row>
    <row r="200" spans="2:3" x14ac:dyDescent="0.25">
      <c r="B200" s="10" t="s">
        <v>1789</v>
      </c>
      <c r="C200" s="12">
        <v>22.67</v>
      </c>
    </row>
    <row r="201" spans="2:3" x14ac:dyDescent="0.25">
      <c r="B201" s="10" t="s">
        <v>1788</v>
      </c>
      <c r="C201" s="12">
        <v>22.6</v>
      </c>
    </row>
    <row r="202" spans="2:3" x14ac:dyDescent="0.25">
      <c r="B202" s="10" t="s">
        <v>1787</v>
      </c>
      <c r="C202" s="12">
        <v>22.58</v>
      </c>
    </row>
    <row r="203" spans="2:3" x14ac:dyDescent="0.25">
      <c r="B203" s="10" t="s">
        <v>1786</v>
      </c>
      <c r="C203" s="12">
        <v>21.72</v>
      </c>
    </row>
    <row r="204" spans="2:3" x14ac:dyDescent="0.25">
      <c r="B204" s="10" t="s">
        <v>1785</v>
      </c>
      <c r="C204" s="12">
        <v>21.03</v>
      </c>
    </row>
    <row r="205" spans="2:3" x14ac:dyDescent="0.25">
      <c r="B205" s="10" t="s">
        <v>1784</v>
      </c>
      <c r="C205" s="12">
        <v>20.47</v>
      </c>
    </row>
    <row r="206" spans="2:3" x14ac:dyDescent="0.25">
      <c r="B206" s="10" t="s">
        <v>1783</v>
      </c>
      <c r="C206" s="12">
        <v>20.66</v>
      </c>
    </row>
    <row r="207" spans="2:3" x14ac:dyDescent="0.25">
      <c r="B207" s="10" t="s">
        <v>1782</v>
      </c>
      <c r="C207" s="12">
        <v>21.22</v>
      </c>
    </row>
    <row r="208" spans="2:3" x14ac:dyDescent="0.25">
      <c r="B208" s="10" t="s">
        <v>1781</v>
      </c>
      <c r="C208" s="12">
        <v>21.24</v>
      </c>
    </row>
    <row r="209" spans="2:3" x14ac:dyDescent="0.25">
      <c r="B209" s="10" t="s">
        <v>1780</v>
      </c>
      <c r="C209" s="12">
        <v>21.24</v>
      </c>
    </row>
    <row r="210" spans="2:3" x14ac:dyDescent="0.25">
      <c r="B210" s="10" t="s">
        <v>1779</v>
      </c>
      <c r="C210" s="12">
        <v>20.61</v>
      </c>
    </row>
    <row r="211" spans="2:3" x14ac:dyDescent="0.25">
      <c r="B211" s="10" t="s">
        <v>1778</v>
      </c>
      <c r="C211" s="12">
        <v>20.9</v>
      </c>
    </row>
    <row r="212" spans="2:3" x14ac:dyDescent="0.25">
      <c r="B212" s="10" t="s">
        <v>1777</v>
      </c>
      <c r="C212" s="12">
        <v>22.06</v>
      </c>
    </row>
    <row r="213" spans="2:3" x14ac:dyDescent="0.25">
      <c r="B213" s="10" t="s">
        <v>1776</v>
      </c>
      <c r="C213" s="12">
        <v>22.09</v>
      </c>
    </row>
    <row r="214" spans="2:3" x14ac:dyDescent="0.25">
      <c r="B214" s="10" t="s">
        <v>1775</v>
      </c>
      <c r="C214" s="12">
        <v>22.25</v>
      </c>
    </row>
    <row r="215" spans="2:3" x14ac:dyDescent="0.25">
      <c r="B215" s="10" t="s">
        <v>1774</v>
      </c>
      <c r="C215" s="12">
        <v>21.93</v>
      </c>
    </row>
    <row r="216" spans="2:3" x14ac:dyDescent="0.25">
      <c r="B216" s="10" t="s">
        <v>1773</v>
      </c>
      <c r="C216" s="12">
        <v>21.86</v>
      </c>
    </row>
    <row r="217" spans="2:3" x14ac:dyDescent="0.25">
      <c r="B217" s="10" t="s">
        <v>1772</v>
      </c>
      <c r="C217" s="12">
        <v>22.71</v>
      </c>
    </row>
    <row r="218" spans="2:3" x14ac:dyDescent="0.25">
      <c r="B218" s="10" t="s">
        <v>1771</v>
      </c>
      <c r="C218" s="12">
        <v>23.3</v>
      </c>
    </row>
    <row r="219" spans="2:3" x14ac:dyDescent="0.25">
      <c r="B219" s="10" t="s">
        <v>1770</v>
      </c>
      <c r="C219" s="12">
        <v>23.26</v>
      </c>
    </row>
    <row r="220" spans="2:3" x14ac:dyDescent="0.25">
      <c r="B220" s="10" t="s">
        <v>1769</v>
      </c>
      <c r="C220" s="12">
        <v>23.05</v>
      </c>
    </row>
    <row r="221" spans="2:3" x14ac:dyDescent="0.25">
      <c r="B221" s="10" t="s">
        <v>1768</v>
      </c>
      <c r="C221" s="12">
        <v>23.2</v>
      </c>
    </row>
    <row r="222" spans="2:3" x14ac:dyDescent="0.25">
      <c r="B222" s="10" t="s">
        <v>1767</v>
      </c>
      <c r="C222" s="12">
        <v>23.77</v>
      </c>
    </row>
    <row r="223" spans="2:3" x14ac:dyDescent="0.25">
      <c r="B223" s="10" t="s">
        <v>1766</v>
      </c>
      <c r="C223" s="12">
        <v>24.35</v>
      </c>
    </row>
    <row r="224" spans="2:3" x14ac:dyDescent="0.25">
      <c r="B224" s="10" t="s">
        <v>1765</v>
      </c>
      <c r="C224" s="12">
        <v>24.73</v>
      </c>
    </row>
    <row r="225" spans="2:3" x14ac:dyDescent="0.25">
      <c r="B225" s="10" t="s">
        <v>1764</v>
      </c>
      <c r="C225" s="12">
        <v>24.88</v>
      </c>
    </row>
    <row r="226" spans="2:3" x14ac:dyDescent="0.25">
      <c r="B226" s="10" t="s">
        <v>1763</v>
      </c>
      <c r="C226" s="12">
        <v>25.1</v>
      </c>
    </row>
    <row r="227" spans="2:3" x14ac:dyDescent="0.25">
      <c r="B227" s="10" t="s">
        <v>1762</v>
      </c>
      <c r="C227" s="12">
        <v>24.99</v>
      </c>
    </row>
    <row r="228" spans="2:3" x14ac:dyDescent="0.25">
      <c r="B228" s="10" t="s">
        <v>1761</v>
      </c>
      <c r="C228" s="12">
        <v>25.08</v>
      </c>
    </row>
    <row r="229" spans="2:3" x14ac:dyDescent="0.25">
      <c r="B229" s="10" t="s">
        <v>1760</v>
      </c>
      <c r="C229" s="12">
        <v>24.82</v>
      </c>
    </row>
    <row r="230" spans="2:3" x14ac:dyDescent="0.25">
      <c r="B230" s="10" t="s">
        <v>1759</v>
      </c>
      <c r="C230" s="12">
        <v>24.37</v>
      </c>
    </row>
    <row r="231" spans="2:3" x14ac:dyDescent="0.25">
      <c r="B231" s="10" t="s">
        <v>1758</v>
      </c>
      <c r="C231" s="12">
        <v>23.81</v>
      </c>
    </row>
    <row r="232" spans="2:3" x14ac:dyDescent="0.25">
      <c r="B232" s="10" t="s">
        <v>1757</v>
      </c>
      <c r="C232" s="12">
        <v>23.71</v>
      </c>
    </row>
    <row r="233" spans="2:3" x14ac:dyDescent="0.25">
      <c r="B233" s="10" t="s">
        <v>1756</v>
      </c>
      <c r="C233" s="12">
        <v>23.22</v>
      </c>
    </row>
    <row r="234" spans="2:3" x14ac:dyDescent="0.25">
      <c r="B234" s="10" t="s">
        <v>1755</v>
      </c>
      <c r="C234" s="12">
        <v>22.91</v>
      </c>
    </row>
    <row r="235" spans="2:3" x14ac:dyDescent="0.25">
      <c r="B235" s="10" t="s">
        <v>1754</v>
      </c>
      <c r="C235" s="12">
        <v>22.06</v>
      </c>
    </row>
    <row r="236" spans="2:3" x14ac:dyDescent="0.25">
      <c r="B236" s="10" t="s">
        <v>1753</v>
      </c>
      <c r="C236" s="12">
        <v>21.61</v>
      </c>
    </row>
    <row r="237" spans="2:3" x14ac:dyDescent="0.25">
      <c r="B237" s="10" t="s">
        <v>1752</v>
      </c>
      <c r="C237" s="12">
        <v>21.61</v>
      </c>
    </row>
    <row r="238" spans="2:3" x14ac:dyDescent="0.25">
      <c r="B238" s="10" t="s">
        <v>1751</v>
      </c>
      <c r="C238" s="12">
        <v>21.25</v>
      </c>
    </row>
    <row r="239" spans="2:3" x14ac:dyDescent="0.25">
      <c r="B239" s="10" t="s">
        <v>1750</v>
      </c>
      <c r="C239" s="12">
        <v>21.06</v>
      </c>
    </row>
    <row r="240" spans="2:3" x14ac:dyDescent="0.25">
      <c r="B240" s="10" t="s">
        <v>1749</v>
      </c>
      <c r="C240" s="12">
        <v>21.25</v>
      </c>
    </row>
    <row r="241" spans="2:3" x14ac:dyDescent="0.25">
      <c r="B241" s="10" t="s">
        <v>1748</v>
      </c>
      <c r="C241" s="12">
        <v>21.73</v>
      </c>
    </row>
    <row r="242" spans="2:3" x14ac:dyDescent="0.25">
      <c r="B242" s="10" t="s">
        <v>1747</v>
      </c>
      <c r="C242" s="12">
        <v>22.46</v>
      </c>
    </row>
    <row r="243" spans="2:3" x14ac:dyDescent="0.25">
      <c r="B243" s="10" t="s">
        <v>1746</v>
      </c>
      <c r="C243" s="12">
        <v>23.43</v>
      </c>
    </row>
    <row r="244" spans="2:3" x14ac:dyDescent="0.25">
      <c r="B244" s="10" t="s">
        <v>1745</v>
      </c>
      <c r="C244" s="12">
        <v>23.45</v>
      </c>
    </row>
    <row r="245" spans="2:3" x14ac:dyDescent="0.25">
      <c r="B245" s="10" t="s">
        <v>1744</v>
      </c>
      <c r="C245" s="12">
        <v>22.83</v>
      </c>
    </row>
    <row r="246" spans="2:3" x14ac:dyDescent="0.25">
      <c r="B246" s="10" t="s">
        <v>1743</v>
      </c>
      <c r="C246" s="12">
        <v>22.39</v>
      </c>
    </row>
    <row r="247" spans="2:3" x14ac:dyDescent="0.25">
      <c r="B247" s="10" t="s">
        <v>1742</v>
      </c>
      <c r="C247" s="12">
        <v>22.08</v>
      </c>
    </row>
    <row r="248" spans="2:3" x14ac:dyDescent="0.25">
      <c r="B248" s="10" t="s">
        <v>1741</v>
      </c>
      <c r="C248" s="12">
        <v>22.29</v>
      </c>
    </row>
    <row r="249" spans="2:3" x14ac:dyDescent="0.25">
      <c r="B249" s="10" t="s">
        <v>1740</v>
      </c>
      <c r="C249" s="12">
        <v>22.51</v>
      </c>
    </row>
    <row r="250" spans="2:3" x14ac:dyDescent="0.25">
      <c r="B250" s="10" t="s">
        <v>1739</v>
      </c>
      <c r="C250" s="12">
        <v>22.47</v>
      </c>
    </row>
    <row r="251" spans="2:3" x14ac:dyDescent="0.25">
      <c r="B251" s="10" t="s">
        <v>1738</v>
      </c>
      <c r="C251" s="12">
        <v>22.04</v>
      </c>
    </row>
    <row r="252" spans="2:3" x14ac:dyDescent="0.25">
      <c r="B252" s="10" t="s">
        <v>1737</v>
      </c>
      <c r="C252" s="12">
        <v>21.46</v>
      </c>
    </row>
    <row r="253" spans="2:3" x14ac:dyDescent="0.25">
      <c r="B253" s="10" t="s">
        <v>1736</v>
      </c>
      <c r="C253" s="12">
        <v>21.37</v>
      </c>
    </row>
    <row r="254" spans="2:3" x14ac:dyDescent="0.25">
      <c r="B254" s="10" t="s">
        <v>1735</v>
      </c>
      <c r="C254" s="12">
        <v>20.86</v>
      </c>
    </row>
    <row r="255" spans="2:3" x14ac:dyDescent="0.25">
      <c r="B255" s="10" t="s">
        <v>1734</v>
      </c>
      <c r="C255" s="12">
        <v>20.46</v>
      </c>
    </row>
    <row r="256" spans="2:3" x14ac:dyDescent="0.25">
      <c r="B256" s="10" t="s">
        <v>1733</v>
      </c>
      <c r="C256" s="12">
        <v>20.11</v>
      </c>
    </row>
    <row r="257" spans="2:3" x14ac:dyDescent="0.25">
      <c r="B257" s="10" t="s">
        <v>1732</v>
      </c>
      <c r="C257" s="12">
        <v>19.940000000000001</v>
      </c>
    </row>
    <row r="258" spans="2:3" x14ac:dyDescent="0.25">
      <c r="B258" s="10" t="s">
        <v>1731</v>
      </c>
      <c r="C258" s="12">
        <v>20.440000000000001</v>
      </c>
    </row>
    <row r="259" spans="2:3" x14ac:dyDescent="0.25">
      <c r="B259" s="10" t="s">
        <v>1730</v>
      </c>
      <c r="C259" s="12">
        <v>20.47</v>
      </c>
    </row>
    <row r="260" spans="2:3" x14ac:dyDescent="0.25">
      <c r="B260" s="10" t="s">
        <v>1729</v>
      </c>
      <c r="C260" s="12">
        <v>21.06</v>
      </c>
    </row>
    <row r="261" spans="2:3" x14ac:dyDescent="0.25">
      <c r="B261" s="10" t="s">
        <v>1728</v>
      </c>
      <c r="C261" s="12">
        <v>21.79</v>
      </c>
    </row>
    <row r="262" spans="2:3" x14ac:dyDescent="0.25">
      <c r="B262" s="10" t="s">
        <v>1727</v>
      </c>
      <c r="C262" s="12">
        <v>22.88</v>
      </c>
    </row>
    <row r="263" spans="2:3" x14ac:dyDescent="0.25">
      <c r="B263" s="10" t="s">
        <v>1726</v>
      </c>
      <c r="C263" s="12">
        <v>23.67</v>
      </c>
    </row>
    <row r="264" spans="2:3" x14ac:dyDescent="0.25">
      <c r="B264" s="10" t="s">
        <v>1725</v>
      </c>
      <c r="C264" s="12">
        <v>23.57</v>
      </c>
    </row>
    <row r="265" spans="2:3" x14ac:dyDescent="0.25">
      <c r="B265" s="10" t="s">
        <v>1724</v>
      </c>
      <c r="C265" s="12">
        <v>23.29</v>
      </c>
    </row>
    <row r="266" spans="2:3" x14ac:dyDescent="0.25">
      <c r="B266" s="10" t="s">
        <v>1723</v>
      </c>
      <c r="C266" s="12">
        <v>22.67</v>
      </c>
    </row>
    <row r="267" spans="2:3" x14ac:dyDescent="0.25">
      <c r="B267" s="10" t="s">
        <v>1722</v>
      </c>
      <c r="C267" s="12">
        <v>22.87</v>
      </c>
    </row>
    <row r="268" spans="2:3" x14ac:dyDescent="0.25">
      <c r="B268" s="10" t="s">
        <v>1721</v>
      </c>
      <c r="C268" s="12">
        <v>23.75</v>
      </c>
    </row>
    <row r="269" spans="2:3" x14ac:dyDescent="0.25">
      <c r="B269" s="10" t="s">
        <v>1720</v>
      </c>
      <c r="C269" s="12">
        <v>24.5</v>
      </c>
    </row>
    <row r="270" spans="2:3" x14ac:dyDescent="0.25">
      <c r="B270" s="10" t="s">
        <v>1719</v>
      </c>
      <c r="C270" s="12">
        <v>24.99</v>
      </c>
    </row>
    <row r="271" spans="2:3" x14ac:dyDescent="0.25">
      <c r="B271" s="10" t="s">
        <v>1718</v>
      </c>
      <c r="C271" s="12">
        <v>24.98</v>
      </c>
    </row>
    <row r="272" spans="2:3" x14ac:dyDescent="0.25">
      <c r="B272" s="10" t="s">
        <v>1717</v>
      </c>
      <c r="C272" s="12">
        <v>25.05</v>
      </c>
    </row>
    <row r="273" spans="2:3" x14ac:dyDescent="0.25">
      <c r="B273" s="10" t="s">
        <v>1716</v>
      </c>
      <c r="C273" s="12">
        <v>24.86</v>
      </c>
    </row>
    <row r="274" spans="2:3" x14ac:dyDescent="0.25">
      <c r="B274" s="10" t="s">
        <v>1715</v>
      </c>
      <c r="C274" s="12">
        <v>24.44</v>
      </c>
    </row>
    <row r="275" spans="2:3" x14ac:dyDescent="0.25">
      <c r="B275" s="10" t="s">
        <v>1714</v>
      </c>
      <c r="C275" s="12">
        <v>24.33</v>
      </c>
    </row>
    <row r="276" spans="2:3" x14ac:dyDescent="0.25">
      <c r="B276" s="10" t="s">
        <v>1713</v>
      </c>
      <c r="C276" s="12">
        <v>25.13</v>
      </c>
    </row>
    <row r="277" spans="2:3" x14ac:dyDescent="0.25">
      <c r="B277" s="10" t="s">
        <v>1712</v>
      </c>
      <c r="C277" s="12">
        <v>25.22</v>
      </c>
    </row>
    <row r="278" spans="2:3" x14ac:dyDescent="0.25">
      <c r="B278" s="10" t="s">
        <v>1711</v>
      </c>
      <c r="C278" s="12">
        <v>25.56</v>
      </c>
    </row>
    <row r="279" spans="2:3" x14ac:dyDescent="0.25">
      <c r="B279" s="10" t="s">
        <v>1710</v>
      </c>
      <c r="C279" s="12">
        <v>25.27</v>
      </c>
    </row>
    <row r="280" spans="2:3" x14ac:dyDescent="0.25">
      <c r="B280" s="10" t="s">
        <v>1709</v>
      </c>
      <c r="C280" s="12">
        <v>24.9</v>
      </c>
    </row>
    <row r="281" spans="2:3" x14ac:dyDescent="0.25">
      <c r="B281" s="10" t="s">
        <v>1708</v>
      </c>
      <c r="C281" s="12">
        <v>24.9</v>
      </c>
    </row>
    <row r="282" spans="2:3" x14ac:dyDescent="0.25">
      <c r="B282" s="10" t="s">
        <v>1707</v>
      </c>
      <c r="C282" s="12">
        <v>24.59</v>
      </c>
    </row>
    <row r="283" spans="2:3" x14ac:dyDescent="0.25">
      <c r="B283" s="10" t="s">
        <v>1706</v>
      </c>
      <c r="C283" s="12">
        <v>25.27</v>
      </c>
    </row>
    <row r="284" spans="2:3" x14ac:dyDescent="0.25">
      <c r="B284" s="10" t="s">
        <v>1705</v>
      </c>
      <c r="C284" s="12">
        <v>26.4</v>
      </c>
    </row>
    <row r="285" spans="2:3" x14ac:dyDescent="0.25">
      <c r="B285" s="10" t="s">
        <v>1704</v>
      </c>
      <c r="C285" s="12">
        <v>25.98</v>
      </c>
    </row>
    <row r="286" spans="2:3" x14ac:dyDescent="0.25">
      <c r="B286" s="10" t="s">
        <v>1703</v>
      </c>
      <c r="C286" s="12">
        <v>25.36</v>
      </c>
    </row>
    <row r="287" spans="2:3" x14ac:dyDescent="0.25">
      <c r="B287" s="10" t="s">
        <v>1702</v>
      </c>
      <c r="C287" s="12">
        <v>27.82</v>
      </c>
    </row>
    <row r="288" spans="2:3" x14ac:dyDescent="0.25">
      <c r="B288" s="10" t="s">
        <v>1701</v>
      </c>
      <c r="C288" s="12">
        <v>28.17</v>
      </c>
    </row>
    <row r="289" spans="2:3" x14ac:dyDescent="0.25">
      <c r="B289" s="10" t="s">
        <v>1700</v>
      </c>
      <c r="C289" s="12">
        <v>27.67</v>
      </c>
    </row>
    <row r="290" spans="2:3" x14ac:dyDescent="0.25">
      <c r="B290" s="10" t="s">
        <v>1699</v>
      </c>
      <c r="C290" s="12">
        <v>26.57</v>
      </c>
    </row>
    <row r="291" spans="2:3" x14ac:dyDescent="0.25">
      <c r="B291" s="10" t="s">
        <v>1698</v>
      </c>
      <c r="C291" s="12">
        <v>28.15</v>
      </c>
    </row>
    <row r="292" spans="2:3" x14ac:dyDescent="0.25">
      <c r="B292" s="10" t="s">
        <v>1697</v>
      </c>
      <c r="C292" s="12">
        <v>29.28</v>
      </c>
    </row>
    <row r="293" spans="2:3" x14ac:dyDescent="0.25">
      <c r="B293" s="10" t="s">
        <v>1696</v>
      </c>
      <c r="C293" s="12">
        <v>29.62</v>
      </c>
    </row>
    <row r="294" spans="2:3" x14ac:dyDescent="0.25">
      <c r="B294" s="10" t="s">
        <v>1695</v>
      </c>
      <c r="C294" s="12">
        <v>29.58</v>
      </c>
    </row>
    <row r="295" spans="2:3" x14ac:dyDescent="0.25">
      <c r="B295" s="10" t="s">
        <v>1694</v>
      </c>
      <c r="C295" s="12">
        <v>27.97</v>
      </c>
    </row>
    <row r="296" spans="2:3" x14ac:dyDescent="0.25">
      <c r="B296" s="10" t="s">
        <v>1693</v>
      </c>
      <c r="C296" s="12">
        <v>27.86</v>
      </c>
    </row>
    <row r="297" spans="2:3" x14ac:dyDescent="0.25">
      <c r="B297" s="10" t="s">
        <v>1692</v>
      </c>
      <c r="C297" s="12">
        <v>28</v>
      </c>
    </row>
    <row r="298" spans="2:3" x14ac:dyDescent="0.25">
      <c r="B298" s="10" t="s">
        <v>1691</v>
      </c>
      <c r="C298" s="12">
        <v>27.91</v>
      </c>
    </row>
    <row r="299" spans="2:3" x14ac:dyDescent="0.25">
      <c r="B299" s="10" t="s">
        <v>1690</v>
      </c>
      <c r="C299" s="12">
        <v>28.36</v>
      </c>
    </row>
    <row r="300" spans="2:3" x14ac:dyDescent="0.25">
      <c r="B300" s="10" t="s">
        <v>1689</v>
      </c>
      <c r="C300" s="12">
        <v>27.67</v>
      </c>
    </row>
    <row r="301" spans="2:3" x14ac:dyDescent="0.25">
      <c r="B301" s="10" t="s">
        <v>1688</v>
      </c>
      <c r="C301" s="12">
        <v>26.6</v>
      </c>
    </row>
    <row r="302" spans="2:3" x14ac:dyDescent="0.25">
      <c r="B302" s="10" t="s">
        <v>1687</v>
      </c>
      <c r="C302" s="12">
        <v>25.67</v>
      </c>
    </row>
    <row r="303" spans="2:3" x14ac:dyDescent="0.25">
      <c r="B303" s="10" t="s">
        <v>1686</v>
      </c>
      <c r="C303" s="12">
        <v>25.53</v>
      </c>
    </row>
    <row r="304" spans="2:3" x14ac:dyDescent="0.25">
      <c r="B304" s="10" t="s">
        <v>1685</v>
      </c>
      <c r="C304" s="12">
        <v>25.67</v>
      </c>
    </row>
    <row r="305" spans="2:3" x14ac:dyDescent="0.25">
      <c r="B305" s="10" t="s">
        <v>1684</v>
      </c>
      <c r="C305" s="12">
        <v>26.24</v>
      </c>
    </row>
    <row r="306" spans="2:3" x14ac:dyDescent="0.25">
      <c r="B306" s="10" t="s">
        <v>1683</v>
      </c>
      <c r="C306" s="12">
        <v>26.43</v>
      </c>
    </row>
    <row r="307" spans="2:3" x14ac:dyDescent="0.25">
      <c r="B307" s="10" t="s">
        <v>1682</v>
      </c>
      <c r="C307" s="12">
        <v>26.54</v>
      </c>
    </row>
    <row r="308" spans="2:3" x14ac:dyDescent="0.25">
      <c r="B308" s="10" t="s">
        <v>1681</v>
      </c>
      <c r="C308" s="12">
        <v>26.54</v>
      </c>
    </row>
    <row r="309" spans="2:3" x14ac:dyDescent="0.25">
      <c r="B309" s="10" t="s">
        <v>1680</v>
      </c>
      <c r="C309" s="12">
        <v>26.1</v>
      </c>
    </row>
    <row r="310" spans="2:3" x14ac:dyDescent="0.25">
      <c r="B310" s="10" t="s">
        <v>1679</v>
      </c>
      <c r="C310" s="12">
        <v>25.51</v>
      </c>
    </row>
    <row r="311" spans="2:3" x14ac:dyDescent="0.25">
      <c r="B311" s="10" t="s">
        <v>1678</v>
      </c>
      <c r="C311" s="12">
        <v>25.89</v>
      </c>
    </row>
    <row r="312" spans="2:3" x14ac:dyDescent="0.25">
      <c r="B312" s="10" t="s">
        <v>1677</v>
      </c>
      <c r="C312" s="12">
        <v>27.07</v>
      </c>
    </row>
    <row r="313" spans="2:3" x14ac:dyDescent="0.25">
      <c r="B313" s="10" t="s">
        <v>1676</v>
      </c>
      <c r="C313" s="12">
        <v>28.7</v>
      </c>
    </row>
    <row r="314" spans="2:3" x14ac:dyDescent="0.25">
      <c r="B314" s="10" t="s">
        <v>1675</v>
      </c>
      <c r="C314" s="12">
        <v>28.08</v>
      </c>
    </row>
    <row r="315" spans="2:3" x14ac:dyDescent="0.25">
      <c r="B315" s="10" t="s">
        <v>1674</v>
      </c>
      <c r="C315" s="12">
        <v>27.3</v>
      </c>
    </row>
    <row r="316" spans="2:3" x14ac:dyDescent="0.25">
      <c r="B316" s="10" t="s">
        <v>1673</v>
      </c>
      <c r="C316" s="12">
        <v>26.79</v>
      </c>
    </row>
    <row r="317" spans="2:3" x14ac:dyDescent="0.25">
      <c r="B317" s="10" t="s">
        <v>1672</v>
      </c>
      <c r="C317" s="12">
        <v>25.96</v>
      </c>
    </row>
    <row r="318" spans="2:3" x14ac:dyDescent="0.25">
      <c r="B318" s="10" t="s">
        <v>1671</v>
      </c>
      <c r="C318" s="12">
        <v>25.7</v>
      </c>
    </row>
    <row r="319" spans="2:3" x14ac:dyDescent="0.25">
      <c r="B319" s="10" t="s">
        <v>1670</v>
      </c>
      <c r="C319" s="12">
        <v>26.54</v>
      </c>
    </row>
    <row r="320" spans="2:3" x14ac:dyDescent="0.25">
      <c r="B320" s="10" t="s">
        <v>1669</v>
      </c>
      <c r="C320" s="12">
        <v>28.54</v>
      </c>
    </row>
    <row r="321" spans="2:3" x14ac:dyDescent="0.25">
      <c r="B321" s="10" t="s">
        <v>1668</v>
      </c>
      <c r="C321" s="12">
        <v>27.21</v>
      </c>
    </row>
    <row r="322" spans="2:3" x14ac:dyDescent="0.25">
      <c r="B322" s="10" t="s">
        <v>1667</v>
      </c>
      <c r="C322" s="12">
        <v>26.68</v>
      </c>
    </row>
    <row r="323" spans="2:3" x14ac:dyDescent="0.25">
      <c r="B323" s="10" t="s">
        <v>1666</v>
      </c>
      <c r="C323" s="12">
        <v>26.53</v>
      </c>
    </row>
    <row r="324" spans="2:3" x14ac:dyDescent="0.25">
      <c r="B324" s="10" t="s">
        <v>1665</v>
      </c>
      <c r="C324" s="12">
        <v>27.55</v>
      </c>
    </row>
    <row r="325" spans="2:3" x14ac:dyDescent="0.25">
      <c r="B325" s="10" t="s">
        <v>1664</v>
      </c>
      <c r="C325" s="12">
        <v>28.66</v>
      </c>
    </row>
    <row r="326" spans="2:3" x14ac:dyDescent="0.25">
      <c r="B326" s="10" t="s">
        <v>1663</v>
      </c>
      <c r="C326" s="12">
        <v>29.78</v>
      </c>
    </row>
    <row r="327" spans="2:3" x14ac:dyDescent="0.25">
      <c r="B327" s="10" t="s">
        <v>1662</v>
      </c>
      <c r="C327" s="12">
        <v>30.48</v>
      </c>
    </row>
    <row r="328" spans="2:3" x14ac:dyDescent="0.25">
      <c r="B328" s="10" t="s">
        <v>1661</v>
      </c>
      <c r="C328" s="12">
        <v>31.18</v>
      </c>
    </row>
    <row r="329" spans="2:3" x14ac:dyDescent="0.25">
      <c r="B329" s="10" t="s">
        <v>1660</v>
      </c>
      <c r="C329" s="12">
        <v>32.81</v>
      </c>
    </row>
    <row r="330" spans="2:3" x14ac:dyDescent="0.25">
      <c r="B330" s="10" t="s">
        <v>1659</v>
      </c>
      <c r="C330" s="12">
        <v>34.82</v>
      </c>
    </row>
    <row r="331" spans="2:3" x14ac:dyDescent="0.25">
      <c r="B331" s="10" t="s">
        <v>1658</v>
      </c>
      <c r="C331" s="12">
        <v>34.68</v>
      </c>
    </row>
    <row r="332" spans="2:3" x14ac:dyDescent="0.25">
      <c r="B332" s="10" t="s">
        <v>1657</v>
      </c>
      <c r="C332" s="12">
        <v>34.58</v>
      </c>
    </row>
    <row r="333" spans="2:3" x14ac:dyDescent="0.25">
      <c r="B333" s="10" t="s">
        <v>1656</v>
      </c>
      <c r="C333" s="12">
        <v>34.97</v>
      </c>
    </row>
    <row r="334" spans="2:3" x14ac:dyDescent="0.25">
      <c r="B334" s="10" t="s">
        <v>1655</v>
      </c>
      <c r="C334" s="12">
        <v>36.479999999999997</v>
      </c>
    </row>
    <row r="335" spans="2:3" x14ac:dyDescent="0.25">
      <c r="B335" s="10" t="s">
        <v>1654</v>
      </c>
      <c r="C335" s="12">
        <v>36.28</v>
      </c>
    </row>
    <row r="336" spans="2:3" x14ac:dyDescent="0.25">
      <c r="B336" s="10" t="s">
        <v>1653</v>
      </c>
      <c r="C336" s="12">
        <v>37</v>
      </c>
    </row>
    <row r="337" spans="2:3" x14ac:dyDescent="0.25">
      <c r="B337" s="10" t="s">
        <v>1652</v>
      </c>
      <c r="C337" s="12">
        <v>40.03</v>
      </c>
    </row>
    <row r="338" spans="2:3" x14ac:dyDescent="0.25">
      <c r="B338" s="10" t="s">
        <v>1651</v>
      </c>
      <c r="C338" s="12">
        <v>40.76</v>
      </c>
    </row>
    <row r="339" spans="2:3" x14ac:dyDescent="0.25">
      <c r="B339" s="10" t="s">
        <v>1650</v>
      </c>
      <c r="C339" s="12">
        <v>40.5</v>
      </c>
    </row>
    <row r="340" spans="2:3" x14ac:dyDescent="0.25">
      <c r="B340" s="10" t="s">
        <v>1649</v>
      </c>
      <c r="C340" s="12">
        <v>41.07</v>
      </c>
    </row>
    <row r="341" spans="2:3" x14ac:dyDescent="0.25">
      <c r="B341" s="10" t="s">
        <v>1648</v>
      </c>
      <c r="C341" s="12">
        <v>43.05</v>
      </c>
    </row>
    <row r="342" spans="2:3" x14ac:dyDescent="0.25">
      <c r="B342" s="10" t="s">
        <v>1647</v>
      </c>
      <c r="C342" s="12">
        <v>42.51</v>
      </c>
    </row>
    <row r="343" spans="2:3" x14ac:dyDescent="0.25">
      <c r="B343" s="10" t="s">
        <v>1646</v>
      </c>
      <c r="C343" s="12">
        <v>38.57</v>
      </c>
    </row>
    <row r="344" spans="2:3" x14ac:dyDescent="0.25">
      <c r="B344" s="10" t="s">
        <v>1645</v>
      </c>
      <c r="C344" s="12">
        <v>37.909999999999997</v>
      </c>
    </row>
    <row r="345" spans="2:3" x14ac:dyDescent="0.25">
      <c r="B345" s="10" t="s">
        <v>1644</v>
      </c>
      <c r="C345" s="12">
        <v>39</v>
      </c>
    </row>
    <row r="346" spans="2:3" x14ac:dyDescent="0.25">
      <c r="B346" s="10" t="s">
        <v>1643</v>
      </c>
      <c r="C346" s="12">
        <v>38.130000000000003</v>
      </c>
    </row>
    <row r="347" spans="2:3" x14ac:dyDescent="0.25">
      <c r="B347" s="10" t="s">
        <v>1642</v>
      </c>
      <c r="C347" s="12">
        <v>37.85</v>
      </c>
    </row>
    <row r="348" spans="2:3" x14ac:dyDescent="0.25">
      <c r="B348" s="10" t="s">
        <v>1641</v>
      </c>
      <c r="C348" s="12">
        <v>37.24</v>
      </c>
    </row>
    <row r="349" spans="2:3" x14ac:dyDescent="0.25">
      <c r="B349" s="10" t="s">
        <v>1640</v>
      </c>
      <c r="C349" s="12">
        <v>36.799999999999997</v>
      </c>
    </row>
    <row r="350" spans="2:3" x14ac:dyDescent="0.25">
      <c r="B350" s="10" t="s">
        <v>1639</v>
      </c>
      <c r="C350" s="12">
        <v>36.119999999999997</v>
      </c>
    </row>
    <row r="351" spans="2:3" x14ac:dyDescent="0.25">
      <c r="B351" s="10" t="s">
        <v>1638</v>
      </c>
      <c r="C351" s="12">
        <v>33.29</v>
      </c>
    </row>
    <row r="352" spans="2:3" x14ac:dyDescent="0.25">
      <c r="B352" s="10" t="s">
        <v>1637</v>
      </c>
      <c r="C352" s="12">
        <v>31.17</v>
      </c>
    </row>
    <row r="353" spans="2:3" x14ac:dyDescent="0.25">
      <c r="B353" s="10" t="s">
        <v>1636</v>
      </c>
      <c r="C353" s="12">
        <v>31.2</v>
      </c>
    </row>
    <row r="354" spans="2:3" x14ac:dyDescent="0.25">
      <c r="B354" s="10" t="s">
        <v>1635</v>
      </c>
      <c r="C354" s="12">
        <v>30.67</v>
      </c>
    </row>
    <row r="355" spans="2:3" x14ac:dyDescent="0.25">
      <c r="B355" s="10" t="s">
        <v>1634</v>
      </c>
      <c r="C355" s="12">
        <v>29.19</v>
      </c>
    </row>
    <row r="356" spans="2:3" x14ac:dyDescent="0.25">
      <c r="B356" s="10" t="s">
        <v>1633</v>
      </c>
      <c r="C356" s="12">
        <v>28.06</v>
      </c>
    </row>
    <row r="357" spans="2:3" x14ac:dyDescent="0.25">
      <c r="B357" s="10" t="s">
        <v>1632</v>
      </c>
      <c r="C357" s="12">
        <v>28.65</v>
      </c>
    </row>
    <row r="358" spans="2:3" x14ac:dyDescent="0.25">
      <c r="B358" s="10" t="s">
        <v>1631</v>
      </c>
      <c r="C358" s="12">
        <v>29.24</v>
      </c>
    </row>
    <row r="359" spans="2:3" x14ac:dyDescent="0.25">
      <c r="B359" s="10" t="s">
        <v>1630</v>
      </c>
      <c r="C359" s="12">
        <v>28.59</v>
      </c>
    </row>
    <row r="360" spans="2:3" x14ac:dyDescent="0.25">
      <c r="B360" s="10" t="s">
        <v>1629</v>
      </c>
      <c r="C360" s="12">
        <v>27.57</v>
      </c>
    </row>
    <row r="361" spans="2:3" x14ac:dyDescent="0.25">
      <c r="B361" s="10" t="s">
        <v>1628</v>
      </c>
      <c r="C361" s="12">
        <v>27.02</v>
      </c>
    </row>
    <row r="362" spans="2:3" x14ac:dyDescent="0.25">
      <c r="B362" s="10" t="s">
        <v>1627</v>
      </c>
      <c r="C362" s="12">
        <v>26.85</v>
      </c>
    </row>
    <row r="363" spans="2:3" x14ac:dyDescent="0.25">
      <c r="B363" s="10" t="s">
        <v>1626</v>
      </c>
      <c r="C363" s="12">
        <v>28.19</v>
      </c>
    </row>
    <row r="364" spans="2:3" x14ac:dyDescent="0.25">
      <c r="B364" s="10" t="s">
        <v>1625</v>
      </c>
      <c r="C364" s="12">
        <v>28.73</v>
      </c>
    </row>
    <row r="365" spans="2:3" x14ac:dyDescent="0.25">
      <c r="B365" s="10" t="s">
        <v>1624</v>
      </c>
      <c r="C365" s="12">
        <v>28.04</v>
      </c>
    </row>
    <row r="366" spans="2:3" x14ac:dyDescent="0.25">
      <c r="B366" s="10" t="s">
        <v>1623</v>
      </c>
      <c r="C366" s="12">
        <v>27.55</v>
      </c>
    </row>
    <row r="367" spans="2:3" x14ac:dyDescent="0.25">
      <c r="B367" s="10" t="s">
        <v>1622</v>
      </c>
      <c r="C367" s="12">
        <v>27.11</v>
      </c>
    </row>
    <row r="368" spans="2:3" x14ac:dyDescent="0.25">
      <c r="B368" s="10" t="s">
        <v>1621</v>
      </c>
      <c r="C368" s="12">
        <v>28.26</v>
      </c>
    </row>
    <row r="369" spans="2:3" x14ac:dyDescent="0.25">
      <c r="B369" s="10" t="s">
        <v>1620</v>
      </c>
      <c r="C369" s="12">
        <v>28.37</v>
      </c>
    </row>
    <row r="370" spans="2:3" x14ac:dyDescent="0.25">
      <c r="B370" s="10" t="s">
        <v>1619</v>
      </c>
      <c r="C370" s="12">
        <v>28.38</v>
      </c>
    </row>
    <row r="371" spans="2:3" x14ac:dyDescent="0.25">
      <c r="B371" s="10" t="s">
        <v>1618</v>
      </c>
      <c r="C371" s="12">
        <v>29.13</v>
      </c>
    </row>
    <row r="372" spans="2:3" x14ac:dyDescent="0.25">
      <c r="B372" s="10" t="s">
        <v>1617</v>
      </c>
      <c r="C372" s="12">
        <v>28.33</v>
      </c>
    </row>
    <row r="373" spans="2:3" x14ac:dyDescent="0.25">
      <c r="B373" s="10" t="s">
        <v>1616</v>
      </c>
      <c r="C373" s="12">
        <v>27.5</v>
      </c>
    </row>
    <row r="374" spans="2:3" x14ac:dyDescent="0.25">
      <c r="B374" s="10" t="s">
        <v>1615</v>
      </c>
      <c r="C374" s="12">
        <v>27.19</v>
      </c>
    </row>
    <row r="375" spans="2:3" x14ac:dyDescent="0.25">
      <c r="B375" s="10" t="s">
        <v>1614</v>
      </c>
      <c r="C375" s="12">
        <v>28.91</v>
      </c>
    </row>
    <row r="376" spans="2:3" x14ac:dyDescent="0.25">
      <c r="B376" s="10" t="s">
        <v>1613</v>
      </c>
      <c r="C376" s="12">
        <v>30.62</v>
      </c>
    </row>
    <row r="377" spans="2:3" x14ac:dyDescent="0.25">
      <c r="B377" s="10" t="s">
        <v>1612</v>
      </c>
      <c r="C377" s="12">
        <v>28.3</v>
      </c>
    </row>
    <row r="378" spans="2:3" x14ac:dyDescent="0.25">
      <c r="B378" s="10" t="s">
        <v>1611</v>
      </c>
      <c r="C378" s="12">
        <v>28.22</v>
      </c>
    </row>
    <row r="379" spans="2:3" x14ac:dyDescent="0.25">
      <c r="B379" s="10" t="s">
        <v>1610</v>
      </c>
      <c r="C379" s="12">
        <v>29.56</v>
      </c>
    </row>
    <row r="380" spans="2:3" x14ac:dyDescent="0.25">
      <c r="B380" s="10" t="s">
        <v>1609</v>
      </c>
      <c r="C380" s="12">
        <v>29.17</v>
      </c>
    </row>
    <row r="381" spans="2:3" x14ac:dyDescent="0.25">
      <c r="B381" s="10" t="s">
        <v>1608</v>
      </c>
      <c r="C381" s="12">
        <v>28.78</v>
      </c>
    </row>
    <row r="382" spans="2:3" x14ac:dyDescent="0.25">
      <c r="B382" s="10" t="s">
        <v>1607</v>
      </c>
      <c r="C382" s="12">
        <v>29.22</v>
      </c>
    </row>
    <row r="383" spans="2:3" x14ac:dyDescent="0.25">
      <c r="B383" s="10" t="s">
        <v>1606</v>
      </c>
      <c r="C383" s="12">
        <v>29.82</v>
      </c>
    </row>
    <row r="384" spans="2:3" x14ac:dyDescent="0.25">
      <c r="B384" s="10" t="s">
        <v>1605</v>
      </c>
      <c r="C384" s="12">
        <v>28.76</v>
      </c>
    </row>
    <row r="385" spans="2:3" x14ac:dyDescent="0.25">
      <c r="B385" s="10" t="s">
        <v>1604</v>
      </c>
      <c r="C385" s="12">
        <v>27.32</v>
      </c>
    </row>
    <row r="386" spans="2:3" x14ac:dyDescent="0.25">
      <c r="B386" s="10" t="s">
        <v>1603</v>
      </c>
      <c r="C386" s="12">
        <v>27.33</v>
      </c>
    </row>
    <row r="387" spans="2:3" x14ac:dyDescent="0.25">
      <c r="B387" s="10" t="s">
        <v>1602</v>
      </c>
      <c r="C387" s="12">
        <v>26.99</v>
      </c>
    </row>
    <row r="388" spans="2:3" x14ac:dyDescent="0.25">
      <c r="B388" s="10" t="s">
        <v>1601</v>
      </c>
      <c r="C388" s="12">
        <v>26.54</v>
      </c>
    </row>
    <row r="389" spans="2:3" x14ac:dyDescent="0.25">
      <c r="B389" s="10" t="s">
        <v>1600</v>
      </c>
      <c r="C389" s="12">
        <v>26.17</v>
      </c>
    </row>
    <row r="390" spans="2:3" x14ac:dyDescent="0.25">
      <c r="B390" s="10" t="s">
        <v>1599</v>
      </c>
      <c r="C390" s="12">
        <v>26.17</v>
      </c>
    </row>
    <row r="391" spans="2:3" x14ac:dyDescent="0.25">
      <c r="B391" s="10" t="s">
        <v>1598</v>
      </c>
      <c r="C391" s="12">
        <v>25.83</v>
      </c>
    </row>
    <row r="392" spans="2:3" x14ac:dyDescent="0.25">
      <c r="B392" s="10" t="s">
        <v>1597</v>
      </c>
      <c r="C392" s="12">
        <v>25.33</v>
      </c>
    </row>
    <row r="393" spans="2:3" x14ac:dyDescent="0.25">
      <c r="B393" s="10" t="s">
        <v>1596</v>
      </c>
      <c r="C393" s="12">
        <v>25.21</v>
      </c>
    </row>
    <row r="394" spans="2:3" x14ac:dyDescent="0.25">
      <c r="B394" s="10" t="s">
        <v>1595</v>
      </c>
      <c r="C394" s="12">
        <v>24.77</v>
      </c>
    </row>
    <row r="395" spans="2:3" x14ac:dyDescent="0.25">
      <c r="B395" s="10" t="s">
        <v>1594</v>
      </c>
      <c r="C395" s="12">
        <v>24.53</v>
      </c>
    </row>
    <row r="396" spans="2:3" x14ac:dyDescent="0.25">
      <c r="B396" s="10" t="s">
        <v>1593</v>
      </c>
      <c r="C396" s="12">
        <v>24.87</v>
      </c>
    </row>
    <row r="397" spans="2:3" x14ac:dyDescent="0.25">
      <c r="B397" s="10" t="s">
        <v>1592</v>
      </c>
      <c r="C397" s="12">
        <v>25.56</v>
      </c>
    </row>
    <row r="398" spans="2:3" x14ac:dyDescent="0.25">
      <c r="B398" s="10" t="s">
        <v>1591</v>
      </c>
      <c r="C398" s="12">
        <v>25.73</v>
      </c>
    </row>
    <row r="399" spans="2:3" x14ac:dyDescent="0.25">
      <c r="B399" s="10" t="s">
        <v>1590</v>
      </c>
      <c r="C399" s="12">
        <v>26.33</v>
      </c>
    </row>
    <row r="400" spans="2:3" x14ac:dyDescent="0.25">
      <c r="B400" s="10" t="s">
        <v>1589</v>
      </c>
      <c r="C400" s="12">
        <v>28.11</v>
      </c>
    </row>
    <row r="401" spans="2:3" x14ac:dyDescent="0.25">
      <c r="B401" s="10" t="s">
        <v>1588</v>
      </c>
      <c r="C401" s="12">
        <v>28.95</v>
      </c>
    </row>
    <row r="402" spans="2:3" x14ac:dyDescent="0.25">
      <c r="B402" s="10" t="s">
        <v>1587</v>
      </c>
      <c r="C402" s="12">
        <v>27.52</v>
      </c>
    </row>
    <row r="403" spans="2:3" x14ac:dyDescent="0.25">
      <c r="B403" s="10" t="s">
        <v>1586</v>
      </c>
      <c r="C403" s="12">
        <v>26.96</v>
      </c>
    </row>
    <row r="404" spans="2:3" x14ac:dyDescent="0.25">
      <c r="B404" s="10" t="s">
        <v>1585</v>
      </c>
      <c r="C404" s="12">
        <v>26.95</v>
      </c>
    </row>
    <row r="405" spans="2:3" x14ac:dyDescent="0.25">
      <c r="B405" s="10" t="s">
        <v>1584</v>
      </c>
      <c r="C405" s="12">
        <v>26.43</v>
      </c>
    </row>
    <row r="406" spans="2:3" x14ac:dyDescent="0.25">
      <c r="B406" s="10" t="s">
        <v>1583</v>
      </c>
      <c r="C406" s="12">
        <v>25.36</v>
      </c>
    </row>
    <row r="407" spans="2:3" x14ac:dyDescent="0.25">
      <c r="B407" s="10" t="s">
        <v>1582</v>
      </c>
      <c r="C407" s="12">
        <v>24.49</v>
      </c>
    </row>
    <row r="408" spans="2:3" x14ac:dyDescent="0.25">
      <c r="B408" s="10" t="s">
        <v>1581</v>
      </c>
      <c r="C408" s="12">
        <v>24.77</v>
      </c>
    </row>
    <row r="409" spans="2:3" x14ac:dyDescent="0.25">
      <c r="B409" s="10" t="s">
        <v>1580</v>
      </c>
      <c r="C409" s="12">
        <v>24.39</v>
      </c>
    </row>
    <row r="410" spans="2:3" x14ac:dyDescent="0.25">
      <c r="B410" s="10" t="s">
        <v>1579</v>
      </c>
      <c r="C410" s="12">
        <v>23.99</v>
      </c>
    </row>
    <row r="411" spans="2:3" x14ac:dyDescent="0.25">
      <c r="B411" s="10" t="s">
        <v>1578</v>
      </c>
      <c r="C411" s="12">
        <v>23.69</v>
      </c>
    </row>
    <row r="412" spans="2:3" x14ac:dyDescent="0.25">
      <c r="B412" s="10" t="s">
        <v>1577</v>
      </c>
      <c r="C412" s="12">
        <v>23.9</v>
      </c>
    </row>
    <row r="413" spans="2:3" x14ac:dyDescent="0.25">
      <c r="B413" s="10" t="s">
        <v>1576</v>
      </c>
      <c r="C413" s="12">
        <v>23.7</v>
      </c>
    </row>
    <row r="414" spans="2:3" x14ac:dyDescent="0.25">
      <c r="B414" s="10" t="s">
        <v>1575</v>
      </c>
      <c r="C414" s="12">
        <v>24.22</v>
      </c>
    </row>
    <row r="415" spans="2:3" x14ac:dyDescent="0.25">
      <c r="B415" s="10" t="s">
        <v>1574</v>
      </c>
      <c r="C415" s="12">
        <v>24.89</v>
      </c>
    </row>
    <row r="416" spans="2:3" x14ac:dyDescent="0.25">
      <c r="B416" s="10" t="s">
        <v>1573</v>
      </c>
      <c r="C416" s="12">
        <v>25.14</v>
      </c>
    </row>
    <row r="417" spans="2:3" x14ac:dyDescent="0.25">
      <c r="B417" s="10" t="s">
        <v>1572</v>
      </c>
      <c r="C417" s="12">
        <v>25.17</v>
      </c>
    </row>
    <row r="418" spans="2:3" x14ac:dyDescent="0.25">
      <c r="B418" s="10" t="s">
        <v>1571</v>
      </c>
      <c r="C418" s="12">
        <v>25.21</v>
      </c>
    </row>
    <row r="419" spans="2:3" x14ac:dyDescent="0.25">
      <c r="B419" s="10" t="s">
        <v>1570</v>
      </c>
      <c r="C419" s="12">
        <v>25.98</v>
      </c>
    </row>
    <row r="420" spans="2:3" x14ac:dyDescent="0.25">
      <c r="B420" s="10" t="s">
        <v>1569</v>
      </c>
      <c r="C420" s="12">
        <v>28.79</v>
      </c>
    </row>
    <row r="421" spans="2:3" x14ac:dyDescent="0.25">
      <c r="B421" s="10" t="s">
        <v>1568</v>
      </c>
      <c r="C421" s="12">
        <v>29</v>
      </c>
    </row>
    <row r="422" spans="2:3" x14ac:dyDescent="0.25">
      <c r="B422" s="10" t="s">
        <v>1567</v>
      </c>
      <c r="C422" s="12">
        <v>26.77</v>
      </c>
    </row>
    <row r="423" spans="2:3" x14ac:dyDescent="0.25">
      <c r="B423" s="10" t="s">
        <v>1566</v>
      </c>
      <c r="C423" s="12">
        <v>25.07</v>
      </c>
    </row>
    <row r="424" spans="2:3" x14ac:dyDescent="0.25">
      <c r="B424" s="10" t="s">
        <v>1565</v>
      </c>
      <c r="C424" s="12">
        <v>24.69</v>
      </c>
    </row>
    <row r="425" spans="2:3" x14ac:dyDescent="0.25">
      <c r="B425" s="10" t="s">
        <v>1564</v>
      </c>
      <c r="C425" s="12">
        <v>25.18</v>
      </c>
    </row>
    <row r="426" spans="2:3" x14ac:dyDescent="0.25">
      <c r="B426" s="10" t="s">
        <v>1563</v>
      </c>
      <c r="C426" s="12">
        <v>25.35</v>
      </c>
    </row>
    <row r="427" spans="2:3" x14ac:dyDescent="0.25">
      <c r="B427" s="10" t="s">
        <v>1562</v>
      </c>
      <c r="C427" s="12">
        <v>26.14</v>
      </c>
    </row>
    <row r="428" spans="2:3" x14ac:dyDescent="0.25">
      <c r="B428" s="10" t="s">
        <v>1561</v>
      </c>
      <c r="C428" s="12">
        <v>25.92</v>
      </c>
    </row>
    <row r="429" spans="2:3" x14ac:dyDescent="0.25">
      <c r="B429" s="10" t="s">
        <v>1560</v>
      </c>
      <c r="C429" s="12">
        <v>24.94</v>
      </c>
    </row>
    <row r="430" spans="2:3" x14ac:dyDescent="0.25">
      <c r="B430" s="10" t="s">
        <v>1559</v>
      </c>
      <c r="C430" s="12">
        <v>25.71</v>
      </c>
    </row>
    <row r="431" spans="2:3" x14ac:dyDescent="0.25">
      <c r="B431" s="10" t="s">
        <v>1558</v>
      </c>
      <c r="C431" s="12">
        <v>26.96</v>
      </c>
    </row>
    <row r="432" spans="2:3" x14ac:dyDescent="0.25">
      <c r="B432" s="10" t="s">
        <v>1557</v>
      </c>
      <c r="C432" s="12">
        <v>28.03</v>
      </c>
    </row>
    <row r="433" spans="2:3" x14ac:dyDescent="0.25">
      <c r="B433" s="10" t="s">
        <v>1556</v>
      </c>
      <c r="C433" s="12">
        <v>27.21</v>
      </c>
    </row>
    <row r="434" spans="2:3" x14ac:dyDescent="0.25">
      <c r="B434" s="10" t="s">
        <v>1555</v>
      </c>
      <c r="C434" s="12">
        <v>26.41</v>
      </c>
    </row>
    <row r="435" spans="2:3" x14ac:dyDescent="0.25">
      <c r="B435" s="10" t="s">
        <v>1554</v>
      </c>
      <c r="C435" s="12">
        <v>26.13</v>
      </c>
    </row>
    <row r="436" spans="2:3" x14ac:dyDescent="0.25">
      <c r="B436" s="10" t="s">
        <v>1553</v>
      </c>
      <c r="C436" s="12">
        <v>25.6</v>
      </c>
    </row>
    <row r="437" spans="2:3" x14ac:dyDescent="0.25">
      <c r="B437" s="10" t="s">
        <v>1552</v>
      </c>
      <c r="C437" s="12">
        <v>25.47</v>
      </c>
    </row>
    <row r="438" spans="2:3" x14ac:dyDescent="0.25">
      <c r="B438" s="10" t="s">
        <v>1551</v>
      </c>
      <c r="C438" s="12">
        <v>26.87</v>
      </c>
    </row>
    <row r="439" spans="2:3" x14ac:dyDescent="0.25">
      <c r="B439" s="10" t="s">
        <v>1550</v>
      </c>
      <c r="C439" s="12">
        <v>28.61</v>
      </c>
    </row>
    <row r="440" spans="2:3" x14ac:dyDescent="0.25">
      <c r="B440" s="10" t="s">
        <v>1549</v>
      </c>
      <c r="C440" s="12">
        <v>27.35</v>
      </c>
    </row>
    <row r="441" spans="2:3" x14ac:dyDescent="0.25">
      <c r="B441" s="10" t="s">
        <v>1548</v>
      </c>
      <c r="C441" s="12">
        <v>25.96</v>
      </c>
    </row>
    <row r="442" spans="2:3" x14ac:dyDescent="0.25">
      <c r="B442" s="10" t="s">
        <v>1547</v>
      </c>
      <c r="C442" s="12">
        <v>25.23</v>
      </c>
    </row>
    <row r="443" spans="2:3" x14ac:dyDescent="0.25">
      <c r="B443" s="10" t="s">
        <v>1546</v>
      </c>
      <c r="C443" s="12">
        <v>25.33</v>
      </c>
    </row>
    <row r="444" spans="2:3" x14ac:dyDescent="0.25">
      <c r="B444" s="10" t="s">
        <v>1545</v>
      </c>
      <c r="C444" s="12">
        <v>27.28</v>
      </c>
    </row>
    <row r="445" spans="2:3" x14ac:dyDescent="0.25">
      <c r="B445" s="10" t="s">
        <v>1544</v>
      </c>
      <c r="C445" s="12">
        <v>27.18</v>
      </c>
    </row>
    <row r="446" spans="2:3" x14ac:dyDescent="0.25">
      <c r="B446" s="10" t="s">
        <v>1543</v>
      </c>
      <c r="C446" s="12">
        <v>25.98</v>
      </c>
    </row>
    <row r="447" spans="2:3" x14ac:dyDescent="0.25">
      <c r="B447" s="10" t="s">
        <v>1542</v>
      </c>
      <c r="C447" s="12">
        <v>26.49</v>
      </c>
    </row>
    <row r="448" spans="2:3" x14ac:dyDescent="0.25">
      <c r="B448" s="10" t="s">
        <v>1541</v>
      </c>
      <c r="C448" s="12">
        <v>29.05</v>
      </c>
    </row>
    <row r="449" spans="2:3" x14ac:dyDescent="0.25">
      <c r="B449" s="10" t="s">
        <v>1540</v>
      </c>
      <c r="C449" s="12">
        <v>29.81</v>
      </c>
    </row>
    <row r="450" spans="2:3" x14ac:dyDescent="0.25">
      <c r="B450" s="10" t="s">
        <v>1539</v>
      </c>
      <c r="C450" s="12">
        <v>29.41</v>
      </c>
    </row>
    <row r="451" spans="2:3" x14ac:dyDescent="0.25">
      <c r="B451" s="10" t="s">
        <v>1538</v>
      </c>
      <c r="C451" s="12">
        <v>28.59</v>
      </c>
    </row>
    <row r="452" spans="2:3" x14ac:dyDescent="0.25">
      <c r="B452" s="10" t="s">
        <v>1537</v>
      </c>
      <c r="C452" s="12">
        <v>29.85</v>
      </c>
    </row>
    <row r="453" spans="2:3" x14ac:dyDescent="0.25">
      <c r="B453" s="10" t="s">
        <v>1536</v>
      </c>
      <c r="C453" s="12">
        <v>30.21</v>
      </c>
    </row>
    <row r="454" spans="2:3" x14ac:dyDescent="0.25">
      <c r="B454" s="10" t="s">
        <v>1535</v>
      </c>
      <c r="C454" s="12">
        <v>28.1</v>
      </c>
    </row>
    <row r="455" spans="2:3" x14ac:dyDescent="0.25">
      <c r="B455" s="10" t="s">
        <v>1534</v>
      </c>
      <c r="C455" s="12">
        <v>26.45</v>
      </c>
    </row>
    <row r="456" spans="2:3" x14ac:dyDescent="0.25">
      <c r="B456" s="10" t="s">
        <v>1533</v>
      </c>
      <c r="C456" s="12">
        <v>27.99</v>
      </c>
    </row>
    <row r="457" spans="2:3" x14ac:dyDescent="0.25">
      <c r="B457" s="10" t="s">
        <v>1532</v>
      </c>
      <c r="C457" s="12">
        <v>29.94</v>
      </c>
    </row>
    <row r="458" spans="2:3" x14ac:dyDescent="0.25">
      <c r="B458" s="10" t="s">
        <v>1531</v>
      </c>
      <c r="C458" s="12">
        <v>28.1</v>
      </c>
    </row>
    <row r="459" spans="2:3" x14ac:dyDescent="0.25">
      <c r="B459" s="10" t="s">
        <v>1530</v>
      </c>
      <c r="C459" s="12">
        <v>26.98</v>
      </c>
    </row>
    <row r="460" spans="2:3" x14ac:dyDescent="0.25">
      <c r="B460" s="10" t="s">
        <v>1529</v>
      </c>
      <c r="C460" s="12">
        <v>26.32</v>
      </c>
    </row>
    <row r="461" spans="2:3" x14ac:dyDescent="0.25">
      <c r="B461" s="10" t="s">
        <v>1528</v>
      </c>
      <c r="C461" s="12">
        <v>26.79</v>
      </c>
    </row>
    <row r="462" spans="2:3" x14ac:dyDescent="0.25">
      <c r="B462" s="10" t="s">
        <v>1527</v>
      </c>
      <c r="C462" s="12">
        <v>27.15</v>
      </c>
    </row>
    <row r="463" spans="2:3" x14ac:dyDescent="0.25">
      <c r="B463" s="10" t="s">
        <v>1526</v>
      </c>
      <c r="C463" s="12">
        <v>26.61</v>
      </c>
    </row>
    <row r="464" spans="2:3" x14ac:dyDescent="0.25">
      <c r="B464" s="10" t="s">
        <v>1525</v>
      </c>
      <c r="C464" s="12">
        <v>27.46</v>
      </c>
    </row>
    <row r="465" spans="2:3" x14ac:dyDescent="0.25">
      <c r="B465" s="10" t="s">
        <v>1524</v>
      </c>
      <c r="C465" s="12">
        <v>26.06</v>
      </c>
    </row>
    <row r="466" spans="2:3" x14ac:dyDescent="0.25">
      <c r="B466" s="10" t="s">
        <v>1523</v>
      </c>
      <c r="C466" s="12">
        <v>25.24</v>
      </c>
    </row>
    <row r="467" spans="2:3" x14ac:dyDescent="0.25">
      <c r="B467" s="10" t="s">
        <v>1522</v>
      </c>
      <c r="C467" s="12">
        <v>26.05</v>
      </c>
    </row>
    <row r="468" spans="2:3" x14ac:dyDescent="0.25">
      <c r="B468" s="10" t="s">
        <v>1521</v>
      </c>
      <c r="C468" s="12">
        <v>28.01</v>
      </c>
    </row>
    <row r="469" spans="2:3" x14ac:dyDescent="0.25">
      <c r="B469" s="10" t="s">
        <v>1520</v>
      </c>
      <c r="C469" s="12">
        <v>27.37</v>
      </c>
    </row>
    <row r="470" spans="2:3" x14ac:dyDescent="0.25">
      <c r="B470" s="10" t="s">
        <v>1519</v>
      </c>
      <c r="C470" s="12">
        <v>26.08</v>
      </c>
    </row>
    <row r="471" spans="2:3" x14ac:dyDescent="0.25">
      <c r="B471" s="10" t="s">
        <v>1518</v>
      </c>
      <c r="C471" s="12">
        <v>26.83</v>
      </c>
    </row>
    <row r="472" spans="2:3" x14ac:dyDescent="0.25">
      <c r="B472" s="10" t="s">
        <v>1517</v>
      </c>
      <c r="C472" s="12">
        <v>29.95</v>
      </c>
    </row>
    <row r="473" spans="2:3" x14ac:dyDescent="0.25">
      <c r="B473" s="10" t="s">
        <v>1516</v>
      </c>
      <c r="C473" s="12">
        <v>31.42</v>
      </c>
    </row>
    <row r="474" spans="2:3" x14ac:dyDescent="0.25">
      <c r="B474" s="10" t="s">
        <v>1515</v>
      </c>
      <c r="C474" s="12">
        <v>29.64</v>
      </c>
    </row>
    <row r="475" spans="2:3" x14ac:dyDescent="0.25">
      <c r="B475" s="10" t="s">
        <v>1514</v>
      </c>
      <c r="C475" s="12">
        <v>27.44</v>
      </c>
    </row>
    <row r="476" spans="2:3" x14ac:dyDescent="0.25">
      <c r="B476" s="10" t="s">
        <v>1513</v>
      </c>
      <c r="C476" s="12">
        <v>27.92</v>
      </c>
    </row>
    <row r="477" spans="2:3" x14ac:dyDescent="0.25">
      <c r="B477" s="10" t="s">
        <v>1512</v>
      </c>
      <c r="C477" s="12">
        <v>28.6</v>
      </c>
    </row>
    <row r="478" spans="2:3" x14ac:dyDescent="0.25">
      <c r="B478" s="10" t="s">
        <v>1511</v>
      </c>
      <c r="C478" s="12">
        <v>28.16</v>
      </c>
    </row>
    <row r="479" spans="2:3" x14ac:dyDescent="0.25">
      <c r="B479" s="10" t="s">
        <v>1510</v>
      </c>
      <c r="C479" s="12">
        <v>27.65</v>
      </c>
    </row>
    <row r="480" spans="2:3" x14ac:dyDescent="0.25">
      <c r="B480" s="10" t="s">
        <v>1509</v>
      </c>
      <c r="C480" s="12">
        <v>27.49</v>
      </c>
    </row>
    <row r="481" spans="2:3" x14ac:dyDescent="0.25">
      <c r="B481" s="10" t="s">
        <v>1508</v>
      </c>
      <c r="C481" s="12">
        <v>29.79</v>
      </c>
    </row>
    <row r="482" spans="2:3" x14ac:dyDescent="0.25">
      <c r="B482" s="10" t="s">
        <v>1507</v>
      </c>
      <c r="C482" s="12">
        <v>29.08</v>
      </c>
    </row>
    <row r="483" spans="2:3" x14ac:dyDescent="0.25">
      <c r="B483" s="10" t="s">
        <v>1506</v>
      </c>
      <c r="C483" s="12">
        <v>30.94</v>
      </c>
    </row>
    <row r="484" spans="2:3" x14ac:dyDescent="0.25">
      <c r="B484" s="10" t="s">
        <v>1505</v>
      </c>
      <c r="C484" s="12">
        <v>31.28</v>
      </c>
    </row>
    <row r="485" spans="2:3" x14ac:dyDescent="0.25">
      <c r="B485" s="10" t="s">
        <v>1504</v>
      </c>
      <c r="C485" s="12">
        <v>30.1</v>
      </c>
    </row>
    <row r="486" spans="2:3" x14ac:dyDescent="0.25">
      <c r="B486" s="10" t="s">
        <v>1503</v>
      </c>
      <c r="C486" s="12">
        <v>30.05</v>
      </c>
    </row>
    <row r="487" spans="2:3" x14ac:dyDescent="0.25">
      <c r="B487" s="10" t="s">
        <v>1502</v>
      </c>
      <c r="C487" s="12">
        <v>33.700000000000003</v>
      </c>
    </row>
    <row r="488" spans="2:3" x14ac:dyDescent="0.25">
      <c r="B488" s="10" t="s">
        <v>1501</v>
      </c>
      <c r="C488" s="12">
        <v>32.4</v>
      </c>
    </row>
    <row r="489" spans="2:3" x14ac:dyDescent="0.25">
      <c r="B489" s="10" t="s">
        <v>1500</v>
      </c>
      <c r="C489" s="12">
        <v>31.56</v>
      </c>
    </row>
    <row r="490" spans="2:3" x14ac:dyDescent="0.25">
      <c r="B490" s="10" t="s">
        <v>1499</v>
      </c>
      <c r="C490" s="12">
        <v>32.619999999999997</v>
      </c>
    </row>
    <row r="491" spans="2:3" x14ac:dyDescent="0.25">
      <c r="B491" s="10" t="s">
        <v>1498</v>
      </c>
      <c r="C491" s="12">
        <v>33.700000000000003</v>
      </c>
    </row>
    <row r="492" spans="2:3" x14ac:dyDescent="0.25">
      <c r="B492" s="10" t="s">
        <v>1497</v>
      </c>
      <c r="C492" s="12">
        <v>34.159999999999997</v>
      </c>
    </row>
    <row r="493" spans="2:3" x14ac:dyDescent="0.25">
      <c r="B493" s="10" t="s">
        <v>1496</v>
      </c>
      <c r="C493" s="12">
        <v>37.340000000000003</v>
      </c>
    </row>
    <row r="494" spans="2:3" x14ac:dyDescent="0.25">
      <c r="B494" s="10" t="s">
        <v>1495</v>
      </c>
      <c r="C494" s="12">
        <v>35.549999999999997</v>
      </c>
    </row>
    <row r="495" spans="2:3" x14ac:dyDescent="0.25">
      <c r="B495" s="10" t="s">
        <v>1494</v>
      </c>
      <c r="C495" s="12">
        <v>33.15</v>
      </c>
    </row>
    <row r="496" spans="2:3" x14ac:dyDescent="0.25">
      <c r="B496" s="10" t="s">
        <v>1493</v>
      </c>
      <c r="C496" s="12">
        <v>35.03</v>
      </c>
    </row>
    <row r="497" spans="2:3" x14ac:dyDescent="0.25">
      <c r="B497" s="10" t="s">
        <v>1492</v>
      </c>
      <c r="C497" s="12">
        <v>36.76</v>
      </c>
    </row>
    <row r="498" spans="2:3" x14ac:dyDescent="0.25">
      <c r="B498" s="10" t="s">
        <v>1491</v>
      </c>
      <c r="C498" s="12">
        <v>35.729999999999997</v>
      </c>
    </row>
    <row r="499" spans="2:3" x14ac:dyDescent="0.25">
      <c r="B499" s="10" t="s">
        <v>1490</v>
      </c>
      <c r="C499" s="12">
        <v>36.1</v>
      </c>
    </row>
    <row r="500" spans="2:3" x14ac:dyDescent="0.25">
      <c r="B500" s="10" t="s">
        <v>1489</v>
      </c>
      <c r="C500" s="12">
        <v>36.65</v>
      </c>
    </row>
    <row r="501" spans="2:3" x14ac:dyDescent="0.25">
      <c r="B501" s="10" t="s">
        <v>1488</v>
      </c>
      <c r="C501" s="12">
        <v>38.36</v>
      </c>
    </row>
    <row r="502" spans="2:3" x14ac:dyDescent="0.25">
      <c r="B502" s="10" t="s">
        <v>1487</v>
      </c>
      <c r="C502" s="12">
        <v>37.97</v>
      </c>
    </row>
    <row r="503" spans="2:3" x14ac:dyDescent="0.25">
      <c r="B503" s="10" t="s">
        <v>1486</v>
      </c>
      <c r="C503" s="12">
        <v>34.21</v>
      </c>
    </row>
    <row r="504" spans="2:3" x14ac:dyDescent="0.25">
      <c r="B504" s="10" t="s">
        <v>1485</v>
      </c>
      <c r="C504" s="12">
        <v>31.32</v>
      </c>
    </row>
    <row r="505" spans="2:3" x14ac:dyDescent="0.25">
      <c r="B505" s="10" t="s">
        <v>1484</v>
      </c>
      <c r="C505" s="12">
        <v>30.44</v>
      </c>
    </row>
    <row r="506" spans="2:3" x14ac:dyDescent="0.25">
      <c r="B506" s="10" t="s">
        <v>1483</v>
      </c>
      <c r="C506" s="12">
        <v>30.32</v>
      </c>
    </row>
    <row r="507" spans="2:3" x14ac:dyDescent="0.25">
      <c r="B507" s="10" t="s">
        <v>1482</v>
      </c>
      <c r="C507" s="12">
        <v>29.1</v>
      </c>
    </row>
    <row r="508" spans="2:3" x14ac:dyDescent="0.25">
      <c r="B508" s="10" t="s">
        <v>1481</v>
      </c>
      <c r="C508" s="12">
        <v>29.83</v>
      </c>
    </row>
    <row r="509" spans="2:3" x14ac:dyDescent="0.25">
      <c r="B509" s="10" t="s">
        <v>1480</v>
      </c>
      <c r="C509" s="12">
        <v>30.91</v>
      </c>
    </row>
    <row r="510" spans="2:3" x14ac:dyDescent="0.25">
      <c r="B510" s="10" t="s">
        <v>1479</v>
      </c>
      <c r="C510" s="12">
        <v>29.76</v>
      </c>
    </row>
    <row r="511" spans="2:3" x14ac:dyDescent="0.25">
      <c r="B511" s="10" t="s">
        <v>1478</v>
      </c>
      <c r="C511" s="12">
        <v>28.31</v>
      </c>
    </row>
    <row r="512" spans="2:3" x14ac:dyDescent="0.25">
      <c r="B512" s="10" t="s">
        <v>1477</v>
      </c>
      <c r="C512" s="12">
        <v>28.47</v>
      </c>
    </row>
    <row r="513" spans="2:3" x14ac:dyDescent="0.25">
      <c r="B513" s="10" t="s">
        <v>1476</v>
      </c>
      <c r="C513" s="12">
        <v>27.9</v>
      </c>
    </row>
    <row r="514" spans="2:3" x14ac:dyDescent="0.25">
      <c r="B514" s="10" t="s">
        <v>1475</v>
      </c>
      <c r="C514" s="12">
        <v>26.81</v>
      </c>
    </row>
    <row r="515" spans="2:3" x14ac:dyDescent="0.25">
      <c r="B515" s="10" t="s">
        <v>1474</v>
      </c>
      <c r="C515" s="12">
        <v>26.07</v>
      </c>
    </row>
    <row r="516" spans="2:3" x14ac:dyDescent="0.25">
      <c r="B516" s="10" t="s">
        <v>1473</v>
      </c>
      <c r="C516" s="12">
        <v>27.51</v>
      </c>
    </row>
    <row r="517" spans="2:3" x14ac:dyDescent="0.25">
      <c r="B517" s="10" t="s">
        <v>1472</v>
      </c>
      <c r="C517" s="12">
        <v>27.72</v>
      </c>
    </row>
    <row r="518" spans="2:3" x14ac:dyDescent="0.25">
      <c r="B518" s="10" t="s">
        <v>1471</v>
      </c>
      <c r="C518" s="12">
        <v>28.52</v>
      </c>
    </row>
    <row r="519" spans="2:3" x14ac:dyDescent="0.25">
      <c r="B519" s="10" t="s">
        <v>1470</v>
      </c>
      <c r="C519" s="12">
        <v>28.2</v>
      </c>
    </row>
    <row r="520" spans="2:3" x14ac:dyDescent="0.25">
      <c r="B520" s="10" t="s">
        <v>1469</v>
      </c>
      <c r="C520" s="12">
        <v>28.55</v>
      </c>
    </row>
    <row r="521" spans="2:3" x14ac:dyDescent="0.25">
      <c r="B521" s="10" t="s">
        <v>1468</v>
      </c>
      <c r="C521" s="12">
        <v>27.69</v>
      </c>
    </row>
    <row r="522" spans="2:3" x14ac:dyDescent="0.25">
      <c r="B522" s="10" t="s">
        <v>1467</v>
      </c>
      <c r="C522" s="12">
        <v>28.48</v>
      </c>
    </row>
    <row r="523" spans="2:3" x14ac:dyDescent="0.25">
      <c r="B523" s="10" t="s">
        <v>1466</v>
      </c>
      <c r="C523" s="12">
        <v>28.95</v>
      </c>
    </row>
    <row r="524" spans="2:3" x14ac:dyDescent="0.25">
      <c r="B524" s="10" t="s">
        <v>1465</v>
      </c>
      <c r="C524" s="12">
        <v>30.68</v>
      </c>
    </row>
    <row r="525" spans="2:3" x14ac:dyDescent="0.25">
      <c r="B525" s="10" t="s">
        <v>1464</v>
      </c>
      <c r="C525" s="12">
        <v>30.88</v>
      </c>
    </row>
    <row r="526" spans="2:3" x14ac:dyDescent="0.25">
      <c r="B526" s="10" t="s">
        <v>1463</v>
      </c>
      <c r="C526" s="12">
        <v>29.82</v>
      </c>
    </row>
    <row r="527" spans="2:3" x14ac:dyDescent="0.25">
      <c r="B527" s="10" t="s">
        <v>1462</v>
      </c>
      <c r="C527" s="12">
        <v>28.17</v>
      </c>
    </row>
    <row r="528" spans="2:3" x14ac:dyDescent="0.25">
      <c r="B528" s="10" t="s">
        <v>1461</v>
      </c>
      <c r="C528" s="12">
        <v>28.92</v>
      </c>
    </row>
    <row r="529" spans="2:3" x14ac:dyDescent="0.25">
      <c r="B529" s="10" t="s">
        <v>1460</v>
      </c>
      <c r="C529" s="12">
        <v>29.69</v>
      </c>
    </row>
    <row r="530" spans="2:3" x14ac:dyDescent="0.25">
      <c r="B530" s="10" t="s">
        <v>1459</v>
      </c>
      <c r="C530" s="12">
        <v>31.84</v>
      </c>
    </row>
    <row r="531" spans="2:3" x14ac:dyDescent="0.25">
      <c r="B531" s="10" t="s">
        <v>1458</v>
      </c>
      <c r="C531" s="12">
        <v>34.229999999999997</v>
      </c>
    </row>
    <row r="532" spans="2:3" x14ac:dyDescent="0.25">
      <c r="B532" s="10" t="s">
        <v>1457</v>
      </c>
      <c r="C532" s="12">
        <v>34.880000000000003</v>
      </c>
    </row>
    <row r="533" spans="2:3" x14ac:dyDescent="0.25">
      <c r="B533" s="10" t="s">
        <v>1456</v>
      </c>
      <c r="C533" s="12">
        <v>33.76</v>
      </c>
    </row>
    <row r="534" spans="2:3" x14ac:dyDescent="0.25">
      <c r="B534" s="10" t="s">
        <v>1455</v>
      </c>
      <c r="C534" s="12">
        <v>35.369999999999997</v>
      </c>
    </row>
    <row r="535" spans="2:3" x14ac:dyDescent="0.25">
      <c r="B535" s="10" t="s">
        <v>1454</v>
      </c>
      <c r="C535" s="12">
        <v>35.869999999999997</v>
      </c>
    </row>
    <row r="536" spans="2:3" x14ac:dyDescent="0.25">
      <c r="B536" s="10" t="s">
        <v>1453</v>
      </c>
      <c r="C536" s="12">
        <v>36.65</v>
      </c>
    </row>
    <row r="537" spans="2:3" x14ac:dyDescent="0.25">
      <c r="B537" s="10" t="s">
        <v>1452</v>
      </c>
      <c r="C537" s="12">
        <v>35.119999999999997</v>
      </c>
    </row>
    <row r="538" spans="2:3" x14ac:dyDescent="0.25">
      <c r="B538" s="10" t="s">
        <v>1451</v>
      </c>
      <c r="C538" s="12">
        <v>38.46</v>
      </c>
    </row>
    <row r="539" spans="2:3" x14ac:dyDescent="0.25">
      <c r="B539" s="10" t="s">
        <v>1450</v>
      </c>
      <c r="C539" s="12">
        <v>39.26</v>
      </c>
    </row>
    <row r="540" spans="2:3" x14ac:dyDescent="0.25">
      <c r="B540" s="10" t="s">
        <v>1449</v>
      </c>
      <c r="C540" s="12">
        <v>39.6</v>
      </c>
    </row>
    <row r="541" spans="2:3" x14ac:dyDescent="0.25">
      <c r="B541" s="10" t="s">
        <v>1448</v>
      </c>
      <c r="C541" s="12">
        <v>37.92</v>
      </c>
    </row>
    <row r="542" spans="2:3" x14ac:dyDescent="0.25">
      <c r="B542" s="10" t="s">
        <v>1447</v>
      </c>
      <c r="C542" s="12">
        <v>38.619999999999997</v>
      </c>
    </row>
    <row r="543" spans="2:3" x14ac:dyDescent="0.25">
      <c r="B543" s="10" t="s">
        <v>1446</v>
      </c>
      <c r="C543" s="12">
        <v>38.869999999999997</v>
      </c>
    </row>
    <row r="544" spans="2:3" x14ac:dyDescent="0.25">
      <c r="B544" s="10" t="s">
        <v>1445</v>
      </c>
      <c r="C544" s="12">
        <v>39.51</v>
      </c>
    </row>
    <row r="545" spans="2:3" x14ac:dyDescent="0.25">
      <c r="B545" s="10" t="s">
        <v>1444</v>
      </c>
      <c r="C545" s="12">
        <v>41.78</v>
      </c>
    </row>
    <row r="546" spans="2:3" x14ac:dyDescent="0.25">
      <c r="B546" s="10" t="s">
        <v>1443</v>
      </c>
      <c r="C546" s="12">
        <v>39.65</v>
      </c>
    </row>
    <row r="547" spans="2:3" x14ac:dyDescent="0.25">
      <c r="B547" s="10" t="s">
        <v>1442</v>
      </c>
      <c r="C547" s="12">
        <v>38.03</v>
      </c>
    </row>
    <row r="548" spans="2:3" x14ac:dyDescent="0.25">
      <c r="B548" s="10" t="s">
        <v>1441</v>
      </c>
      <c r="C548" s="12">
        <v>37.159999999999997</v>
      </c>
    </row>
    <row r="549" spans="2:3" x14ac:dyDescent="0.25">
      <c r="B549" s="10" t="s">
        <v>1440</v>
      </c>
      <c r="C549" s="12">
        <v>38.74</v>
      </c>
    </row>
    <row r="550" spans="2:3" x14ac:dyDescent="0.25">
      <c r="B550" s="10" t="s">
        <v>1439</v>
      </c>
      <c r="C550" s="12">
        <v>40.049999999999997</v>
      </c>
    </row>
    <row r="551" spans="2:3" x14ac:dyDescent="0.25">
      <c r="B551" s="10" t="s">
        <v>1438</v>
      </c>
      <c r="C551" s="12">
        <v>39.090000000000003</v>
      </c>
    </row>
    <row r="552" spans="2:3" x14ac:dyDescent="0.25">
      <c r="B552" s="10" t="s">
        <v>1437</v>
      </c>
      <c r="C552" s="12">
        <v>40.07</v>
      </c>
    </row>
    <row r="553" spans="2:3" x14ac:dyDescent="0.25">
      <c r="B553" s="10" t="s">
        <v>1436</v>
      </c>
      <c r="C553" s="12">
        <v>40.729999999999997</v>
      </c>
    </row>
    <row r="554" spans="2:3" x14ac:dyDescent="0.25">
      <c r="B554" s="10" t="s">
        <v>1435</v>
      </c>
      <c r="C554" s="12">
        <v>38.5</v>
      </c>
    </row>
    <row r="555" spans="2:3" x14ac:dyDescent="0.25">
      <c r="B555" s="10" t="s">
        <v>1434</v>
      </c>
      <c r="C555" s="12">
        <v>38.49</v>
      </c>
    </row>
    <row r="556" spans="2:3" x14ac:dyDescent="0.25">
      <c r="B556" s="10" t="s">
        <v>1433</v>
      </c>
      <c r="C556" s="12">
        <v>38.85</v>
      </c>
    </row>
    <row r="557" spans="2:3" x14ac:dyDescent="0.25">
      <c r="B557" s="10" t="s">
        <v>1432</v>
      </c>
      <c r="C557" s="12">
        <v>39.85</v>
      </c>
    </row>
    <row r="558" spans="2:3" x14ac:dyDescent="0.25">
      <c r="B558" s="10" t="s">
        <v>1431</v>
      </c>
      <c r="C558" s="12">
        <v>41.31</v>
      </c>
    </row>
    <row r="559" spans="2:3" x14ac:dyDescent="0.25">
      <c r="B559" s="10" t="s">
        <v>1430</v>
      </c>
      <c r="C559" s="12">
        <v>39.58</v>
      </c>
    </row>
    <row r="560" spans="2:3" x14ac:dyDescent="0.25">
      <c r="B560" s="10" t="s">
        <v>1429</v>
      </c>
      <c r="C560" s="12">
        <v>37.619999999999997</v>
      </c>
    </row>
    <row r="561" spans="2:3" x14ac:dyDescent="0.25">
      <c r="B561" s="10" t="s">
        <v>1428</v>
      </c>
      <c r="C561" s="12">
        <v>37.07</v>
      </c>
    </row>
    <row r="562" spans="2:3" x14ac:dyDescent="0.25">
      <c r="B562" s="10" t="s">
        <v>1427</v>
      </c>
      <c r="C562" s="12">
        <v>36.76</v>
      </c>
    </row>
    <row r="563" spans="2:3" x14ac:dyDescent="0.25">
      <c r="B563" s="10" t="s">
        <v>1426</v>
      </c>
      <c r="C563" s="12">
        <v>37.86</v>
      </c>
    </row>
    <row r="564" spans="2:3" x14ac:dyDescent="0.25">
      <c r="B564" s="10" t="s">
        <v>1425</v>
      </c>
      <c r="C564" s="12">
        <v>37.200000000000003</v>
      </c>
    </row>
    <row r="565" spans="2:3" x14ac:dyDescent="0.25">
      <c r="B565" s="10" t="s">
        <v>1424</v>
      </c>
      <c r="C565" s="12">
        <v>36.15</v>
      </c>
    </row>
    <row r="566" spans="2:3" x14ac:dyDescent="0.25">
      <c r="B566" s="10" t="s">
        <v>1423</v>
      </c>
      <c r="C566" s="12">
        <v>37.840000000000003</v>
      </c>
    </row>
    <row r="567" spans="2:3" x14ac:dyDescent="0.25">
      <c r="B567" s="10" t="s">
        <v>1422</v>
      </c>
      <c r="C567" s="12">
        <v>37.31</v>
      </c>
    </row>
    <row r="568" spans="2:3" x14ac:dyDescent="0.25">
      <c r="B568" s="10" t="s">
        <v>1421</v>
      </c>
      <c r="C568" s="12">
        <v>36.11</v>
      </c>
    </row>
    <row r="569" spans="2:3" x14ac:dyDescent="0.25">
      <c r="B569" s="10" t="s">
        <v>1420</v>
      </c>
      <c r="C569" s="12">
        <v>36.06</v>
      </c>
    </row>
    <row r="570" spans="2:3" x14ac:dyDescent="0.25">
      <c r="B570" s="10" t="s">
        <v>1419</v>
      </c>
      <c r="C570" s="12">
        <v>35.76</v>
      </c>
    </row>
    <row r="571" spans="2:3" x14ac:dyDescent="0.25">
      <c r="B571" s="10" t="s">
        <v>1418</v>
      </c>
      <c r="C571" s="12">
        <v>36.299999999999997</v>
      </c>
    </row>
    <row r="572" spans="2:3" x14ac:dyDescent="0.25">
      <c r="B572" s="10" t="s">
        <v>1417</v>
      </c>
      <c r="C572" s="12">
        <v>36.049999999999997</v>
      </c>
    </row>
    <row r="573" spans="2:3" x14ac:dyDescent="0.25">
      <c r="B573" s="10" t="s">
        <v>1416</v>
      </c>
      <c r="C573" s="12">
        <v>38.42</v>
      </c>
    </row>
    <row r="574" spans="2:3" x14ac:dyDescent="0.25">
      <c r="B574" s="10" t="s">
        <v>1415</v>
      </c>
      <c r="C574" s="12">
        <v>43.13</v>
      </c>
    </row>
    <row r="575" spans="2:3" x14ac:dyDescent="0.25">
      <c r="B575" s="10" t="s">
        <v>1414</v>
      </c>
      <c r="C575" s="12">
        <v>43.46</v>
      </c>
    </row>
    <row r="576" spans="2:3" x14ac:dyDescent="0.25">
      <c r="B576" s="10" t="s">
        <v>1413</v>
      </c>
      <c r="C576" s="12">
        <v>43.24</v>
      </c>
    </row>
    <row r="577" spans="2:3" x14ac:dyDescent="0.25">
      <c r="B577" s="10" t="s">
        <v>1412</v>
      </c>
      <c r="C577" s="12">
        <v>40.369999999999997</v>
      </c>
    </row>
    <row r="578" spans="2:3" x14ac:dyDescent="0.25">
      <c r="B578" s="10" t="s">
        <v>1411</v>
      </c>
      <c r="C578" s="12">
        <v>38.43</v>
      </c>
    </row>
    <row r="579" spans="2:3" x14ac:dyDescent="0.25">
      <c r="B579" s="10" t="s">
        <v>1410</v>
      </c>
      <c r="C579" s="12">
        <v>39.96</v>
      </c>
    </row>
    <row r="580" spans="2:3" x14ac:dyDescent="0.25">
      <c r="B580" s="10" t="s">
        <v>1409</v>
      </c>
      <c r="C580" s="12">
        <v>40.44</v>
      </c>
    </row>
    <row r="581" spans="2:3" x14ac:dyDescent="0.25">
      <c r="B581" s="10" t="s">
        <v>1408</v>
      </c>
      <c r="C581" s="12">
        <v>38.82</v>
      </c>
    </row>
    <row r="582" spans="2:3" x14ac:dyDescent="0.25">
      <c r="B582" s="10" t="s">
        <v>1407</v>
      </c>
      <c r="C582" s="12">
        <v>39.979999999999997</v>
      </c>
    </row>
    <row r="583" spans="2:3" x14ac:dyDescent="0.25">
      <c r="B583" s="10" t="s">
        <v>1406</v>
      </c>
      <c r="C583" s="12">
        <v>39.71</v>
      </c>
    </row>
    <row r="584" spans="2:3" x14ac:dyDescent="0.25">
      <c r="B584" s="10" t="s">
        <v>1405</v>
      </c>
      <c r="C584" s="12">
        <v>40.81</v>
      </c>
    </row>
    <row r="585" spans="2:3" x14ac:dyDescent="0.25">
      <c r="B585" s="10" t="s">
        <v>1404</v>
      </c>
      <c r="C585" s="12">
        <v>41.61</v>
      </c>
    </row>
    <row r="586" spans="2:3" x14ac:dyDescent="0.25">
      <c r="B586" s="10" t="s">
        <v>1403</v>
      </c>
      <c r="C586" s="12">
        <v>40.89</v>
      </c>
    </row>
    <row r="587" spans="2:3" x14ac:dyDescent="0.25">
      <c r="B587" s="10" t="s">
        <v>1402</v>
      </c>
      <c r="C587" s="12">
        <v>40.56</v>
      </c>
    </row>
    <row r="588" spans="2:3" x14ac:dyDescent="0.25">
      <c r="B588" s="10" t="s">
        <v>1401</v>
      </c>
      <c r="C588" s="12">
        <v>40.44</v>
      </c>
    </row>
    <row r="589" spans="2:3" x14ac:dyDescent="0.25">
      <c r="B589" s="10" t="s">
        <v>1400</v>
      </c>
      <c r="C589" s="12">
        <v>40.79</v>
      </c>
    </row>
    <row r="590" spans="2:3" x14ac:dyDescent="0.25">
      <c r="B590" s="10" t="s">
        <v>1399</v>
      </c>
      <c r="C590" s="12">
        <v>40.94</v>
      </c>
    </row>
    <row r="591" spans="2:3" x14ac:dyDescent="0.25">
      <c r="B591" s="10" t="s">
        <v>1398</v>
      </c>
      <c r="C591" s="12">
        <v>42.2</v>
      </c>
    </row>
    <row r="592" spans="2:3" x14ac:dyDescent="0.25">
      <c r="B592" s="10" t="s">
        <v>1397</v>
      </c>
      <c r="C592" s="12">
        <v>43.61</v>
      </c>
    </row>
    <row r="593" spans="2:3" x14ac:dyDescent="0.25">
      <c r="B593" s="10" t="s">
        <v>1396</v>
      </c>
      <c r="C593" s="12">
        <v>43.08</v>
      </c>
    </row>
    <row r="594" spans="2:3" x14ac:dyDescent="0.25">
      <c r="B594" s="10" t="s">
        <v>1395</v>
      </c>
      <c r="C594" s="12">
        <v>42.71</v>
      </c>
    </row>
    <row r="595" spans="2:3" x14ac:dyDescent="0.25">
      <c r="B595" s="10" t="s">
        <v>1394</v>
      </c>
      <c r="C595" s="12">
        <v>42.21</v>
      </c>
    </row>
    <row r="596" spans="2:3" x14ac:dyDescent="0.25">
      <c r="B596" s="10" t="s">
        <v>1393</v>
      </c>
      <c r="C596" s="12">
        <v>40.049999999999997</v>
      </c>
    </row>
    <row r="597" spans="2:3" x14ac:dyDescent="0.25">
      <c r="B597" s="10" t="s">
        <v>1392</v>
      </c>
      <c r="C597" s="12">
        <v>38.75</v>
      </c>
    </row>
    <row r="598" spans="2:3" x14ac:dyDescent="0.25">
      <c r="B598" s="10" t="s">
        <v>1391</v>
      </c>
      <c r="C598" s="12">
        <v>36.67</v>
      </c>
    </row>
    <row r="599" spans="2:3" x14ac:dyDescent="0.25">
      <c r="B599" s="10" t="s">
        <v>1390</v>
      </c>
      <c r="C599" s="12">
        <v>36.08</v>
      </c>
    </row>
    <row r="600" spans="2:3" x14ac:dyDescent="0.25">
      <c r="B600" s="10" t="s">
        <v>1389</v>
      </c>
      <c r="C600" s="12">
        <v>34.11</v>
      </c>
    </row>
    <row r="601" spans="2:3" x14ac:dyDescent="0.25">
      <c r="B601" s="10" t="s">
        <v>1388</v>
      </c>
      <c r="C601" s="12">
        <v>33.369999999999997</v>
      </c>
    </row>
    <row r="602" spans="2:3" x14ac:dyDescent="0.25">
      <c r="B602" s="10" t="s">
        <v>1387</v>
      </c>
      <c r="C602" s="12">
        <v>31.61</v>
      </c>
    </row>
    <row r="603" spans="2:3" x14ac:dyDescent="0.25">
      <c r="B603" s="10" t="s">
        <v>1386</v>
      </c>
      <c r="C603" s="12">
        <v>28.54</v>
      </c>
    </row>
    <row r="604" spans="2:3" x14ac:dyDescent="0.25">
      <c r="B604" s="10" t="s">
        <v>1385</v>
      </c>
      <c r="C604" s="12">
        <v>31.2</v>
      </c>
    </row>
    <row r="605" spans="2:3" x14ac:dyDescent="0.25">
      <c r="B605" s="10" t="s">
        <v>1384</v>
      </c>
      <c r="C605" s="12">
        <v>33.21</v>
      </c>
    </row>
    <row r="606" spans="2:3" x14ac:dyDescent="0.25">
      <c r="B606" s="10" t="s">
        <v>1383</v>
      </c>
      <c r="C606" s="12">
        <v>30.11</v>
      </c>
    </row>
    <row r="607" spans="2:3" x14ac:dyDescent="0.25">
      <c r="B607" s="10" t="s">
        <v>1382</v>
      </c>
      <c r="C607" s="12">
        <v>30.62</v>
      </c>
    </row>
    <row r="608" spans="2:3" x14ac:dyDescent="0.25">
      <c r="B608" s="10" t="s">
        <v>1381</v>
      </c>
      <c r="C608" s="12">
        <v>29.35</v>
      </c>
    </row>
    <row r="609" spans="2:3" x14ac:dyDescent="0.25">
      <c r="B609" s="10" t="s">
        <v>1380</v>
      </c>
      <c r="C609" s="12">
        <v>29.59</v>
      </c>
    </row>
    <row r="610" spans="2:3" x14ac:dyDescent="0.25">
      <c r="B610" s="10" t="s">
        <v>1379</v>
      </c>
      <c r="C610" s="12">
        <v>28.91</v>
      </c>
    </row>
    <row r="611" spans="2:3" x14ac:dyDescent="0.25">
      <c r="B611" s="10" t="s">
        <v>1378</v>
      </c>
      <c r="C611" s="12">
        <v>26.55</v>
      </c>
    </row>
    <row r="612" spans="2:3" x14ac:dyDescent="0.25">
      <c r="B612" s="10" t="s">
        <v>1377</v>
      </c>
      <c r="C612" s="12">
        <v>27.27</v>
      </c>
    </row>
    <row r="613" spans="2:3" x14ac:dyDescent="0.25">
      <c r="B613" s="10" t="s">
        <v>1376</v>
      </c>
      <c r="C613" s="12">
        <v>27.47</v>
      </c>
    </row>
    <row r="614" spans="2:3" x14ac:dyDescent="0.25">
      <c r="B614" s="10" t="s">
        <v>1375</v>
      </c>
      <c r="C614" s="12">
        <v>25.97</v>
      </c>
    </row>
    <row r="615" spans="2:3" x14ac:dyDescent="0.25">
      <c r="B615" s="10" t="s">
        <v>1374</v>
      </c>
      <c r="C615" s="12">
        <v>26.59</v>
      </c>
    </row>
    <row r="616" spans="2:3" x14ac:dyDescent="0.25">
      <c r="B616" s="10" t="s">
        <v>1373</v>
      </c>
      <c r="C616" s="12">
        <v>25.23</v>
      </c>
    </row>
    <row r="617" spans="2:3" x14ac:dyDescent="0.25">
      <c r="B617" s="10" t="s">
        <v>1372</v>
      </c>
      <c r="C617" s="12">
        <v>24.55</v>
      </c>
    </row>
    <row r="618" spans="2:3" x14ac:dyDescent="0.25">
      <c r="B618" s="10" t="s">
        <v>1371</v>
      </c>
      <c r="C618" s="12">
        <v>24.2</v>
      </c>
    </row>
    <row r="619" spans="2:3" x14ac:dyDescent="0.25">
      <c r="B619" s="10" t="s">
        <v>1370</v>
      </c>
      <c r="C619" s="12">
        <v>23.01</v>
      </c>
    </row>
    <row r="620" spans="2:3" x14ac:dyDescent="0.25">
      <c r="B620" s="10" t="s">
        <v>1369</v>
      </c>
      <c r="C620" s="12">
        <v>21.63</v>
      </c>
    </row>
    <row r="621" spans="2:3" x14ac:dyDescent="0.25">
      <c r="B621" s="10" t="s">
        <v>1368</v>
      </c>
      <c r="C621" s="12">
        <v>24.18</v>
      </c>
    </row>
    <row r="622" spans="2:3" x14ac:dyDescent="0.25">
      <c r="B622" s="10" t="s">
        <v>1367</v>
      </c>
      <c r="C622" s="12">
        <v>25.23</v>
      </c>
    </row>
    <row r="623" spans="2:3" x14ac:dyDescent="0.25">
      <c r="B623" s="10" t="s">
        <v>1366</v>
      </c>
      <c r="C623" s="12">
        <v>24.16</v>
      </c>
    </row>
    <row r="624" spans="2:3" x14ac:dyDescent="0.25">
      <c r="B624" s="10" t="s">
        <v>1365</v>
      </c>
      <c r="C624" s="12">
        <v>26.15</v>
      </c>
    </row>
    <row r="625" spans="2:3" x14ac:dyDescent="0.25">
      <c r="B625" s="10" t="s">
        <v>1364</v>
      </c>
      <c r="C625" s="12">
        <v>26.06</v>
      </c>
    </row>
    <row r="626" spans="2:3" x14ac:dyDescent="0.25">
      <c r="B626" s="10" t="s">
        <v>1363</v>
      </c>
      <c r="C626" s="12">
        <v>25.9</v>
      </c>
    </row>
    <row r="627" spans="2:3" x14ac:dyDescent="0.25">
      <c r="B627" s="10" t="s">
        <v>1362</v>
      </c>
      <c r="C627" s="12">
        <v>28.49</v>
      </c>
    </row>
    <row r="628" spans="2:3" x14ac:dyDescent="0.25">
      <c r="B628" s="10" t="s">
        <v>1361</v>
      </c>
      <c r="C628" s="12">
        <v>26.9</v>
      </c>
    </row>
    <row r="629" spans="2:3" x14ac:dyDescent="0.25">
      <c r="B629" s="10" t="s">
        <v>1360</v>
      </c>
      <c r="C629" s="12">
        <v>26.4</v>
      </c>
    </row>
    <row r="630" spans="2:3" x14ac:dyDescent="0.25">
      <c r="B630" s="10" t="s">
        <v>1359</v>
      </c>
      <c r="C630" s="12">
        <v>25.65</v>
      </c>
    </row>
    <row r="631" spans="2:3" x14ac:dyDescent="0.25">
      <c r="B631" s="10" t="s">
        <v>1358</v>
      </c>
      <c r="C631" s="12">
        <v>24.95</v>
      </c>
    </row>
    <row r="632" spans="2:3" x14ac:dyDescent="0.25">
      <c r="B632" s="10" t="s">
        <v>1357</v>
      </c>
      <c r="C632" s="12">
        <v>26.71</v>
      </c>
    </row>
    <row r="633" spans="2:3" x14ac:dyDescent="0.25">
      <c r="B633" s="10" t="s">
        <v>1356</v>
      </c>
      <c r="C633" s="12">
        <v>25.26</v>
      </c>
    </row>
    <row r="634" spans="2:3" x14ac:dyDescent="0.25">
      <c r="B634" s="10" t="s">
        <v>1355</v>
      </c>
      <c r="C634" s="12">
        <v>25.31</v>
      </c>
    </row>
    <row r="635" spans="2:3" x14ac:dyDescent="0.25">
      <c r="B635" s="10" t="s">
        <v>1354</v>
      </c>
      <c r="C635" s="12">
        <v>27.51</v>
      </c>
    </row>
    <row r="636" spans="2:3" x14ac:dyDescent="0.25">
      <c r="B636" s="10" t="s">
        <v>1353</v>
      </c>
      <c r="C636" s="12">
        <v>28.49</v>
      </c>
    </row>
    <row r="637" spans="2:3" x14ac:dyDescent="0.25">
      <c r="B637" s="10" t="s">
        <v>1352</v>
      </c>
      <c r="C637" s="12">
        <v>29.84</v>
      </c>
    </row>
    <row r="638" spans="2:3" x14ac:dyDescent="0.25">
      <c r="B638" s="10" t="s">
        <v>1351</v>
      </c>
      <c r="C638" s="12">
        <v>28.77</v>
      </c>
    </row>
    <row r="639" spans="2:3" x14ac:dyDescent="0.25">
      <c r="B639" s="10" t="s">
        <v>1350</v>
      </c>
      <c r="C639" s="12">
        <v>28.64</v>
      </c>
    </row>
    <row r="640" spans="2:3" x14ac:dyDescent="0.25">
      <c r="B640" s="10" t="s">
        <v>1349</v>
      </c>
      <c r="C640" s="12">
        <v>29.07</v>
      </c>
    </row>
    <row r="641" spans="2:3" x14ac:dyDescent="0.25">
      <c r="B641" s="10" t="s">
        <v>1348</v>
      </c>
      <c r="C641" s="12">
        <v>28.27</v>
      </c>
    </row>
    <row r="642" spans="2:3" x14ac:dyDescent="0.25">
      <c r="B642" s="10" t="s">
        <v>1347</v>
      </c>
      <c r="C642" s="12">
        <v>26.64</v>
      </c>
    </row>
    <row r="643" spans="2:3" x14ac:dyDescent="0.25">
      <c r="B643" s="10" t="s">
        <v>1346</v>
      </c>
      <c r="C643" s="12">
        <v>29.61</v>
      </c>
    </row>
    <row r="644" spans="2:3" x14ac:dyDescent="0.25">
      <c r="B644" s="10" t="s">
        <v>1345</v>
      </c>
      <c r="C644" s="12">
        <v>29.34</v>
      </c>
    </row>
    <row r="645" spans="2:3" x14ac:dyDescent="0.25">
      <c r="B645" s="10" t="s">
        <v>1344</v>
      </c>
      <c r="C645" s="12">
        <v>28.7</v>
      </c>
    </row>
    <row r="646" spans="2:3" x14ac:dyDescent="0.25">
      <c r="B646" s="10" t="s">
        <v>1343</v>
      </c>
      <c r="C646" s="12">
        <v>29.11</v>
      </c>
    </row>
    <row r="647" spans="2:3" x14ac:dyDescent="0.25">
      <c r="B647" s="10" t="s">
        <v>1342</v>
      </c>
      <c r="C647" s="12">
        <v>29.11</v>
      </c>
    </row>
    <row r="648" spans="2:3" x14ac:dyDescent="0.25">
      <c r="B648" s="10" t="s">
        <v>1341</v>
      </c>
      <c r="C648" s="12">
        <v>29.06</v>
      </c>
    </row>
    <row r="649" spans="2:3" x14ac:dyDescent="0.25">
      <c r="B649" s="10" t="s">
        <v>1340</v>
      </c>
      <c r="C649" s="12">
        <v>31.27</v>
      </c>
    </row>
    <row r="650" spans="2:3" x14ac:dyDescent="0.25">
      <c r="B650" s="10" t="s">
        <v>1339</v>
      </c>
      <c r="C650" s="12">
        <v>29.51</v>
      </c>
    </row>
    <row r="651" spans="2:3" x14ac:dyDescent="0.25">
      <c r="B651" s="10" t="s">
        <v>1338</v>
      </c>
      <c r="C651" s="12">
        <v>28.3</v>
      </c>
    </row>
    <row r="652" spans="2:3" x14ac:dyDescent="0.25">
      <c r="B652" s="10" t="s">
        <v>1337</v>
      </c>
      <c r="C652" s="12">
        <v>26.42</v>
      </c>
    </row>
    <row r="653" spans="2:3" x14ac:dyDescent="0.25">
      <c r="B653" s="10" t="s">
        <v>1336</v>
      </c>
      <c r="C653" s="12">
        <v>25.92</v>
      </c>
    </row>
    <row r="654" spans="2:3" x14ac:dyDescent="0.25">
      <c r="B654" s="10" t="s">
        <v>1335</v>
      </c>
      <c r="C654" s="12">
        <v>27.59</v>
      </c>
    </row>
    <row r="655" spans="2:3" x14ac:dyDescent="0.25">
      <c r="B655" s="10" t="s">
        <v>1334</v>
      </c>
      <c r="C655" s="12">
        <v>26.9</v>
      </c>
    </row>
    <row r="656" spans="2:3" x14ac:dyDescent="0.25">
      <c r="B656" s="10" t="s">
        <v>1333</v>
      </c>
      <c r="C656" s="12">
        <v>27.7</v>
      </c>
    </row>
    <row r="657" spans="2:3" x14ac:dyDescent="0.25">
      <c r="B657" s="10" t="s">
        <v>1332</v>
      </c>
      <c r="C657" s="12">
        <v>26.9</v>
      </c>
    </row>
    <row r="658" spans="2:3" x14ac:dyDescent="0.25">
      <c r="B658" s="10" t="s">
        <v>1331</v>
      </c>
      <c r="C658" s="12">
        <v>26.4</v>
      </c>
    </row>
    <row r="659" spans="2:3" x14ac:dyDescent="0.25">
      <c r="B659" s="10" t="s">
        <v>1330</v>
      </c>
      <c r="C659" s="12">
        <v>26.56</v>
      </c>
    </row>
    <row r="660" spans="2:3" x14ac:dyDescent="0.25">
      <c r="B660" s="10" t="s">
        <v>1329</v>
      </c>
      <c r="C660" s="12">
        <v>27.17</v>
      </c>
    </row>
    <row r="661" spans="2:3" x14ac:dyDescent="0.25">
      <c r="B661" s="10" t="s">
        <v>1328</v>
      </c>
      <c r="C661" s="12">
        <v>28.31</v>
      </c>
    </row>
    <row r="662" spans="2:3" x14ac:dyDescent="0.25">
      <c r="B662" s="10" t="s">
        <v>1327</v>
      </c>
      <c r="C662" s="12">
        <v>27.36</v>
      </c>
    </row>
    <row r="663" spans="2:3" x14ac:dyDescent="0.25">
      <c r="B663" s="10" t="s">
        <v>1326</v>
      </c>
      <c r="C663" s="12">
        <v>27.67</v>
      </c>
    </row>
    <row r="664" spans="2:3" x14ac:dyDescent="0.25">
      <c r="B664" s="10" t="s">
        <v>1325</v>
      </c>
      <c r="C664" s="12">
        <v>29.1</v>
      </c>
    </row>
    <row r="665" spans="2:3" x14ac:dyDescent="0.25">
      <c r="B665" s="10" t="s">
        <v>1324</v>
      </c>
      <c r="C665" s="12">
        <v>28.6</v>
      </c>
    </row>
    <row r="666" spans="2:3" x14ac:dyDescent="0.25">
      <c r="B666" s="10" t="s">
        <v>1323</v>
      </c>
      <c r="C666" s="12">
        <v>26.92</v>
      </c>
    </row>
    <row r="667" spans="2:3" x14ac:dyDescent="0.25">
      <c r="B667" s="10" t="s">
        <v>1322</v>
      </c>
      <c r="C667" s="12">
        <v>26.02</v>
      </c>
    </row>
    <row r="668" spans="2:3" x14ac:dyDescent="0.25">
      <c r="B668" s="10" t="s">
        <v>1321</v>
      </c>
      <c r="C668" s="12">
        <v>23.99</v>
      </c>
    </row>
    <row r="669" spans="2:3" x14ac:dyDescent="0.25">
      <c r="B669" s="10" t="s">
        <v>1320</v>
      </c>
      <c r="C669" s="12">
        <v>24.28</v>
      </c>
    </row>
    <row r="670" spans="2:3" x14ac:dyDescent="0.25">
      <c r="B670" s="10" t="s">
        <v>1319</v>
      </c>
      <c r="C670" s="12">
        <v>26.66</v>
      </c>
    </row>
    <row r="671" spans="2:3" x14ac:dyDescent="0.25">
      <c r="B671" s="10" t="s">
        <v>1318</v>
      </c>
      <c r="C671" s="12">
        <v>26.24</v>
      </c>
    </row>
    <row r="672" spans="2:3" x14ac:dyDescent="0.25">
      <c r="B672" s="10" t="s">
        <v>1317</v>
      </c>
      <c r="C672" s="12">
        <v>25.1</v>
      </c>
    </row>
    <row r="673" spans="2:3" x14ac:dyDescent="0.25">
      <c r="B673" s="10" t="s">
        <v>1316</v>
      </c>
      <c r="C673" s="12">
        <v>27.02</v>
      </c>
    </row>
    <row r="674" spans="2:3" x14ac:dyDescent="0.25">
      <c r="B674" s="10" t="s">
        <v>1315</v>
      </c>
      <c r="C674" s="12">
        <v>26.59</v>
      </c>
    </row>
    <row r="675" spans="2:3" x14ac:dyDescent="0.25">
      <c r="B675" s="10" t="s">
        <v>1314</v>
      </c>
      <c r="C675" s="12">
        <v>27.73</v>
      </c>
    </row>
    <row r="676" spans="2:3" x14ac:dyDescent="0.25">
      <c r="B676" s="10" t="s">
        <v>1313</v>
      </c>
      <c r="C676" s="12">
        <v>26.63</v>
      </c>
    </row>
    <row r="677" spans="2:3" x14ac:dyDescent="0.25">
      <c r="B677" s="10" t="s">
        <v>1312</v>
      </c>
      <c r="C677" s="12">
        <v>27.15</v>
      </c>
    </row>
    <row r="678" spans="2:3" x14ac:dyDescent="0.25">
      <c r="B678" s="10" t="s">
        <v>1311</v>
      </c>
      <c r="C678" s="12">
        <v>29.16</v>
      </c>
    </row>
    <row r="679" spans="2:3" x14ac:dyDescent="0.25">
      <c r="B679" s="10" t="s">
        <v>1310</v>
      </c>
      <c r="C679" s="12">
        <v>30.78</v>
      </c>
    </row>
    <row r="680" spans="2:3" x14ac:dyDescent="0.25">
      <c r="B680" s="10" t="s">
        <v>1309</v>
      </c>
      <c r="C680" s="12">
        <v>29.56</v>
      </c>
    </row>
    <row r="681" spans="2:3" x14ac:dyDescent="0.25">
      <c r="B681" s="10" t="s">
        <v>1308</v>
      </c>
      <c r="C681" s="12">
        <v>33.11</v>
      </c>
    </row>
    <row r="682" spans="2:3" x14ac:dyDescent="0.25">
      <c r="B682" s="10" t="s">
        <v>1307</v>
      </c>
      <c r="C682" s="12">
        <v>33.57</v>
      </c>
    </row>
    <row r="683" spans="2:3" x14ac:dyDescent="0.25">
      <c r="B683" s="10" t="s">
        <v>1306</v>
      </c>
      <c r="C683" s="12">
        <v>33.35</v>
      </c>
    </row>
    <row r="684" spans="2:3" x14ac:dyDescent="0.25">
      <c r="B684" s="10" t="s">
        <v>1305</v>
      </c>
      <c r="C684" s="12">
        <v>34.76</v>
      </c>
    </row>
    <row r="685" spans="2:3" x14ac:dyDescent="0.25">
      <c r="B685" s="10" t="s">
        <v>1304</v>
      </c>
      <c r="C685" s="12">
        <v>36.51</v>
      </c>
    </row>
    <row r="686" spans="2:3" x14ac:dyDescent="0.25">
      <c r="B686" s="10" t="s">
        <v>1303</v>
      </c>
      <c r="C686" s="12">
        <v>35.270000000000003</v>
      </c>
    </row>
    <row r="687" spans="2:3" x14ac:dyDescent="0.25">
      <c r="B687" s="10" t="s">
        <v>1302</v>
      </c>
      <c r="C687" s="12">
        <v>34.840000000000003</v>
      </c>
    </row>
    <row r="688" spans="2:3" x14ac:dyDescent="0.25">
      <c r="B688" s="10" t="s">
        <v>1301</v>
      </c>
      <c r="C688" s="12">
        <v>36.130000000000003</v>
      </c>
    </row>
    <row r="689" spans="2:3" x14ac:dyDescent="0.25">
      <c r="B689" s="10" t="s">
        <v>1300</v>
      </c>
      <c r="C689" s="12">
        <v>37.03</v>
      </c>
    </row>
    <row r="690" spans="2:3" x14ac:dyDescent="0.25">
      <c r="B690" s="10" t="s">
        <v>1299</v>
      </c>
      <c r="C690" s="12">
        <v>38.97</v>
      </c>
    </row>
    <row r="691" spans="2:3" x14ac:dyDescent="0.25">
      <c r="B691" s="10" t="s">
        <v>1298</v>
      </c>
      <c r="C691" s="12">
        <v>38.9</v>
      </c>
    </row>
    <row r="692" spans="2:3" x14ac:dyDescent="0.25">
      <c r="B692" s="10" t="s">
        <v>1297</v>
      </c>
      <c r="C692" s="12">
        <v>37.700000000000003</v>
      </c>
    </row>
    <row r="693" spans="2:3" x14ac:dyDescent="0.25">
      <c r="B693" s="10" t="s">
        <v>1296</v>
      </c>
      <c r="C693" s="12">
        <v>36.020000000000003</v>
      </c>
    </row>
    <row r="694" spans="2:3" x14ac:dyDescent="0.25">
      <c r="B694" s="10" t="s">
        <v>1295</v>
      </c>
      <c r="C694" s="12">
        <v>37.93</v>
      </c>
    </row>
    <row r="695" spans="2:3" x14ac:dyDescent="0.25">
      <c r="B695" s="10" t="s">
        <v>1294</v>
      </c>
      <c r="C695" s="12">
        <v>39.85</v>
      </c>
    </row>
    <row r="696" spans="2:3" x14ac:dyDescent="0.25">
      <c r="B696" s="10" t="s">
        <v>1293</v>
      </c>
      <c r="C696" s="12">
        <v>42.27</v>
      </c>
    </row>
    <row r="697" spans="2:3" x14ac:dyDescent="0.25">
      <c r="B697" s="10" t="s">
        <v>1292</v>
      </c>
      <c r="C697" s="12">
        <v>43.23</v>
      </c>
    </row>
    <row r="698" spans="2:3" x14ac:dyDescent="0.25">
      <c r="B698" s="10" t="s">
        <v>1291</v>
      </c>
      <c r="C698" s="12">
        <v>42</v>
      </c>
    </row>
    <row r="699" spans="2:3" x14ac:dyDescent="0.25">
      <c r="B699" s="10" t="s">
        <v>1290</v>
      </c>
      <c r="C699" s="12">
        <v>42.41</v>
      </c>
    </row>
    <row r="700" spans="2:3" x14ac:dyDescent="0.25">
      <c r="B700" s="10" t="s">
        <v>1289</v>
      </c>
      <c r="C700" s="12">
        <v>42.31</v>
      </c>
    </row>
    <row r="701" spans="2:3" x14ac:dyDescent="0.25">
      <c r="B701" s="10" t="s">
        <v>1288</v>
      </c>
      <c r="C701" s="12">
        <v>43.51</v>
      </c>
    </row>
    <row r="702" spans="2:3" x14ac:dyDescent="0.25">
      <c r="B702" s="10" t="s">
        <v>1287</v>
      </c>
      <c r="C702" s="12">
        <v>43.81</v>
      </c>
    </row>
    <row r="703" spans="2:3" x14ac:dyDescent="0.25">
      <c r="B703" s="10" t="s">
        <v>1286</v>
      </c>
      <c r="C703" s="12">
        <v>40.770000000000003</v>
      </c>
    </row>
    <row r="704" spans="2:3" x14ac:dyDescent="0.25">
      <c r="B704" s="10" t="s">
        <v>1285</v>
      </c>
      <c r="C704" s="12">
        <v>40.22</v>
      </c>
    </row>
    <row r="705" spans="2:3" x14ac:dyDescent="0.25">
      <c r="B705" s="10" t="s">
        <v>1284</v>
      </c>
      <c r="C705" s="12">
        <v>39.22</v>
      </c>
    </row>
    <row r="706" spans="2:3" x14ac:dyDescent="0.25">
      <c r="B706" s="10" t="s">
        <v>1283</v>
      </c>
      <c r="C706" s="12">
        <v>41.19</v>
      </c>
    </row>
    <row r="707" spans="2:3" x14ac:dyDescent="0.25">
      <c r="B707" s="10" t="s">
        <v>1282</v>
      </c>
      <c r="C707" s="12">
        <v>43.4</v>
      </c>
    </row>
    <row r="708" spans="2:3" x14ac:dyDescent="0.25">
      <c r="B708" s="10" t="s">
        <v>1281</v>
      </c>
      <c r="C708" s="12">
        <v>45.15</v>
      </c>
    </row>
    <row r="709" spans="2:3" x14ac:dyDescent="0.25">
      <c r="B709" s="10" t="s">
        <v>1280</v>
      </c>
      <c r="C709" s="12">
        <v>44.26</v>
      </c>
    </row>
    <row r="710" spans="2:3" x14ac:dyDescent="0.25">
      <c r="B710" s="10" t="s">
        <v>1279</v>
      </c>
      <c r="C710" s="12">
        <v>45.12</v>
      </c>
    </row>
    <row r="711" spans="2:3" x14ac:dyDescent="0.25">
      <c r="B711" s="10" t="s">
        <v>1278</v>
      </c>
      <c r="C711" s="12">
        <v>43.01</v>
      </c>
    </row>
    <row r="712" spans="2:3" x14ac:dyDescent="0.25">
      <c r="B712" s="10" t="s">
        <v>1277</v>
      </c>
      <c r="C712" s="12">
        <v>40.14</v>
      </c>
    </row>
    <row r="713" spans="2:3" x14ac:dyDescent="0.25">
      <c r="B713" s="10" t="s">
        <v>1276</v>
      </c>
      <c r="C713" s="12">
        <v>39.92</v>
      </c>
    </row>
    <row r="714" spans="2:3" x14ac:dyDescent="0.25">
      <c r="B714" s="10" t="s">
        <v>1275</v>
      </c>
      <c r="C714" s="12">
        <v>43.43</v>
      </c>
    </row>
    <row r="715" spans="2:3" x14ac:dyDescent="0.25">
      <c r="B715" s="10" t="s">
        <v>1274</v>
      </c>
      <c r="C715" s="12">
        <v>42.03</v>
      </c>
    </row>
    <row r="716" spans="2:3" x14ac:dyDescent="0.25">
      <c r="B716" s="10" t="s">
        <v>1273</v>
      </c>
      <c r="C716" s="12">
        <v>38.159999999999997</v>
      </c>
    </row>
    <row r="717" spans="2:3" x14ac:dyDescent="0.25">
      <c r="B717" s="10" t="s">
        <v>1272</v>
      </c>
      <c r="C717" s="12">
        <v>37.31</v>
      </c>
    </row>
    <row r="718" spans="2:3" x14ac:dyDescent="0.25">
      <c r="B718" s="10" t="s">
        <v>1271</v>
      </c>
      <c r="C718" s="12">
        <v>33.729999999999997</v>
      </c>
    </row>
    <row r="719" spans="2:3" x14ac:dyDescent="0.25">
      <c r="B719" s="10" t="s">
        <v>1270</v>
      </c>
      <c r="C719" s="12">
        <v>30.04</v>
      </c>
    </row>
    <row r="720" spans="2:3" x14ac:dyDescent="0.25">
      <c r="B720" s="10" t="s">
        <v>1269</v>
      </c>
      <c r="C720" s="12">
        <v>32.82</v>
      </c>
    </row>
    <row r="721" spans="2:3" x14ac:dyDescent="0.25">
      <c r="B721" s="10" t="s">
        <v>1268</v>
      </c>
      <c r="C721" s="12">
        <v>35.869999999999997</v>
      </c>
    </row>
    <row r="722" spans="2:3" x14ac:dyDescent="0.25">
      <c r="B722" s="10" t="s">
        <v>1267</v>
      </c>
      <c r="C722" s="12">
        <v>35.68</v>
      </c>
    </row>
    <row r="723" spans="2:3" x14ac:dyDescent="0.25">
      <c r="B723" s="10" t="s">
        <v>1266</v>
      </c>
      <c r="C723" s="12">
        <v>38.32</v>
      </c>
    </row>
    <row r="724" spans="2:3" x14ac:dyDescent="0.25">
      <c r="B724" s="10" t="s">
        <v>1265</v>
      </c>
      <c r="C724" s="12">
        <v>38.74</v>
      </c>
    </row>
    <row r="725" spans="2:3" x14ac:dyDescent="0.25">
      <c r="B725" s="10" t="s">
        <v>1264</v>
      </c>
      <c r="C725" s="12">
        <v>39.700000000000003</v>
      </c>
    </row>
    <row r="726" spans="2:3" x14ac:dyDescent="0.25">
      <c r="B726" s="10" t="s">
        <v>1263</v>
      </c>
      <c r="C726" s="12">
        <v>38.5</v>
      </c>
    </row>
    <row r="727" spans="2:3" x14ac:dyDescent="0.25">
      <c r="B727" s="10" t="s">
        <v>1262</v>
      </c>
      <c r="C727" s="12">
        <v>36.979999999999997</v>
      </c>
    </row>
    <row r="728" spans="2:3" x14ac:dyDescent="0.25">
      <c r="B728" s="10" t="s">
        <v>1261</v>
      </c>
      <c r="C728" s="12">
        <v>39.94</v>
      </c>
    </row>
    <row r="729" spans="2:3" x14ac:dyDescent="0.25">
      <c r="B729" s="10" t="s">
        <v>1260</v>
      </c>
      <c r="C729" s="12">
        <v>40.17</v>
      </c>
    </row>
    <row r="730" spans="2:3" x14ac:dyDescent="0.25">
      <c r="B730" s="10" t="s">
        <v>1259</v>
      </c>
      <c r="C730" s="12">
        <v>45.65</v>
      </c>
    </row>
    <row r="731" spans="2:3" x14ac:dyDescent="0.25">
      <c r="B731" s="10" t="s">
        <v>1258</v>
      </c>
      <c r="C731" s="12">
        <v>48.61</v>
      </c>
    </row>
    <row r="732" spans="2:3" x14ac:dyDescent="0.25">
      <c r="B732" s="10" t="s">
        <v>1257</v>
      </c>
      <c r="C732" s="12">
        <v>48.52</v>
      </c>
    </row>
    <row r="733" spans="2:3" x14ac:dyDescent="0.25">
      <c r="B733" s="10" t="s">
        <v>1256</v>
      </c>
      <c r="C733" s="12">
        <v>50.58</v>
      </c>
    </row>
    <row r="734" spans="2:3" x14ac:dyDescent="0.25">
      <c r="B734" s="10" t="s">
        <v>1255</v>
      </c>
      <c r="C734" s="12">
        <v>50.34</v>
      </c>
    </row>
    <row r="735" spans="2:3" x14ac:dyDescent="0.25">
      <c r="B735" s="10" t="s">
        <v>1254</v>
      </c>
      <c r="C735" s="12">
        <v>48.75</v>
      </c>
    </row>
    <row r="736" spans="2:3" x14ac:dyDescent="0.25">
      <c r="B736" s="10" t="s">
        <v>1253</v>
      </c>
      <c r="C736" s="12">
        <v>49.27</v>
      </c>
    </row>
    <row r="737" spans="2:3" x14ac:dyDescent="0.25">
      <c r="B737" s="10" t="s">
        <v>1252</v>
      </c>
      <c r="C737" s="12">
        <v>49.72</v>
      </c>
    </row>
    <row r="738" spans="2:3" x14ac:dyDescent="0.25">
      <c r="B738" s="10" t="s">
        <v>1251</v>
      </c>
      <c r="C738" s="12">
        <v>46.8</v>
      </c>
    </row>
    <row r="739" spans="2:3" x14ac:dyDescent="0.25">
      <c r="B739" s="10" t="s">
        <v>1250</v>
      </c>
      <c r="C739" s="12">
        <v>45.62</v>
      </c>
    </row>
    <row r="740" spans="2:3" x14ac:dyDescent="0.25">
      <c r="B740" s="10" t="s">
        <v>1249</v>
      </c>
      <c r="C740" s="12">
        <v>49.41</v>
      </c>
    </row>
    <row r="741" spans="2:3" x14ac:dyDescent="0.25">
      <c r="B741" s="10" t="s">
        <v>1248</v>
      </c>
      <c r="C741" s="12">
        <v>48.76</v>
      </c>
    </row>
    <row r="742" spans="2:3" x14ac:dyDescent="0.25">
      <c r="B742" s="10" t="s">
        <v>1247</v>
      </c>
      <c r="C742" s="12">
        <v>46.68</v>
      </c>
    </row>
    <row r="743" spans="2:3" x14ac:dyDescent="0.25">
      <c r="B743" s="10" t="s">
        <v>1246</v>
      </c>
      <c r="C743" s="12">
        <v>44.13</v>
      </c>
    </row>
    <row r="744" spans="2:3" x14ac:dyDescent="0.25">
      <c r="B744" s="10" t="s">
        <v>1245</v>
      </c>
      <c r="C744" s="12">
        <v>44.07</v>
      </c>
    </row>
    <row r="745" spans="2:3" x14ac:dyDescent="0.25">
      <c r="B745" s="10" t="s">
        <v>1244</v>
      </c>
      <c r="C745" s="12">
        <v>43.63</v>
      </c>
    </row>
    <row r="746" spans="2:3" x14ac:dyDescent="0.25">
      <c r="B746" s="10" t="s">
        <v>1243</v>
      </c>
      <c r="C746" s="12">
        <v>43.83</v>
      </c>
    </row>
    <row r="747" spans="2:3" x14ac:dyDescent="0.25">
      <c r="B747" s="10" t="s">
        <v>1242</v>
      </c>
      <c r="C747" s="12">
        <v>44.01</v>
      </c>
    </row>
    <row r="748" spans="2:3" x14ac:dyDescent="0.25">
      <c r="B748" s="10" t="s">
        <v>1241</v>
      </c>
      <c r="C748" s="12">
        <v>44.35</v>
      </c>
    </row>
    <row r="749" spans="2:3" x14ac:dyDescent="0.25">
      <c r="B749" s="10" t="s">
        <v>1240</v>
      </c>
      <c r="C749" s="12">
        <v>47.4</v>
      </c>
    </row>
    <row r="750" spans="2:3" x14ac:dyDescent="0.25">
      <c r="B750" s="10" t="s">
        <v>1239</v>
      </c>
      <c r="C750" s="12">
        <v>46.29</v>
      </c>
    </row>
    <row r="751" spans="2:3" x14ac:dyDescent="0.25">
      <c r="B751" s="10" t="s">
        <v>1238</v>
      </c>
      <c r="C751" s="12">
        <v>44.62</v>
      </c>
    </row>
    <row r="752" spans="2:3" x14ac:dyDescent="0.25">
      <c r="B752" s="10" t="s">
        <v>1237</v>
      </c>
      <c r="C752" s="12">
        <v>42.03</v>
      </c>
    </row>
    <row r="753" spans="2:3" x14ac:dyDescent="0.25">
      <c r="B753" s="10" t="s">
        <v>1236</v>
      </c>
      <c r="C753" s="12">
        <v>40.28</v>
      </c>
    </row>
    <row r="754" spans="2:3" x14ac:dyDescent="0.25">
      <c r="B754" s="10" t="s">
        <v>1235</v>
      </c>
      <c r="C754" s="12">
        <v>39.369999999999997</v>
      </c>
    </row>
    <row r="755" spans="2:3" x14ac:dyDescent="0.25">
      <c r="B755" s="10" t="s">
        <v>1234</v>
      </c>
      <c r="C755" s="12">
        <v>38.83</v>
      </c>
    </row>
    <row r="756" spans="2:3" x14ac:dyDescent="0.25">
      <c r="B756" s="10" t="s">
        <v>1233</v>
      </c>
      <c r="C756" s="12">
        <v>37.65</v>
      </c>
    </row>
    <row r="757" spans="2:3" x14ac:dyDescent="0.25">
      <c r="B757" s="10" t="s">
        <v>1232</v>
      </c>
      <c r="C757" s="12">
        <v>37.51</v>
      </c>
    </row>
    <row r="758" spans="2:3" x14ac:dyDescent="0.25">
      <c r="B758" s="10" t="s">
        <v>1231</v>
      </c>
      <c r="C758" s="12">
        <v>36.47</v>
      </c>
    </row>
    <row r="759" spans="2:3" x14ac:dyDescent="0.25">
      <c r="B759" s="10" t="s">
        <v>1230</v>
      </c>
      <c r="C759" s="12">
        <v>33.6</v>
      </c>
    </row>
    <row r="760" spans="2:3" x14ac:dyDescent="0.25">
      <c r="B760" s="10" t="s">
        <v>1229</v>
      </c>
      <c r="C760" s="12">
        <v>37.6</v>
      </c>
    </row>
    <row r="761" spans="2:3" x14ac:dyDescent="0.25">
      <c r="B761" s="10" t="s">
        <v>1228</v>
      </c>
      <c r="C761" s="12">
        <v>41.66</v>
      </c>
    </row>
    <row r="762" spans="2:3" x14ac:dyDescent="0.25">
      <c r="B762" s="10" t="s">
        <v>1227</v>
      </c>
      <c r="C762" s="12">
        <v>42.26</v>
      </c>
    </row>
    <row r="763" spans="2:3" x14ac:dyDescent="0.25">
      <c r="B763" s="10" t="s">
        <v>1226</v>
      </c>
      <c r="C763" s="12">
        <v>42.23</v>
      </c>
    </row>
    <row r="764" spans="2:3" x14ac:dyDescent="0.25">
      <c r="B764" s="10" t="s">
        <v>1225</v>
      </c>
      <c r="C764" s="12">
        <v>37.700000000000003</v>
      </c>
    </row>
    <row r="765" spans="2:3" x14ac:dyDescent="0.25">
      <c r="B765" s="10" t="s">
        <v>1224</v>
      </c>
      <c r="C765" s="12">
        <v>37.479999999999997</v>
      </c>
    </row>
    <row r="766" spans="2:3" x14ac:dyDescent="0.25">
      <c r="B766" s="10" t="s">
        <v>1223</v>
      </c>
      <c r="C766" s="12">
        <v>35.82</v>
      </c>
    </row>
    <row r="767" spans="2:3" x14ac:dyDescent="0.25">
      <c r="B767" s="10" t="s">
        <v>1222</v>
      </c>
      <c r="C767" s="12">
        <v>34.950000000000003</v>
      </c>
    </row>
    <row r="768" spans="2:3" x14ac:dyDescent="0.25">
      <c r="B768" s="10" t="s">
        <v>1221</v>
      </c>
      <c r="C768" s="12">
        <v>34.869999999999997</v>
      </c>
    </row>
    <row r="769" spans="2:3" x14ac:dyDescent="0.25">
      <c r="B769" s="10" t="s">
        <v>1220</v>
      </c>
      <c r="C769" s="12">
        <v>35.71</v>
      </c>
    </row>
    <row r="770" spans="2:3" x14ac:dyDescent="0.25">
      <c r="B770" s="10" t="s">
        <v>1219</v>
      </c>
      <c r="C770" s="12">
        <v>34.43</v>
      </c>
    </row>
    <row r="771" spans="2:3" x14ac:dyDescent="0.25">
      <c r="B771" s="10" t="s">
        <v>1218</v>
      </c>
      <c r="C771" s="12">
        <v>34.049999999999997</v>
      </c>
    </row>
    <row r="772" spans="2:3" x14ac:dyDescent="0.25">
      <c r="B772" s="10" t="s">
        <v>1217</v>
      </c>
      <c r="C772" s="12">
        <v>35.43</v>
      </c>
    </row>
    <row r="773" spans="2:3" x14ac:dyDescent="0.25">
      <c r="B773" s="10" t="s">
        <v>1216</v>
      </c>
      <c r="C773" s="12">
        <v>35.590000000000003</v>
      </c>
    </row>
    <row r="774" spans="2:3" x14ac:dyDescent="0.25">
      <c r="B774" s="10" t="s">
        <v>1215</v>
      </c>
      <c r="C774" s="12">
        <v>34.4</v>
      </c>
    </row>
    <row r="775" spans="2:3" x14ac:dyDescent="0.25">
      <c r="B775" s="10" t="s">
        <v>1214</v>
      </c>
      <c r="C775" s="12">
        <v>34.44</v>
      </c>
    </row>
    <row r="776" spans="2:3" x14ac:dyDescent="0.25">
      <c r="B776" s="10" t="s">
        <v>1213</v>
      </c>
      <c r="C776" s="12">
        <v>36.51</v>
      </c>
    </row>
    <row r="777" spans="2:3" x14ac:dyDescent="0.25">
      <c r="B777" s="10" t="s">
        <v>1212</v>
      </c>
      <c r="C777" s="12">
        <v>37.06</v>
      </c>
    </row>
    <row r="778" spans="2:3" x14ac:dyDescent="0.25">
      <c r="B778" s="10" t="s">
        <v>1211</v>
      </c>
      <c r="C778" s="12">
        <v>37.61</v>
      </c>
    </row>
    <row r="779" spans="2:3" x14ac:dyDescent="0.25">
      <c r="B779" s="10" t="s">
        <v>1210</v>
      </c>
      <c r="C779" s="12">
        <v>39.950000000000003</v>
      </c>
    </row>
    <row r="780" spans="2:3" x14ac:dyDescent="0.25">
      <c r="B780" s="10" t="s">
        <v>1209</v>
      </c>
      <c r="C780" s="12">
        <v>41.76</v>
      </c>
    </row>
    <row r="781" spans="2:3" x14ac:dyDescent="0.25">
      <c r="B781" s="10" t="s">
        <v>1208</v>
      </c>
      <c r="C781" s="12">
        <v>43.38</v>
      </c>
    </row>
    <row r="782" spans="2:3" x14ac:dyDescent="0.25">
      <c r="B782" s="10" t="s">
        <v>1207</v>
      </c>
      <c r="C782" s="12">
        <v>45.29</v>
      </c>
    </row>
    <row r="783" spans="2:3" x14ac:dyDescent="0.25">
      <c r="B783" s="10" t="s">
        <v>1206</v>
      </c>
      <c r="C783" s="12">
        <v>46.84</v>
      </c>
    </row>
    <row r="784" spans="2:3" x14ac:dyDescent="0.25">
      <c r="B784" s="10" t="s">
        <v>1205</v>
      </c>
      <c r="C784" s="12">
        <v>42.36</v>
      </c>
    </row>
    <row r="785" spans="2:3" x14ac:dyDescent="0.25">
      <c r="B785" s="10" t="s">
        <v>1204</v>
      </c>
      <c r="C785" s="12">
        <v>47.2</v>
      </c>
    </row>
    <row r="786" spans="2:3" x14ac:dyDescent="0.25">
      <c r="B786" s="10" t="s">
        <v>1203</v>
      </c>
      <c r="C786" s="12">
        <v>45.57</v>
      </c>
    </row>
    <row r="787" spans="2:3" x14ac:dyDescent="0.25">
      <c r="B787" s="10" t="s">
        <v>1202</v>
      </c>
      <c r="C787" s="12">
        <v>45.77</v>
      </c>
    </row>
    <row r="788" spans="2:3" x14ac:dyDescent="0.25">
      <c r="B788" s="10" t="s">
        <v>1201</v>
      </c>
      <c r="C788" s="12">
        <v>46.28</v>
      </c>
    </row>
    <row r="789" spans="2:3" x14ac:dyDescent="0.25">
      <c r="B789" s="10" t="s">
        <v>1200</v>
      </c>
      <c r="C789" s="12">
        <v>44.31</v>
      </c>
    </row>
    <row r="790" spans="2:3" x14ac:dyDescent="0.25">
      <c r="B790" s="10" t="s">
        <v>1199</v>
      </c>
      <c r="C790" s="12">
        <v>39.78</v>
      </c>
    </row>
    <row r="791" spans="2:3" x14ac:dyDescent="0.25">
      <c r="B791" s="10" t="s">
        <v>1198</v>
      </c>
      <c r="C791" s="12">
        <v>43.43</v>
      </c>
    </row>
    <row r="792" spans="2:3" x14ac:dyDescent="0.25">
      <c r="B792" s="10" t="s">
        <v>1197</v>
      </c>
      <c r="C792" s="12">
        <v>44.78</v>
      </c>
    </row>
    <row r="793" spans="2:3" x14ac:dyDescent="0.25">
      <c r="B793" s="10" t="s">
        <v>1196</v>
      </c>
      <c r="C793" s="12">
        <v>41.76</v>
      </c>
    </row>
    <row r="794" spans="2:3" x14ac:dyDescent="0.25">
      <c r="B794" s="10" t="s">
        <v>1195</v>
      </c>
      <c r="C794" s="12">
        <v>39.1</v>
      </c>
    </row>
    <row r="795" spans="2:3" x14ac:dyDescent="0.25">
      <c r="B795" s="10" t="s">
        <v>1194</v>
      </c>
      <c r="C795" s="12">
        <v>41.14</v>
      </c>
    </row>
    <row r="796" spans="2:3" x14ac:dyDescent="0.25">
      <c r="B796" s="10" t="s">
        <v>1193</v>
      </c>
      <c r="C796" s="12">
        <v>42.47</v>
      </c>
    </row>
    <row r="797" spans="2:3" x14ac:dyDescent="0.25">
      <c r="B797" s="10" t="s">
        <v>1192</v>
      </c>
      <c r="C797" s="12">
        <v>41.79</v>
      </c>
    </row>
    <row r="798" spans="2:3" x14ac:dyDescent="0.25">
      <c r="B798" s="10" t="s">
        <v>1191</v>
      </c>
      <c r="C798" s="12">
        <v>40.32</v>
      </c>
    </row>
    <row r="799" spans="2:3" x14ac:dyDescent="0.25">
      <c r="B799" s="10" t="s">
        <v>1190</v>
      </c>
      <c r="C799" s="12">
        <v>42.3</v>
      </c>
    </row>
    <row r="800" spans="2:3" x14ac:dyDescent="0.25">
      <c r="B800" s="10" t="s">
        <v>1189</v>
      </c>
      <c r="C800" s="12">
        <v>42.24</v>
      </c>
    </row>
    <row r="801" spans="2:3" x14ac:dyDescent="0.25">
      <c r="B801" s="10" t="s">
        <v>1188</v>
      </c>
      <c r="C801" s="12">
        <v>39.35</v>
      </c>
    </row>
    <row r="802" spans="2:3" x14ac:dyDescent="0.25">
      <c r="B802" s="10" t="s">
        <v>1187</v>
      </c>
      <c r="C802" s="12">
        <v>37.619999999999997</v>
      </c>
    </row>
    <row r="803" spans="2:3" x14ac:dyDescent="0.25">
      <c r="B803" s="10" t="s">
        <v>1186</v>
      </c>
      <c r="C803" s="12">
        <v>39.25</v>
      </c>
    </row>
    <row r="804" spans="2:3" x14ac:dyDescent="0.25">
      <c r="B804" s="10" t="s">
        <v>1185</v>
      </c>
      <c r="C804" s="12">
        <v>36.99</v>
      </c>
    </row>
    <row r="805" spans="2:3" x14ac:dyDescent="0.25">
      <c r="B805" s="10" t="s">
        <v>1184</v>
      </c>
      <c r="C805" s="12">
        <v>39.96</v>
      </c>
    </row>
    <row r="806" spans="2:3" x14ac:dyDescent="0.25">
      <c r="B806" s="10" t="s">
        <v>1183</v>
      </c>
      <c r="C806" s="12">
        <v>38.65</v>
      </c>
    </row>
    <row r="807" spans="2:3" x14ac:dyDescent="0.25">
      <c r="B807" s="10" t="s">
        <v>1182</v>
      </c>
      <c r="C807" s="12">
        <v>37.92</v>
      </c>
    </row>
    <row r="808" spans="2:3" x14ac:dyDescent="0.25">
      <c r="B808" s="10" t="s">
        <v>1181</v>
      </c>
      <c r="C808" s="12">
        <v>38.770000000000003</v>
      </c>
    </row>
    <row r="809" spans="2:3" x14ac:dyDescent="0.25">
      <c r="B809" s="10" t="s">
        <v>1180</v>
      </c>
      <c r="C809" s="12">
        <v>41.51</v>
      </c>
    </row>
    <row r="810" spans="2:3" x14ac:dyDescent="0.25">
      <c r="B810" s="10" t="s">
        <v>1179</v>
      </c>
      <c r="C810" s="12">
        <v>42.69</v>
      </c>
    </row>
    <row r="811" spans="2:3" x14ac:dyDescent="0.25">
      <c r="B811" s="10" t="s">
        <v>1178</v>
      </c>
      <c r="C811" s="12">
        <v>40.94</v>
      </c>
    </row>
    <row r="812" spans="2:3" x14ac:dyDescent="0.25">
      <c r="B812" s="10" t="s">
        <v>1177</v>
      </c>
      <c r="C812" s="12">
        <v>39.76</v>
      </c>
    </row>
    <row r="813" spans="2:3" x14ac:dyDescent="0.25">
      <c r="B813" s="10" t="s">
        <v>1176</v>
      </c>
      <c r="C813" s="12">
        <v>42.26</v>
      </c>
    </row>
    <row r="814" spans="2:3" x14ac:dyDescent="0.25">
      <c r="B814" s="10" t="s">
        <v>1175</v>
      </c>
      <c r="C814" s="12">
        <v>44.81</v>
      </c>
    </row>
    <row r="815" spans="2:3" x14ac:dyDescent="0.25">
      <c r="B815" s="10" t="s">
        <v>1174</v>
      </c>
      <c r="C815" s="12">
        <v>46.23</v>
      </c>
    </row>
    <row r="816" spans="2:3" x14ac:dyDescent="0.25">
      <c r="B816" s="10" t="s">
        <v>1173</v>
      </c>
      <c r="C816" s="12">
        <v>45.63</v>
      </c>
    </row>
    <row r="817" spans="2:3" x14ac:dyDescent="0.25">
      <c r="B817" s="10" t="s">
        <v>1172</v>
      </c>
      <c r="C817" s="12">
        <v>46.68</v>
      </c>
    </row>
    <row r="818" spans="2:3" x14ac:dyDescent="0.25">
      <c r="B818" s="10" t="s">
        <v>1171</v>
      </c>
      <c r="C818" s="12">
        <v>46.63</v>
      </c>
    </row>
    <row r="819" spans="2:3" x14ac:dyDescent="0.25">
      <c r="B819" s="10" t="s">
        <v>1170</v>
      </c>
      <c r="C819" s="12">
        <v>41.74</v>
      </c>
    </row>
    <row r="820" spans="2:3" x14ac:dyDescent="0.25">
      <c r="B820" s="10" t="s">
        <v>1169</v>
      </c>
      <c r="C820" s="12">
        <v>39.06</v>
      </c>
    </row>
    <row r="821" spans="2:3" x14ac:dyDescent="0.25">
      <c r="B821" s="10" t="s">
        <v>1168</v>
      </c>
      <c r="C821" s="12">
        <v>43.03</v>
      </c>
    </row>
    <row r="822" spans="2:3" x14ac:dyDescent="0.25">
      <c r="B822" s="10" t="s">
        <v>1167</v>
      </c>
      <c r="C822" s="12">
        <v>43.18</v>
      </c>
    </row>
    <row r="823" spans="2:3" x14ac:dyDescent="0.25">
      <c r="B823" s="10" t="s">
        <v>1166</v>
      </c>
      <c r="C823" s="12">
        <v>41.54</v>
      </c>
    </row>
    <row r="824" spans="2:3" x14ac:dyDescent="0.25">
      <c r="B824" s="10" t="s">
        <v>1165</v>
      </c>
      <c r="C824" s="12">
        <v>40.39</v>
      </c>
    </row>
    <row r="825" spans="2:3" x14ac:dyDescent="0.25">
      <c r="B825" s="10" t="s">
        <v>1164</v>
      </c>
      <c r="C825" s="12">
        <v>40.07</v>
      </c>
    </row>
    <row r="826" spans="2:3" x14ac:dyDescent="0.25">
      <c r="B826" s="10" t="s">
        <v>1163</v>
      </c>
      <c r="C826" s="12">
        <v>43.09</v>
      </c>
    </row>
    <row r="827" spans="2:3" x14ac:dyDescent="0.25">
      <c r="B827" s="10" t="s">
        <v>1162</v>
      </c>
      <c r="C827" s="12">
        <v>42.43</v>
      </c>
    </row>
    <row r="828" spans="2:3" x14ac:dyDescent="0.25">
      <c r="B828" s="10" t="s">
        <v>1161</v>
      </c>
      <c r="C828" s="12">
        <v>41.06</v>
      </c>
    </row>
    <row r="829" spans="2:3" x14ac:dyDescent="0.25">
      <c r="B829" s="10" t="s">
        <v>1160</v>
      </c>
      <c r="C829" s="12">
        <v>41.86</v>
      </c>
    </row>
    <row r="830" spans="2:3" x14ac:dyDescent="0.25">
      <c r="B830" s="10" t="s">
        <v>1159</v>
      </c>
      <c r="C830" s="12">
        <v>42.98</v>
      </c>
    </row>
    <row r="831" spans="2:3" x14ac:dyDescent="0.25">
      <c r="B831" s="10" t="s">
        <v>1158</v>
      </c>
      <c r="C831" s="12">
        <v>42.52</v>
      </c>
    </row>
    <row r="832" spans="2:3" x14ac:dyDescent="0.25">
      <c r="B832" s="10" t="s">
        <v>1157</v>
      </c>
      <c r="C832" s="12">
        <v>44.51</v>
      </c>
    </row>
    <row r="833" spans="2:3" x14ac:dyDescent="0.25">
      <c r="B833" s="10" t="s">
        <v>1156</v>
      </c>
      <c r="C833" s="12">
        <v>48.79</v>
      </c>
    </row>
    <row r="834" spans="2:3" x14ac:dyDescent="0.25">
      <c r="B834" s="10" t="s">
        <v>1155</v>
      </c>
      <c r="C834" s="12">
        <v>50.06</v>
      </c>
    </row>
    <row r="835" spans="2:3" x14ac:dyDescent="0.25">
      <c r="B835" s="10" t="s">
        <v>1154</v>
      </c>
      <c r="C835" s="12">
        <v>49.05</v>
      </c>
    </row>
    <row r="836" spans="2:3" x14ac:dyDescent="0.25">
      <c r="B836" s="10" t="s">
        <v>1153</v>
      </c>
      <c r="C836" s="12">
        <v>51.3</v>
      </c>
    </row>
    <row r="837" spans="2:3" x14ac:dyDescent="0.25">
      <c r="B837" s="10" t="s">
        <v>1152</v>
      </c>
      <c r="C837" s="12">
        <v>53.26</v>
      </c>
    </row>
    <row r="838" spans="2:3" x14ac:dyDescent="0.25">
      <c r="B838" s="10" t="s">
        <v>1151</v>
      </c>
      <c r="C838" s="12">
        <v>55.06</v>
      </c>
    </row>
    <row r="839" spans="2:3" x14ac:dyDescent="0.25">
      <c r="B839" s="10" t="s">
        <v>1150</v>
      </c>
      <c r="C839" s="12">
        <v>57.27</v>
      </c>
    </row>
    <row r="840" spans="2:3" x14ac:dyDescent="0.25">
      <c r="B840" s="10" t="s">
        <v>1149</v>
      </c>
      <c r="C840" s="12">
        <v>61.64</v>
      </c>
    </row>
    <row r="841" spans="2:3" x14ac:dyDescent="0.25">
      <c r="B841" s="10" t="s">
        <v>1148</v>
      </c>
      <c r="C841" s="12">
        <v>54.56</v>
      </c>
    </row>
    <row r="842" spans="2:3" x14ac:dyDescent="0.25">
      <c r="B842" s="10" t="s">
        <v>1147</v>
      </c>
      <c r="C842" s="12">
        <v>49.24</v>
      </c>
    </row>
    <row r="843" spans="2:3" x14ac:dyDescent="0.25">
      <c r="B843" s="10" t="s">
        <v>1146</v>
      </c>
      <c r="C843" s="12">
        <v>51.27</v>
      </c>
    </row>
    <row r="844" spans="2:3" x14ac:dyDescent="0.25">
      <c r="B844" s="10" t="s">
        <v>1145</v>
      </c>
      <c r="C844" s="12">
        <v>53.21</v>
      </c>
    </row>
    <row r="845" spans="2:3" x14ac:dyDescent="0.25">
      <c r="B845" s="10" t="s">
        <v>1144</v>
      </c>
      <c r="C845" s="12">
        <v>56.95</v>
      </c>
    </row>
    <row r="846" spans="2:3" x14ac:dyDescent="0.25">
      <c r="B846" s="10" t="s">
        <v>1143</v>
      </c>
      <c r="C846" s="12">
        <v>58.54</v>
      </c>
    </row>
    <row r="847" spans="2:3" x14ac:dyDescent="0.25">
      <c r="B847" s="10" t="s">
        <v>1142</v>
      </c>
      <c r="C847" s="12">
        <v>58.48</v>
      </c>
    </row>
    <row r="848" spans="2:3" x14ac:dyDescent="0.25">
      <c r="B848" s="10" t="s">
        <v>1141</v>
      </c>
      <c r="C848" s="12">
        <v>56.07</v>
      </c>
    </row>
    <row r="849" spans="2:3" x14ac:dyDescent="0.25">
      <c r="B849" s="10" t="s">
        <v>1140</v>
      </c>
      <c r="C849" s="12">
        <v>57.88</v>
      </c>
    </row>
    <row r="850" spans="2:3" x14ac:dyDescent="0.25">
      <c r="B850" s="10" t="s">
        <v>1139</v>
      </c>
      <c r="C850" s="12">
        <v>62.51</v>
      </c>
    </row>
    <row r="851" spans="2:3" x14ac:dyDescent="0.25">
      <c r="B851" s="10" t="s">
        <v>1138</v>
      </c>
      <c r="C851" s="12">
        <v>61.98</v>
      </c>
    </row>
    <row r="852" spans="2:3" x14ac:dyDescent="0.25">
      <c r="B852" s="10" t="s">
        <v>1137</v>
      </c>
      <c r="C852" s="12">
        <v>59.03</v>
      </c>
    </row>
    <row r="853" spans="2:3" x14ac:dyDescent="0.25">
      <c r="B853" s="10" t="s">
        <v>1136</v>
      </c>
      <c r="C853" s="12">
        <v>55.56</v>
      </c>
    </row>
    <row r="854" spans="2:3" x14ac:dyDescent="0.25">
      <c r="B854" s="10" t="s">
        <v>1135</v>
      </c>
      <c r="C854" s="12">
        <v>56.47</v>
      </c>
    </row>
    <row r="855" spans="2:3" x14ac:dyDescent="0.25">
      <c r="B855" s="10" t="s">
        <v>1134</v>
      </c>
      <c r="C855" s="12">
        <v>55.65</v>
      </c>
    </row>
    <row r="856" spans="2:3" x14ac:dyDescent="0.25">
      <c r="B856" s="10" t="s">
        <v>1133</v>
      </c>
      <c r="C856" s="12">
        <v>56.88</v>
      </c>
    </row>
    <row r="857" spans="2:3" x14ac:dyDescent="0.25">
      <c r="B857" s="10" t="s">
        <v>1132</v>
      </c>
      <c r="C857" s="12">
        <v>62.19</v>
      </c>
    </row>
    <row r="858" spans="2:3" x14ac:dyDescent="0.25">
      <c r="B858" s="10" t="s">
        <v>1131</v>
      </c>
      <c r="C858" s="12">
        <v>65.709999999999994</v>
      </c>
    </row>
    <row r="859" spans="2:3" x14ac:dyDescent="0.25">
      <c r="B859" s="10" t="s">
        <v>1130</v>
      </c>
      <c r="C859" s="12">
        <v>57.41</v>
      </c>
    </row>
    <row r="860" spans="2:3" x14ac:dyDescent="0.25">
      <c r="B860" s="10" t="s">
        <v>1129</v>
      </c>
      <c r="C860" s="12">
        <v>57.91</v>
      </c>
    </row>
    <row r="861" spans="2:3" x14ac:dyDescent="0.25">
      <c r="B861" s="10" t="s">
        <v>1128</v>
      </c>
      <c r="C861" s="12">
        <v>64.7</v>
      </c>
    </row>
    <row r="862" spans="2:3" x14ac:dyDescent="0.25">
      <c r="B862" s="10" t="s">
        <v>1127</v>
      </c>
      <c r="C862" s="12">
        <v>69.44</v>
      </c>
    </row>
    <row r="863" spans="2:3" x14ac:dyDescent="0.25">
      <c r="B863" s="10" t="s">
        <v>1126</v>
      </c>
      <c r="C863" s="12">
        <v>67.400000000000006</v>
      </c>
    </row>
    <row r="864" spans="2:3" x14ac:dyDescent="0.25">
      <c r="B864" s="10" t="s">
        <v>1125</v>
      </c>
      <c r="C864" s="12">
        <v>65.02</v>
      </c>
    </row>
    <row r="865" spans="2:3" x14ac:dyDescent="0.25">
      <c r="B865" s="10" t="s">
        <v>1124</v>
      </c>
      <c r="C865" s="12">
        <v>70.959999999999994</v>
      </c>
    </row>
    <row r="866" spans="2:3" x14ac:dyDescent="0.25">
      <c r="B866" s="10" t="s">
        <v>1123</v>
      </c>
      <c r="C866" s="12">
        <v>70.38</v>
      </c>
    </row>
    <row r="867" spans="2:3" x14ac:dyDescent="0.25">
      <c r="B867" s="10" t="s">
        <v>1122</v>
      </c>
      <c r="C867" s="12">
        <v>65.12</v>
      </c>
    </row>
    <row r="868" spans="2:3" x14ac:dyDescent="0.25">
      <c r="B868" s="10" t="s">
        <v>1121</v>
      </c>
      <c r="C868" s="12">
        <v>59.41</v>
      </c>
    </row>
    <row r="869" spans="2:3" x14ac:dyDescent="0.25">
      <c r="B869" s="10" t="s">
        <v>1120</v>
      </c>
      <c r="C869" s="12">
        <v>57.52</v>
      </c>
    </row>
    <row r="870" spans="2:3" x14ac:dyDescent="0.25">
      <c r="B870" s="10" t="s">
        <v>1119</v>
      </c>
      <c r="C870" s="12">
        <v>59.61</v>
      </c>
    </row>
    <row r="871" spans="2:3" x14ac:dyDescent="0.25">
      <c r="B871" s="10" t="s">
        <v>1118</v>
      </c>
      <c r="C871" s="12">
        <v>59.23</v>
      </c>
    </row>
    <row r="872" spans="2:3" x14ac:dyDescent="0.25">
      <c r="B872" s="10" t="s">
        <v>1117</v>
      </c>
      <c r="C872" s="12">
        <v>56.36</v>
      </c>
    </row>
    <row r="873" spans="2:3" x14ac:dyDescent="0.25">
      <c r="B873" s="10" t="s">
        <v>1116</v>
      </c>
      <c r="C873" s="12">
        <v>56.47</v>
      </c>
    </row>
    <row r="874" spans="2:3" x14ac:dyDescent="0.25">
      <c r="B874" s="10" t="s">
        <v>1115</v>
      </c>
      <c r="C874" s="12">
        <v>55.28</v>
      </c>
    </row>
    <row r="875" spans="2:3" x14ac:dyDescent="0.25">
      <c r="B875" s="10" t="s">
        <v>1114</v>
      </c>
      <c r="C875" s="12">
        <v>52.78</v>
      </c>
    </row>
    <row r="876" spans="2:3" x14ac:dyDescent="0.25">
      <c r="B876" s="10" t="s">
        <v>1113</v>
      </c>
      <c r="C876" s="12">
        <v>53.36</v>
      </c>
    </row>
    <row r="877" spans="2:3" x14ac:dyDescent="0.25">
      <c r="B877" s="10" t="s">
        <v>1112</v>
      </c>
      <c r="C877" s="12">
        <v>55.39</v>
      </c>
    </row>
    <row r="878" spans="2:3" x14ac:dyDescent="0.25">
      <c r="B878" s="10" t="s">
        <v>1111</v>
      </c>
      <c r="C878" s="12">
        <v>58.64</v>
      </c>
    </row>
    <row r="879" spans="2:3" x14ac:dyDescent="0.25">
      <c r="B879" s="10" t="s">
        <v>1110</v>
      </c>
      <c r="C879" s="12">
        <v>59.67</v>
      </c>
    </row>
    <row r="880" spans="2:3" x14ac:dyDescent="0.25">
      <c r="B880" s="10" t="s">
        <v>1109</v>
      </c>
      <c r="C880" s="12">
        <v>61.36</v>
      </c>
    </row>
    <row r="881" spans="2:3" x14ac:dyDescent="0.25">
      <c r="B881" s="10" t="s">
        <v>1108</v>
      </c>
      <c r="C881" s="12">
        <v>61.5</v>
      </c>
    </row>
    <row r="882" spans="2:3" x14ac:dyDescent="0.25">
      <c r="B882" s="10" t="s">
        <v>1107</v>
      </c>
      <c r="C882" s="12">
        <v>60.65</v>
      </c>
    </row>
    <row r="883" spans="2:3" x14ac:dyDescent="0.25">
      <c r="B883" s="10" t="s">
        <v>1106</v>
      </c>
      <c r="C883" s="12">
        <v>59.63</v>
      </c>
    </row>
    <row r="884" spans="2:3" x14ac:dyDescent="0.25">
      <c r="B884" s="10" t="s">
        <v>1105</v>
      </c>
      <c r="C884" s="12">
        <v>63.57</v>
      </c>
    </row>
    <row r="885" spans="2:3" x14ac:dyDescent="0.25">
      <c r="B885" s="10" t="s">
        <v>1104</v>
      </c>
      <c r="C885" s="12">
        <v>62.46</v>
      </c>
    </row>
    <row r="886" spans="2:3" x14ac:dyDescent="0.25">
      <c r="B886" s="10" t="s">
        <v>1103</v>
      </c>
      <c r="C886" s="12">
        <v>62.94</v>
      </c>
    </row>
    <row r="887" spans="2:3" x14ac:dyDescent="0.25">
      <c r="B887" s="10" t="s">
        <v>1102</v>
      </c>
      <c r="C887" s="12">
        <v>66.44</v>
      </c>
    </row>
    <row r="888" spans="2:3" x14ac:dyDescent="0.25">
      <c r="B888" s="10" t="s">
        <v>1101</v>
      </c>
      <c r="C888" s="12">
        <v>69.28</v>
      </c>
    </row>
    <row r="889" spans="2:3" x14ac:dyDescent="0.25">
      <c r="B889" s="10" t="s">
        <v>1100</v>
      </c>
      <c r="C889" s="12">
        <v>73.09</v>
      </c>
    </row>
    <row r="890" spans="2:3" x14ac:dyDescent="0.25">
      <c r="B890" s="10" t="s">
        <v>1099</v>
      </c>
      <c r="C890" s="12">
        <v>73.53</v>
      </c>
    </row>
    <row r="891" spans="2:3" x14ac:dyDescent="0.25">
      <c r="B891" s="10" t="s">
        <v>1098</v>
      </c>
      <c r="C891" s="12">
        <v>75.25</v>
      </c>
    </row>
    <row r="892" spans="2:3" x14ac:dyDescent="0.25">
      <c r="B892" s="10" t="s">
        <v>1097</v>
      </c>
      <c r="C892" s="12">
        <v>72.42</v>
      </c>
    </row>
    <row r="893" spans="2:3" x14ac:dyDescent="0.25">
      <c r="B893" s="10" t="s">
        <v>1096</v>
      </c>
      <c r="C893" s="12">
        <v>72.5</v>
      </c>
    </row>
    <row r="894" spans="2:3" x14ac:dyDescent="0.25">
      <c r="B894" s="10" t="s">
        <v>1095</v>
      </c>
      <c r="C894" s="12">
        <v>70.349999999999994</v>
      </c>
    </row>
    <row r="895" spans="2:3" x14ac:dyDescent="0.25">
      <c r="B895" s="10" t="s">
        <v>1094</v>
      </c>
      <c r="C895" s="12">
        <v>66.010000000000005</v>
      </c>
    </row>
    <row r="896" spans="2:3" x14ac:dyDescent="0.25">
      <c r="B896" s="10" t="s">
        <v>1093</v>
      </c>
      <c r="C896" s="12">
        <v>64.959999999999994</v>
      </c>
    </row>
    <row r="897" spans="2:3" x14ac:dyDescent="0.25">
      <c r="B897" s="10" t="s">
        <v>1092</v>
      </c>
      <c r="C897" s="12">
        <v>64.08</v>
      </c>
    </row>
    <row r="898" spans="2:3" x14ac:dyDescent="0.25">
      <c r="B898" s="10" t="s">
        <v>1091</v>
      </c>
      <c r="C898" s="12">
        <v>63.2</v>
      </c>
    </row>
    <row r="899" spans="2:3" x14ac:dyDescent="0.25">
      <c r="B899" s="10" t="s">
        <v>1090</v>
      </c>
      <c r="C899" s="12">
        <v>59.55</v>
      </c>
    </row>
    <row r="900" spans="2:3" x14ac:dyDescent="0.25">
      <c r="B900" s="10" t="s">
        <v>1089</v>
      </c>
      <c r="C900" s="12">
        <v>58.36</v>
      </c>
    </row>
    <row r="901" spans="2:3" x14ac:dyDescent="0.25">
      <c r="B901" s="10" t="s">
        <v>1088</v>
      </c>
      <c r="C901" s="12">
        <v>61.98</v>
      </c>
    </row>
    <row r="902" spans="2:3" x14ac:dyDescent="0.25">
      <c r="B902" s="10" t="s">
        <v>1087</v>
      </c>
      <c r="C902" s="12">
        <v>63.76</v>
      </c>
    </row>
    <row r="903" spans="2:3" x14ac:dyDescent="0.25">
      <c r="B903" s="10" t="s">
        <v>1086</v>
      </c>
      <c r="C903" s="12">
        <v>62.7</v>
      </c>
    </row>
    <row r="904" spans="2:3" x14ac:dyDescent="0.25">
      <c r="B904" s="10" t="s">
        <v>1085</v>
      </c>
      <c r="C904" s="12">
        <v>62.82</v>
      </c>
    </row>
    <row r="905" spans="2:3" x14ac:dyDescent="0.25">
      <c r="B905" s="10" t="s">
        <v>1084</v>
      </c>
      <c r="C905" s="12">
        <v>65.13</v>
      </c>
    </row>
    <row r="906" spans="2:3" x14ac:dyDescent="0.25">
      <c r="B906" s="10" t="s">
        <v>1083</v>
      </c>
      <c r="C906" s="12">
        <v>64.849999999999994</v>
      </c>
    </row>
    <row r="907" spans="2:3" x14ac:dyDescent="0.25">
      <c r="B907" s="10" t="s">
        <v>1082</v>
      </c>
      <c r="C907" s="12">
        <v>62.17</v>
      </c>
    </row>
    <row r="908" spans="2:3" x14ac:dyDescent="0.25">
      <c r="B908" s="10" t="s">
        <v>1081</v>
      </c>
      <c r="C908" s="12">
        <v>65.790000000000006</v>
      </c>
    </row>
    <row r="909" spans="2:3" x14ac:dyDescent="0.25">
      <c r="B909" s="10" t="s">
        <v>1080</v>
      </c>
      <c r="C909" s="12">
        <v>70.180000000000007</v>
      </c>
    </row>
    <row r="910" spans="2:3" x14ac:dyDescent="0.25">
      <c r="B910" s="10" t="s">
        <v>1079</v>
      </c>
      <c r="C910" s="12">
        <v>72.47</v>
      </c>
    </row>
    <row r="911" spans="2:3" x14ac:dyDescent="0.25">
      <c r="B911" s="10" t="s">
        <v>1078</v>
      </c>
      <c r="C911" s="12">
        <v>72.17</v>
      </c>
    </row>
    <row r="912" spans="2:3" x14ac:dyDescent="0.25">
      <c r="B912" s="10" t="s">
        <v>1077</v>
      </c>
      <c r="C912" s="12">
        <v>66.02</v>
      </c>
    </row>
    <row r="913" spans="2:3" x14ac:dyDescent="0.25">
      <c r="B913" s="10" t="s">
        <v>1076</v>
      </c>
      <c r="C913" s="12">
        <v>69.91</v>
      </c>
    </row>
    <row r="914" spans="2:3" x14ac:dyDescent="0.25">
      <c r="B914" s="10" t="s">
        <v>1075</v>
      </c>
      <c r="C914" s="12">
        <v>67.87</v>
      </c>
    </row>
    <row r="915" spans="2:3" x14ac:dyDescent="0.25">
      <c r="B915" s="10" t="s">
        <v>1074</v>
      </c>
      <c r="C915" s="12">
        <v>68.959999999999994</v>
      </c>
    </row>
    <row r="916" spans="2:3" x14ac:dyDescent="0.25">
      <c r="B916" s="10" t="s">
        <v>1073</v>
      </c>
      <c r="C916" s="12">
        <v>69.36</v>
      </c>
    </row>
    <row r="917" spans="2:3" x14ac:dyDescent="0.25">
      <c r="B917" s="10" t="s">
        <v>1072</v>
      </c>
      <c r="C917" s="12">
        <v>65.709999999999994</v>
      </c>
    </row>
    <row r="918" spans="2:3" x14ac:dyDescent="0.25">
      <c r="B918" s="10" t="s">
        <v>1071</v>
      </c>
      <c r="C918" s="12">
        <v>63.22</v>
      </c>
    </row>
    <row r="919" spans="2:3" x14ac:dyDescent="0.25">
      <c r="B919" s="10" t="s">
        <v>1070</v>
      </c>
      <c r="C919" s="12">
        <v>65.12</v>
      </c>
    </row>
    <row r="920" spans="2:3" x14ac:dyDescent="0.25">
      <c r="B920" s="10" t="s">
        <v>1069</v>
      </c>
      <c r="C920" s="12">
        <v>62.11</v>
      </c>
    </row>
    <row r="921" spans="2:3" x14ac:dyDescent="0.25">
      <c r="B921" s="10" t="s">
        <v>1068</v>
      </c>
      <c r="C921" s="12">
        <v>60.55</v>
      </c>
    </row>
    <row r="922" spans="2:3" x14ac:dyDescent="0.25">
      <c r="B922" s="10" t="s">
        <v>1067</v>
      </c>
      <c r="C922" s="12">
        <v>59.53</v>
      </c>
    </row>
    <row r="923" spans="2:3" x14ac:dyDescent="0.25">
      <c r="B923" s="10" t="s">
        <v>1066</v>
      </c>
      <c r="C923" s="12">
        <v>55.63</v>
      </c>
    </row>
    <row r="924" spans="2:3" x14ac:dyDescent="0.25">
      <c r="B924" s="10" t="s">
        <v>1065</v>
      </c>
      <c r="C924" s="12">
        <v>56.8</v>
      </c>
    </row>
    <row r="925" spans="2:3" x14ac:dyDescent="0.25">
      <c r="B925" s="10" t="s">
        <v>1064</v>
      </c>
      <c r="C925" s="12">
        <v>54.89</v>
      </c>
    </row>
    <row r="926" spans="2:3" x14ac:dyDescent="0.25">
      <c r="B926" s="10" t="s">
        <v>1063</v>
      </c>
      <c r="C926" s="12">
        <v>55.56</v>
      </c>
    </row>
    <row r="927" spans="2:3" x14ac:dyDescent="0.25">
      <c r="B927" s="10" t="s">
        <v>1062</v>
      </c>
      <c r="C927" s="12">
        <v>53.85</v>
      </c>
    </row>
    <row r="928" spans="2:3" x14ac:dyDescent="0.25">
      <c r="B928" s="10" t="s">
        <v>1061</v>
      </c>
      <c r="C928" s="12">
        <v>55.3</v>
      </c>
    </row>
    <row r="929" spans="2:3" x14ac:dyDescent="0.25">
      <c r="B929" s="10" t="s">
        <v>1060</v>
      </c>
      <c r="C929" s="12">
        <v>57.21</v>
      </c>
    </row>
    <row r="930" spans="2:3" x14ac:dyDescent="0.25">
      <c r="B930" s="10" t="s">
        <v>1059</v>
      </c>
      <c r="C930" s="12">
        <v>56.61</v>
      </c>
    </row>
    <row r="931" spans="2:3" x14ac:dyDescent="0.25">
      <c r="B931" s="10" t="s">
        <v>1058</v>
      </c>
      <c r="C931" s="12">
        <v>54.52</v>
      </c>
    </row>
    <row r="932" spans="2:3" x14ac:dyDescent="0.25">
      <c r="B932" s="10" t="s">
        <v>1057</v>
      </c>
      <c r="C932" s="12">
        <v>55.32</v>
      </c>
    </row>
    <row r="933" spans="2:3" x14ac:dyDescent="0.25">
      <c r="B933" s="10" t="s">
        <v>1056</v>
      </c>
      <c r="C933" s="12">
        <v>53.17</v>
      </c>
    </row>
    <row r="934" spans="2:3" x14ac:dyDescent="0.25">
      <c r="B934" s="10" t="s">
        <v>1055</v>
      </c>
      <c r="C934" s="12">
        <v>49.05</v>
      </c>
    </row>
    <row r="935" spans="2:3" x14ac:dyDescent="0.25">
      <c r="B935" s="10" t="s">
        <v>1054</v>
      </c>
      <c r="C935" s="12">
        <v>51.25</v>
      </c>
    </row>
    <row r="936" spans="2:3" x14ac:dyDescent="0.25">
      <c r="B936" s="10" t="s">
        <v>1053</v>
      </c>
      <c r="C936" s="12">
        <v>53.89</v>
      </c>
    </row>
    <row r="937" spans="2:3" x14ac:dyDescent="0.25">
      <c r="B937" s="10" t="s">
        <v>1052</v>
      </c>
      <c r="C937" s="12">
        <v>49.02</v>
      </c>
    </row>
    <row r="938" spans="2:3" x14ac:dyDescent="0.25">
      <c r="B938" s="10" t="s">
        <v>1051</v>
      </c>
      <c r="C938" s="12">
        <v>48.65</v>
      </c>
    </row>
    <row r="939" spans="2:3" x14ac:dyDescent="0.25">
      <c r="B939" s="10" t="s">
        <v>1050</v>
      </c>
      <c r="C939" s="12">
        <v>53.36</v>
      </c>
    </row>
    <row r="940" spans="2:3" x14ac:dyDescent="0.25">
      <c r="B940" s="10" t="s">
        <v>1049</v>
      </c>
      <c r="C940" s="12">
        <v>53.76</v>
      </c>
    </row>
    <row r="941" spans="2:3" x14ac:dyDescent="0.25">
      <c r="B941" s="10" t="s">
        <v>1048</v>
      </c>
      <c r="C941" s="12">
        <v>54.73</v>
      </c>
    </row>
    <row r="942" spans="2:3" x14ac:dyDescent="0.25">
      <c r="B942" s="10" t="s">
        <v>1047</v>
      </c>
      <c r="C942" s="12">
        <v>56.23</v>
      </c>
    </row>
    <row r="943" spans="2:3" x14ac:dyDescent="0.25">
      <c r="B943" s="10" t="s">
        <v>1046</v>
      </c>
      <c r="C943" s="12">
        <v>58.52</v>
      </c>
    </row>
    <row r="944" spans="2:3" x14ac:dyDescent="0.25">
      <c r="B944" s="10" t="s">
        <v>1045</v>
      </c>
      <c r="C944" s="12">
        <v>57.28</v>
      </c>
    </row>
    <row r="945" spans="2:3" x14ac:dyDescent="0.25">
      <c r="B945" s="10" t="s">
        <v>1044</v>
      </c>
      <c r="C945" s="12">
        <v>55.46</v>
      </c>
    </row>
    <row r="946" spans="2:3" x14ac:dyDescent="0.25">
      <c r="B946" s="10" t="s">
        <v>1043</v>
      </c>
      <c r="C946" s="12">
        <v>56.96</v>
      </c>
    </row>
    <row r="947" spans="2:3" x14ac:dyDescent="0.25">
      <c r="B947" s="10" t="s">
        <v>1042</v>
      </c>
      <c r="C947" s="12">
        <v>56.86</v>
      </c>
    </row>
    <row r="948" spans="2:3" x14ac:dyDescent="0.25">
      <c r="B948" s="10" t="s">
        <v>1041</v>
      </c>
      <c r="C948" s="12">
        <v>54.69</v>
      </c>
    </row>
    <row r="949" spans="2:3" x14ac:dyDescent="0.25">
      <c r="B949" s="10" t="s">
        <v>1040</v>
      </c>
      <c r="C949" s="12">
        <v>56.52</v>
      </c>
    </row>
    <row r="950" spans="2:3" x14ac:dyDescent="0.25">
      <c r="B950" s="10" t="s">
        <v>1039</v>
      </c>
      <c r="C950" s="12">
        <v>62.2</v>
      </c>
    </row>
    <row r="951" spans="2:3" x14ac:dyDescent="0.25">
      <c r="B951" s="10" t="s">
        <v>1038</v>
      </c>
      <c r="C951" s="12">
        <v>65.16</v>
      </c>
    </row>
    <row r="952" spans="2:3" x14ac:dyDescent="0.25">
      <c r="B952" s="10" t="s">
        <v>1037</v>
      </c>
      <c r="C952" s="12">
        <v>67.569999999999993</v>
      </c>
    </row>
    <row r="953" spans="2:3" x14ac:dyDescent="0.25">
      <c r="B953" s="10" t="s">
        <v>1036</v>
      </c>
      <c r="C953" s="12">
        <v>67.94</v>
      </c>
    </row>
    <row r="954" spans="2:3" x14ac:dyDescent="0.25">
      <c r="B954" s="10" t="s">
        <v>1035</v>
      </c>
      <c r="C954" s="12">
        <v>65.12</v>
      </c>
    </row>
    <row r="955" spans="2:3" x14ac:dyDescent="0.25">
      <c r="B955" s="10" t="s">
        <v>1034</v>
      </c>
      <c r="C955" s="12">
        <v>71.75</v>
      </c>
    </row>
    <row r="956" spans="2:3" x14ac:dyDescent="0.25">
      <c r="B956" s="10" t="s">
        <v>1033</v>
      </c>
      <c r="C956" s="12">
        <v>71.5</v>
      </c>
    </row>
    <row r="957" spans="2:3" x14ac:dyDescent="0.25">
      <c r="B957" s="10" t="s">
        <v>1032</v>
      </c>
      <c r="C957" s="12">
        <v>68.209999999999994</v>
      </c>
    </row>
    <row r="958" spans="2:3" x14ac:dyDescent="0.25">
      <c r="B958" s="10" t="s">
        <v>1031</v>
      </c>
      <c r="C958" s="12">
        <v>67.319999999999993</v>
      </c>
    </row>
    <row r="959" spans="2:3" x14ac:dyDescent="0.25">
      <c r="B959" s="10" t="s">
        <v>1030</v>
      </c>
      <c r="C959" s="12">
        <v>66.790000000000006</v>
      </c>
    </row>
    <row r="960" spans="2:3" x14ac:dyDescent="0.25">
      <c r="B960" s="10" t="s">
        <v>1029</v>
      </c>
      <c r="C960" s="12">
        <v>71.16</v>
      </c>
    </row>
    <row r="961" spans="2:3" x14ac:dyDescent="0.25">
      <c r="B961" s="10" t="s">
        <v>1028</v>
      </c>
      <c r="C961" s="12">
        <v>75.400000000000006</v>
      </c>
    </row>
    <row r="962" spans="2:3" x14ac:dyDescent="0.25">
      <c r="B962" s="10" t="s">
        <v>1027</v>
      </c>
      <c r="C962" s="12">
        <v>76.09</v>
      </c>
    </row>
    <row r="963" spans="2:3" x14ac:dyDescent="0.25">
      <c r="B963" s="10" t="s">
        <v>1026</v>
      </c>
      <c r="C963" s="12">
        <v>73.709999999999994</v>
      </c>
    </row>
    <row r="964" spans="2:3" x14ac:dyDescent="0.25">
      <c r="B964" s="10" t="s">
        <v>1025</v>
      </c>
      <c r="C964" s="12">
        <v>66.17</v>
      </c>
    </row>
    <row r="965" spans="2:3" x14ac:dyDescent="0.25">
      <c r="B965" s="10" t="s">
        <v>1024</v>
      </c>
      <c r="C965" s="12">
        <v>61.34</v>
      </c>
    </row>
    <row r="966" spans="2:3" x14ac:dyDescent="0.25">
      <c r="B966" s="10" t="s">
        <v>1023</v>
      </c>
      <c r="C966" s="12">
        <v>65</v>
      </c>
    </row>
    <row r="967" spans="2:3" x14ac:dyDescent="0.25">
      <c r="B967" s="10" t="s">
        <v>1022</v>
      </c>
      <c r="C967" s="12">
        <v>61.7</v>
      </c>
    </row>
    <row r="968" spans="2:3" x14ac:dyDescent="0.25">
      <c r="B968" s="10" t="s">
        <v>1021</v>
      </c>
      <c r="C968" s="12">
        <v>58.25</v>
      </c>
    </row>
    <row r="969" spans="2:3" x14ac:dyDescent="0.25">
      <c r="B969" s="10" t="s">
        <v>1020</v>
      </c>
      <c r="C969" s="12">
        <v>58.55</v>
      </c>
    </row>
    <row r="970" spans="2:3" x14ac:dyDescent="0.25">
      <c r="B970" s="10" t="s">
        <v>1019</v>
      </c>
      <c r="C970" s="12">
        <v>55.4</v>
      </c>
    </row>
    <row r="971" spans="2:3" x14ac:dyDescent="0.25">
      <c r="B971" s="10" t="s">
        <v>1018</v>
      </c>
      <c r="C971" s="12">
        <v>55.14</v>
      </c>
    </row>
    <row r="972" spans="2:3" x14ac:dyDescent="0.25">
      <c r="B972" s="10" t="s">
        <v>1017</v>
      </c>
      <c r="C972" s="12">
        <v>56.07</v>
      </c>
    </row>
    <row r="973" spans="2:3" x14ac:dyDescent="0.25">
      <c r="B973" s="10" t="s">
        <v>1016</v>
      </c>
      <c r="C973" s="12">
        <v>57.44</v>
      </c>
    </row>
    <row r="974" spans="2:3" x14ac:dyDescent="0.25">
      <c r="B974" s="10" t="s">
        <v>1015</v>
      </c>
      <c r="C974" s="12">
        <v>57.33</v>
      </c>
    </row>
    <row r="975" spans="2:3" x14ac:dyDescent="0.25">
      <c r="B975" s="10" t="s">
        <v>1014</v>
      </c>
      <c r="C975" s="12">
        <v>53.62</v>
      </c>
    </row>
    <row r="976" spans="2:3" x14ac:dyDescent="0.25">
      <c r="B976" s="10" t="s">
        <v>1013</v>
      </c>
      <c r="C976" s="12">
        <v>52.99</v>
      </c>
    </row>
    <row r="977" spans="2:3" x14ac:dyDescent="0.25">
      <c r="B977" s="10" t="s">
        <v>1012</v>
      </c>
      <c r="C977" s="12">
        <v>57.43</v>
      </c>
    </row>
    <row r="978" spans="2:3" x14ac:dyDescent="0.25">
      <c r="B978" s="10" t="s">
        <v>1011</v>
      </c>
      <c r="C978" s="12">
        <v>62.6</v>
      </c>
    </row>
    <row r="979" spans="2:3" x14ac:dyDescent="0.25">
      <c r="B979" s="10" t="s">
        <v>1010</v>
      </c>
      <c r="C979" s="12">
        <v>62.1</v>
      </c>
    </row>
    <row r="980" spans="2:3" x14ac:dyDescent="0.25">
      <c r="B980" s="10" t="s">
        <v>1009</v>
      </c>
      <c r="C980" s="12">
        <v>60.28</v>
      </c>
    </row>
    <row r="981" spans="2:3" x14ac:dyDescent="0.25">
      <c r="B981" s="10" t="s">
        <v>1008</v>
      </c>
      <c r="C981" s="12">
        <v>59.15</v>
      </c>
    </row>
    <row r="982" spans="2:3" x14ac:dyDescent="0.25">
      <c r="B982" s="10" t="s">
        <v>1007</v>
      </c>
      <c r="C982" s="12">
        <v>57.93</v>
      </c>
    </row>
    <row r="983" spans="2:3" x14ac:dyDescent="0.25">
      <c r="B983" s="10" t="s">
        <v>1006</v>
      </c>
      <c r="C983" s="12">
        <v>58.49</v>
      </c>
    </row>
    <row r="984" spans="2:3" x14ac:dyDescent="0.25">
      <c r="B984" s="10" t="s">
        <v>1005</v>
      </c>
      <c r="C984" s="12">
        <v>58.95</v>
      </c>
    </row>
    <row r="985" spans="2:3" x14ac:dyDescent="0.25">
      <c r="B985" s="10" t="s">
        <v>1004</v>
      </c>
      <c r="C985" s="12">
        <v>57.77</v>
      </c>
    </row>
    <row r="986" spans="2:3" x14ac:dyDescent="0.25">
      <c r="B986" s="10" t="s">
        <v>1003</v>
      </c>
      <c r="C986" s="12">
        <v>59.07</v>
      </c>
    </row>
    <row r="987" spans="2:3" x14ac:dyDescent="0.25">
      <c r="B987" s="10" t="s">
        <v>1002</v>
      </c>
      <c r="C987" s="12">
        <v>57.37</v>
      </c>
    </row>
    <row r="988" spans="2:3" x14ac:dyDescent="0.25">
      <c r="B988" s="10" t="s">
        <v>1001</v>
      </c>
      <c r="C988" s="12">
        <v>55.9</v>
      </c>
    </row>
    <row r="989" spans="2:3" x14ac:dyDescent="0.25">
      <c r="B989" s="10" t="s">
        <v>1000</v>
      </c>
      <c r="C989" s="12">
        <v>53.84</v>
      </c>
    </row>
    <row r="990" spans="2:3" x14ac:dyDescent="0.25">
      <c r="B990" s="10" t="s">
        <v>999</v>
      </c>
      <c r="C990" s="12">
        <v>55.76</v>
      </c>
    </row>
    <row r="991" spans="2:3" x14ac:dyDescent="0.25">
      <c r="B991" s="10" t="s">
        <v>998</v>
      </c>
      <c r="C991" s="12">
        <v>59.5</v>
      </c>
    </row>
    <row r="992" spans="2:3" x14ac:dyDescent="0.25">
      <c r="B992" s="10" t="s">
        <v>997</v>
      </c>
      <c r="C992" s="12">
        <v>58.87</v>
      </c>
    </row>
    <row r="993" spans="2:3" x14ac:dyDescent="0.25">
      <c r="B993" s="10" t="s">
        <v>996</v>
      </c>
      <c r="C993" s="12">
        <v>58.2</v>
      </c>
    </row>
    <row r="994" spans="2:3" x14ac:dyDescent="0.25">
      <c r="B994" s="10" t="s">
        <v>995</v>
      </c>
      <c r="C994" s="12">
        <v>65.150000000000006</v>
      </c>
    </row>
    <row r="995" spans="2:3" x14ac:dyDescent="0.25">
      <c r="B995" s="10" t="s">
        <v>994</v>
      </c>
      <c r="C995" s="12">
        <v>66.66</v>
      </c>
    </row>
    <row r="996" spans="2:3" x14ac:dyDescent="0.25">
      <c r="B996" s="10" t="s">
        <v>993</v>
      </c>
      <c r="C996" s="12">
        <v>63.9</v>
      </c>
    </row>
    <row r="997" spans="2:3" x14ac:dyDescent="0.25">
      <c r="B997" s="10" t="s">
        <v>992</v>
      </c>
      <c r="C997" s="12">
        <v>62.88</v>
      </c>
    </row>
    <row r="998" spans="2:3" x14ac:dyDescent="0.25">
      <c r="B998" s="10" t="s">
        <v>991</v>
      </c>
      <c r="C998" s="12">
        <v>60.83</v>
      </c>
    </row>
    <row r="999" spans="2:3" x14ac:dyDescent="0.25">
      <c r="B999" s="10" t="s">
        <v>990</v>
      </c>
      <c r="C999" s="12">
        <v>57.41</v>
      </c>
    </row>
    <row r="1000" spans="2:3" x14ac:dyDescent="0.25">
      <c r="B1000" s="10" t="s">
        <v>989</v>
      </c>
      <c r="C1000" s="12">
        <v>56.73</v>
      </c>
    </row>
    <row r="1001" spans="2:3" x14ac:dyDescent="0.25">
      <c r="B1001" s="10" t="s">
        <v>988</v>
      </c>
      <c r="C1001" s="12">
        <v>56.82</v>
      </c>
    </row>
    <row r="1002" spans="2:3" x14ac:dyDescent="0.25">
      <c r="B1002" s="10" t="s">
        <v>987</v>
      </c>
      <c r="C1002" s="12">
        <v>60</v>
      </c>
    </row>
    <row r="1003" spans="2:3" x14ac:dyDescent="0.25">
      <c r="B1003" s="10" t="s">
        <v>986</v>
      </c>
      <c r="C1003" s="12">
        <v>65.650000000000006</v>
      </c>
    </row>
    <row r="1004" spans="2:3" x14ac:dyDescent="0.25">
      <c r="B1004" s="10" t="s">
        <v>985</v>
      </c>
      <c r="C1004" s="12">
        <v>72.45</v>
      </c>
    </row>
    <row r="1005" spans="2:3" x14ac:dyDescent="0.25">
      <c r="B1005" s="10" t="s">
        <v>984</v>
      </c>
      <c r="C1005" s="12">
        <v>71.55</v>
      </c>
    </row>
    <row r="1006" spans="2:3" x14ac:dyDescent="0.25">
      <c r="B1006" s="10" t="s">
        <v>983</v>
      </c>
      <c r="C1006" s="12">
        <v>67.78</v>
      </c>
    </row>
    <row r="1007" spans="2:3" x14ac:dyDescent="0.25">
      <c r="B1007" s="10" t="s">
        <v>982</v>
      </c>
      <c r="C1007" s="12">
        <v>65.13</v>
      </c>
    </row>
    <row r="1008" spans="2:3" x14ac:dyDescent="0.25">
      <c r="B1008" s="10" t="s">
        <v>981</v>
      </c>
      <c r="C1008" s="12">
        <v>68.209999999999994</v>
      </c>
    </row>
    <row r="1009" spans="2:3" x14ac:dyDescent="0.25">
      <c r="B1009" s="10" t="s">
        <v>980</v>
      </c>
      <c r="C1009" s="12">
        <v>67.33</v>
      </c>
    </row>
    <row r="1010" spans="2:3" x14ac:dyDescent="0.25">
      <c r="B1010" s="10" t="s">
        <v>979</v>
      </c>
      <c r="C1010" s="12">
        <v>71.45</v>
      </c>
    </row>
    <row r="1011" spans="2:3" x14ac:dyDescent="0.25">
      <c r="B1011" s="10" t="s">
        <v>978</v>
      </c>
      <c r="C1011" s="12">
        <v>69.53</v>
      </c>
    </row>
    <row r="1012" spans="2:3" x14ac:dyDescent="0.25">
      <c r="B1012" s="10" t="s">
        <v>977</v>
      </c>
      <c r="C1012" s="12">
        <v>62.85</v>
      </c>
    </row>
    <row r="1013" spans="2:3" x14ac:dyDescent="0.25">
      <c r="B1013" s="10" t="s">
        <v>976</v>
      </c>
      <c r="C1013" s="12">
        <v>61.94</v>
      </c>
    </row>
    <row r="1014" spans="2:3" x14ac:dyDescent="0.25">
      <c r="B1014" s="10" t="s">
        <v>975</v>
      </c>
      <c r="C1014" s="12">
        <v>65.48</v>
      </c>
    </row>
    <row r="1015" spans="2:3" x14ac:dyDescent="0.25">
      <c r="B1015" s="10" t="s">
        <v>974</v>
      </c>
      <c r="C1015" s="12">
        <v>61.33</v>
      </c>
    </row>
    <row r="1016" spans="2:3" x14ac:dyDescent="0.25">
      <c r="B1016" s="10" t="s">
        <v>973</v>
      </c>
      <c r="C1016" s="12">
        <v>58.52</v>
      </c>
    </row>
    <row r="1017" spans="2:3" x14ac:dyDescent="0.25">
      <c r="B1017" s="10" t="s">
        <v>972</v>
      </c>
      <c r="C1017" s="12">
        <v>61.85</v>
      </c>
    </row>
    <row r="1018" spans="2:3" x14ac:dyDescent="0.25">
      <c r="B1018" s="10" t="s">
        <v>971</v>
      </c>
      <c r="C1018" s="12">
        <v>69.900000000000006</v>
      </c>
    </row>
    <row r="1019" spans="2:3" x14ac:dyDescent="0.25">
      <c r="B1019" s="10" t="s">
        <v>970</v>
      </c>
      <c r="C1019" s="12">
        <v>64.09</v>
      </c>
    </row>
    <row r="1020" spans="2:3" x14ac:dyDescent="0.25">
      <c r="B1020" s="10" t="s">
        <v>969</v>
      </c>
      <c r="C1020" s="12">
        <v>60.12</v>
      </c>
    </row>
    <row r="1021" spans="2:3" x14ac:dyDescent="0.25">
      <c r="B1021" s="10" t="s">
        <v>968</v>
      </c>
      <c r="C1021" s="12">
        <v>61.06</v>
      </c>
    </row>
    <row r="1022" spans="2:3" x14ac:dyDescent="0.25">
      <c r="B1022" s="10" t="s">
        <v>967</v>
      </c>
      <c r="C1022" s="12">
        <v>64.64</v>
      </c>
    </row>
    <row r="1023" spans="2:3" x14ac:dyDescent="0.25">
      <c r="B1023" s="10" t="s">
        <v>966</v>
      </c>
      <c r="C1023" s="12">
        <v>60.18</v>
      </c>
    </row>
    <row r="1024" spans="2:3" x14ac:dyDescent="0.25">
      <c r="B1024" s="10" t="s">
        <v>965</v>
      </c>
      <c r="C1024" s="12">
        <v>56.16</v>
      </c>
    </row>
    <row r="1025" spans="2:3" x14ac:dyDescent="0.25">
      <c r="B1025" s="10" t="s">
        <v>964</v>
      </c>
      <c r="C1025" s="12">
        <v>54.13</v>
      </c>
    </row>
    <row r="1026" spans="2:3" x14ac:dyDescent="0.25">
      <c r="B1026" s="10" t="s">
        <v>963</v>
      </c>
      <c r="C1026" s="12">
        <v>54.45</v>
      </c>
    </row>
    <row r="1027" spans="2:3" x14ac:dyDescent="0.25">
      <c r="B1027" s="10" t="s">
        <v>962</v>
      </c>
      <c r="C1027" s="12">
        <v>55.05</v>
      </c>
    </row>
    <row r="1028" spans="2:3" x14ac:dyDescent="0.25">
      <c r="B1028" s="10" t="s">
        <v>961</v>
      </c>
      <c r="C1028" s="12">
        <v>51.82</v>
      </c>
    </row>
    <row r="1029" spans="2:3" x14ac:dyDescent="0.25">
      <c r="B1029" s="10" t="s">
        <v>960</v>
      </c>
      <c r="C1029" s="12">
        <v>55.1</v>
      </c>
    </row>
    <row r="1030" spans="2:3" x14ac:dyDescent="0.25">
      <c r="B1030" s="10" t="s">
        <v>959</v>
      </c>
      <c r="C1030" s="12">
        <v>53.07</v>
      </c>
    </row>
    <row r="1031" spans="2:3" x14ac:dyDescent="0.25">
      <c r="B1031" s="10" t="s">
        <v>958</v>
      </c>
      <c r="C1031" s="12">
        <v>50.8</v>
      </c>
    </row>
    <row r="1032" spans="2:3" x14ac:dyDescent="0.25">
      <c r="B1032" s="10" t="s">
        <v>957</v>
      </c>
      <c r="C1032" s="12">
        <v>48.62</v>
      </c>
    </row>
    <row r="1033" spans="2:3" x14ac:dyDescent="0.25">
      <c r="B1033" s="10" t="s">
        <v>956</v>
      </c>
      <c r="C1033" s="12">
        <v>47.73</v>
      </c>
    </row>
    <row r="1034" spans="2:3" x14ac:dyDescent="0.25">
      <c r="B1034" s="10" t="s">
        <v>955</v>
      </c>
      <c r="C1034" s="12">
        <v>46.83</v>
      </c>
    </row>
    <row r="1035" spans="2:3" x14ac:dyDescent="0.25">
      <c r="B1035" s="10" t="s">
        <v>954</v>
      </c>
      <c r="C1035" s="12">
        <v>50.7</v>
      </c>
    </row>
    <row r="1036" spans="2:3" x14ac:dyDescent="0.25">
      <c r="B1036" s="10" t="s">
        <v>953</v>
      </c>
      <c r="C1036" s="12">
        <v>54.66</v>
      </c>
    </row>
    <row r="1037" spans="2:3" x14ac:dyDescent="0.25">
      <c r="B1037" s="10" t="s">
        <v>952</v>
      </c>
      <c r="C1037" s="12">
        <v>53.87</v>
      </c>
    </row>
    <row r="1038" spans="2:3" x14ac:dyDescent="0.25">
      <c r="B1038" s="10" t="s">
        <v>951</v>
      </c>
      <c r="C1038" s="12">
        <v>52.99</v>
      </c>
    </row>
    <row r="1039" spans="2:3" x14ac:dyDescent="0.25">
      <c r="B1039" s="10" t="s">
        <v>950</v>
      </c>
      <c r="C1039" s="12">
        <v>54.48</v>
      </c>
    </row>
    <row r="1040" spans="2:3" x14ac:dyDescent="0.25">
      <c r="B1040" s="10" t="s">
        <v>949</v>
      </c>
      <c r="C1040" s="12">
        <v>58.63</v>
      </c>
    </row>
    <row r="1041" spans="2:3" x14ac:dyDescent="0.25">
      <c r="B1041" s="10" t="s">
        <v>948</v>
      </c>
      <c r="C1041" s="12">
        <v>61.56</v>
      </c>
    </row>
    <row r="1042" spans="2:3" x14ac:dyDescent="0.25">
      <c r="B1042" s="10" t="s">
        <v>947</v>
      </c>
      <c r="C1042" s="12">
        <v>63.25</v>
      </c>
    </row>
    <row r="1043" spans="2:3" x14ac:dyDescent="0.25">
      <c r="B1043" s="10" t="s">
        <v>946</v>
      </c>
      <c r="C1043" s="12">
        <v>63.72</v>
      </c>
    </row>
    <row r="1044" spans="2:3" x14ac:dyDescent="0.25">
      <c r="B1044" s="10" t="s">
        <v>945</v>
      </c>
      <c r="C1044" s="12">
        <v>68.760000000000005</v>
      </c>
    </row>
    <row r="1045" spans="2:3" x14ac:dyDescent="0.25">
      <c r="B1045" s="10" t="s">
        <v>944</v>
      </c>
      <c r="C1045" s="12">
        <v>75.05</v>
      </c>
    </row>
    <row r="1046" spans="2:3" x14ac:dyDescent="0.25">
      <c r="B1046" s="10" t="s">
        <v>943</v>
      </c>
      <c r="C1046" s="12">
        <v>77.040000000000006</v>
      </c>
    </row>
    <row r="1047" spans="2:3" x14ac:dyDescent="0.25">
      <c r="B1047" s="10" t="s">
        <v>942</v>
      </c>
      <c r="C1047" s="12">
        <v>78.2</v>
      </c>
    </row>
    <row r="1048" spans="2:3" x14ac:dyDescent="0.25">
      <c r="B1048" s="10" t="s">
        <v>941</v>
      </c>
      <c r="C1048" s="12">
        <v>77.63</v>
      </c>
    </row>
    <row r="1049" spans="2:3" x14ac:dyDescent="0.25">
      <c r="B1049" s="10" t="s">
        <v>940</v>
      </c>
      <c r="C1049" s="12">
        <v>76.38</v>
      </c>
    </row>
    <row r="1050" spans="2:3" x14ac:dyDescent="0.25">
      <c r="B1050" s="10" t="s">
        <v>939</v>
      </c>
      <c r="C1050" s="12">
        <v>75.53</v>
      </c>
    </row>
    <row r="1051" spans="2:3" x14ac:dyDescent="0.25">
      <c r="B1051" s="10" t="s">
        <v>938</v>
      </c>
      <c r="C1051" s="12">
        <v>70.25</v>
      </c>
    </row>
    <row r="1052" spans="2:3" x14ac:dyDescent="0.25">
      <c r="B1052" s="10" t="s">
        <v>937</v>
      </c>
      <c r="C1052" s="12">
        <v>65.56</v>
      </c>
    </row>
    <row r="1053" spans="2:3" x14ac:dyDescent="0.25">
      <c r="B1053" s="10" t="s">
        <v>936</v>
      </c>
      <c r="C1053" s="12">
        <v>64.489999999999995</v>
      </c>
    </row>
    <row r="1054" spans="2:3" x14ac:dyDescent="0.25">
      <c r="B1054" s="10" t="s">
        <v>935</v>
      </c>
      <c r="C1054" s="12">
        <v>68.42</v>
      </c>
    </row>
    <row r="1055" spans="2:3" x14ac:dyDescent="0.25">
      <c r="B1055" s="10" t="s">
        <v>934</v>
      </c>
      <c r="C1055" s="12">
        <v>72.8</v>
      </c>
    </row>
    <row r="1056" spans="2:3" x14ac:dyDescent="0.25">
      <c r="B1056" s="10" t="s">
        <v>933</v>
      </c>
      <c r="C1056" s="12">
        <v>67.739999999999995</v>
      </c>
    </row>
    <row r="1057" spans="2:3" x14ac:dyDescent="0.25">
      <c r="B1057" s="10" t="s">
        <v>932</v>
      </c>
      <c r="C1057" s="12">
        <v>66.17</v>
      </c>
    </row>
    <row r="1058" spans="2:3" x14ac:dyDescent="0.25">
      <c r="B1058" s="10" t="s">
        <v>931</v>
      </c>
      <c r="C1058" s="12">
        <v>61.29</v>
      </c>
    </row>
    <row r="1059" spans="2:3" x14ac:dyDescent="0.25">
      <c r="B1059" s="10" t="s">
        <v>930</v>
      </c>
      <c r="C1059" s="12">
        <v>58.95</v>
      </c>
    </row>
    <row r="1060" spans="2:3" x14ac:dyDescent="0.25">
      <c r="B1060" s="10" t="s">
        <v>929</v>
      </c>
      <c r="C1060" s="12">
        <v>60.04</v>
      </c>
    </row>
    <row r="1061" spans="2:3" x14ac:dyDescent="0.25">
      <c r="B1061" s="10" t="s">
        <v>928</v>
      </c>
      <c r="C1061" s="12">
        <v>59.34</v>
      </c>
    </row>
    <row r="1062" spans="2:3" x14ac:dyDescent="0.25">
      <c r="B1062" s="10" t="s">
        <v>927</v>
      </c>
      <c r="C1062" s="12">
        <v>56.11</v>
      </c>
    </row>
    <row r="1063" spans="2:3" x14ac:dyDescent="0.25">
      <c r="B1063" s="10" t="s">
        <v>926</v>
      </c>
      <c r="C1063" s="12">
        <v>56.46</v>
      </c>
    </row>
    <row r="1064" spans="2:3" x14ac:dyDescent="0.25">
      <c r="B1064" s="10" t="s">
        <v>925</v>
      </c>
      <c r="C1064" s="12">
        <v>55.85</v>
      </c>
    </row>
    <row r="1065" spans="2:3" x14ac:dyDescent="0.25">
      <c r="B1065" s="10" t="s">
        <v>924</v>
      </c>
      <c r="C1065" s="12">
        <v>54.66</v>
      </c>
    </row>
    <row r="1066" spans="2:3" x14ac:dyDescent="0.25">
      <c r="B1066" s="10" t="s">
        <v>923</v>
      </c>
      <c r="C1066" s="12">
        <v>59.17</v>
      </c>
    </row>
    <row r="1067" spans="2:3" x14ac:dyDescent="0.25">
      <c r="B1067" s="10" t="s">
        <v>922</v>
      </c>
      <c r="C1067" s="12">
        <v>65.459999999999994</v>
      </c>
    </row>
    <row r="1068" spans="2:3" x14ac:dyDescent="0.25">
      <c r="B1068" s="10" t="s">
        <v>921</v>
      </c>
      <c r="C1068" s="12">
        <v>64.28</v>
      </c>
    </row>
    <row r="1069" spans="2:3" x14ac:dyDescent="0.25">
      <c r="B1069" s="10" t="s">
        <v>920</v>
      </c>
      <c r="C1069" s="12">
        <v>69.23</v>
      </c>
    </row>
    <row r="1070" spans="2:3" x14ac:dyDescent="0.25">
      <c r="B1070" s="10" t="s">
        <v>919</v>
      </c>
      <c r="C1070" s="12">
        <v>69.94</v>
      </c>
    </row>
    <row r="1071" spans="2:3" x14ac:dyDescent="0.25">
      <c r="B1071" s="10" t="s">
        <v>918</v>
      </c>
      <c r="C1071" s="12">
        <v>61.92</v>
      </c>
    </row>
    <row r="1072" spans="2:3" x14ac:dyDescent="0.25">
      <c r="B1072" s="10" t="s">
        <v>917</v>
      </c>
      <c r="C1072" s="12">
        <v>59.01</v>
      </c>
    </row>
    <row r="1073" spans="2:3" x14ac:dyDescent="0.25">
      <c r="B1073" s="10" t="s">
        <v>916</v>
      </c>
      <c r="C1073" s="12">
        <v>59.81</v>
      </c>
    </row>
    <row r="1074" spans="2:3" x14ac:dyDescent="0.25">
      <c r="B1074" s="10" t="s">
        <v>915</v>
      </c>
      <c r="C1074" s="12">
        <v>58.69</v>
      </c>
    </row>
    <row r="1075" spans="2:3" x14ac:dyDescent="0.25">
      <c r="B1075" s="10" t="s">
        <v>914</v>
      </c>
      <c r="C1075" s="12">
        <v>52.68</v>
      </c>
    </row>
    <row r="1076" spans="2:3" x14ac:dyDescent="0.25">
      <c r="B1076" s="10" t="s">
        <v>913</v>
      </c>
      <c r="C1076" s="12">
        <v>52.23</v>
      </c>
    </row>
    <row r="1077" spans="2:3" x14ac:dyDescent="0.25">
      <c r="B1077" s="10" t="s">
        <v>912</v>
      </c>
      <c r="C1077" s="12">
        <v>49.72</v>
      </c>
    </row>
    <row r="1078" spans="2:3" x14ac:dyDescent="0.25">
      <c r="B1078" s="10" t="s">
        <v>911</v>
      </c>
      <c r="C1078" s="12">
        <v>49.62</v>
      </c>
    </row>
    <row r="1079" spans="2:3" x14ac:dyDescent="0.25">
      <c r="B1079" s="10" t="s">
        <v>910</v>
      </c>
      <c r="C1079" s="12">
        <v>51.7</v>
      </c>
    </row>
    <row r="1080" spans="2:3" x14ac:dyDescent="0.25">
      <c r="B1080" s="10" t="s">
        <v>909</v>
      </c>
      <c r="C1080" s="12">
        <v>52.61</v>
      </c>
    </row>
    <row r="1081" spans="2:3" x14ac:dyDescent="0.25">
      <c r="B1081" s="10" t="s">
        <v>908</v>
      </c>
      <c r="C1081" s="12">
        <v>49.25</v>
      </c>
    </row>
    <row r="1082" spans="2:3" x14ac:dyDescent="0.25">
      <c r="B1082" s="10" t="s">
        <v>907</v>
      </c>
      <c r="C1082" s="12">
        <v>48.9</v>
      </c>
    </row>
    <row r="1083" spans="2:3" x14ac:dyDescent="0.25">
      <c r="B1083" s="10" t="s">
        <v>906</v>
      </c>
      <c r="C1083" s="12">
        <v>49.46</v>
      </c>
    </row>
    <row r="1084" spans="2:3" x14ac:dyDescent="0.25">
      <c r="B1084" s="10" t="s">
        <v>905</v>
      </c>
      <c r="C1084" s="12">
        <v>48.5</v>
      </c>
    </row>
    <row r="1085" spans="2:3" x14ac:dyDescent="0.25">
      <c r="B1085" s="10" t="s">
        <v>904</v>
      </c>
      <c r="C1085" s="12">
        <v>50.77</v>
      </c>
    </row>
    <row r="1086" spans="2:3" x14ac:dyDescent="0.25">
      <c r="B1086" s="10" t="s">
        <v>903</v>
      </c>
      <c r="C1086" s="12">
        <v>49.83</v>
      </c>
    </row>
    <row r="1087" spans="2:3" x14ac:dyDescent="0.25">
      <c r="B1087" s="10" t="s">
        <v>902</v>
      </c>
      <c r="C1087" s="12">
        <v>48.58</v>
      </c>
    </row>
    <row r="1088" spans="2:3" x14ac:dyDescent="0.25">
      <c r="B1088" s="10" t="s">
        <v>901</v>
      </c>
      <c r="C1088" s="12">
        <v>50</v>
      </c>
    </row>
    <row r="1089" spans="2:3" x14ac:dyDescent="0.25">
      <c r="B1089" s="10" t="s">
        <v>900</v>
      </c>
      <c r="C1089" s="12">
        <v>48.04</v>
      </c>
    </row>
    <row r="1090" spans="2:3" x14ac:dyDescent="0.25">
      <c r="B1090" s="10" t="s">
        <v>899</v>
      </c>
      <c r="C1090" s="12">
        <v>47.09</v>
      </c>
    </row>
    <row r="1091" spans="2:3" x14ac:dyDescent="0.25">
      <c r="B1091" s="10" t="s">
        <v>898</v>
      </c>
      <c r="C1091" s="12">
        <v>46.9</v>
      </c>
    </row>
    <row r="1092" spans="2:3" x14ac:dyDescent="0.25">
      <c r="B1092" s="10" t="s">
        <v>897</v>
      </c>
      <c r="C1092" s="12">
        <v>47.98</v>
      </c>
    </row>
    <row r="1093" spans="2:3" x14ac:dyDescent="0.25">
      <c r="B1093" s="10" t="s">
        <v>896</v>
      </c>
      <c r="C1093" s="12">
        <v>48.58</v>
      </c>
    </row>
    <row r="1094" spans="2:3" x14ac:dyDescent="0.25">
      <c r="B1094" s="10" t="s">
        <v>895</v>
      </c>
      <c r="C1094" s="12">
        <v>47.67</v>
      </c>
    </row>
    <row r="1095" spans="2:3" x14ac:dyDescent="0.25">
      <c r="B1095" s="10" t="s">
        <v>894</v>
      </c>
      <c r="C1095" s="12">
        <v>46.35</v>
      </c>
    </row>
    <row r="1096" spans="2:3" x14ac:dyDescent="0.25">
      <c r="B1096" s="10" t="s">
        <v>893</v>
      </c>
      <c r="C1096" s="12">
        <v>46.09</v>
      </c>
    </row>
    <row r="1097" spans="2:3" x14ac:dyDescent="0.25">
      <c r="B1097" s="10" t="s">
        <v>892</v>
      </c>
      <c r="C1097" s="12">
        <v>46.24</v>
      </c>
    </row>
    <row r="1098" spans="2:3" x14ac:dyDescent="0.25">
      <c r="B1098" s="10" t="s">
        <v>891</v>
      </c>
      <c r="C1098" s="12">
        <v>50.22</v>
      </c>
    </row>
    <row r="1099" spans="2:3" x14ac:dyDescent="0.25">
      <c r="B1099" s="10" t="s">
        <v>890</v>
      </c>
      <c r="C1099" s="12">
        <v>54.01</v>
      </c>
    </row>
    <row r="1100" spans="2:3" x14ac:dyDescent="0.25">
      <c r="B1100" s="10" t="s">
        <v>889</v>
      </c>
      <c r="C1100" s="12">
        <v>50.38</v>
      </c>
    </row>
    <row r="1101" spans="2:3" x14ac:dyDescent="0.25">
      <c r="B1101" s="10" t="s">
        <v>888</v>
      </c>
      <c r="C1101" s="12">
        <v>46.55</v>
      </c>
    </row>
    <row r="1102" spans="2:3" x14ac:dyDescent="0.25">
      <c r="B1102" s="10" t="s">
        <v>887</v>
      </c>
      <c r="C1102" s="12">
        <v>49.81</v>
      </c>
    </row>
    <row r="1103" spans="2:3" x14ac:dyDescent="0.25">
      <c r="B1103" s="10" t="s">
        <v>886</v>
      </c>
      <c r="C1103" s="12">
        <v>47.94</v>
      </c>
    </row>
    <row r="1104" spans="2:3" x14ac:dyDescent="0.25">
      <c r="B1104" s="10" t="s">
        <v>885</v>
      </c>
      <c r="C1104" s="12">
        <v>47.31</v>
      </c>
    </row>
    <row r="1105" spans="2:3" x14ac:dyDescent="0.25">
      <c r="B1105" s="10" t="s">
        <v>884</v>
      </c>
      <c r="C1105" s="12">
        <v>51.21</v>
      </c>
    </row>
    <row r="1106" spans="2:3" x14ac:dyDescent="0.25">
      <c r="B1106" s="10" t="s">
        <v>883</v>
      </c>
      <c r="C1106" s="12">
        <v>51.07</v>
      </c>
    </row>
    <row r="1107" spans="2:3" x14ac:dyDescent="0.25">
      <c r="B1107" s="10" t="s">
        <v>882</v>
      </c>
      <c r="C1107" s="12">
        <v>55.51</v>
      </c>
    </row>
    <row r="1108" spans="2:3" x14ac:dyDescent="0.25">
      <c r="B1108" s="10" t="s">
        <v>881</v>
      </c>
      <c r="C1108" s="12">
        <v>63.31</v>
      </c>
    </row>
    <row r="1109" spans="2:3" x14ac:dyDescent="0.25">
      <c r="B1109" s="10" t="s">
        <v>880</v>
      </c>
      <c r="C1109" s="12">
        <v>62.79</v>
      </c>
    </row>
    <row r="1110" spans="2:3" x14ac:dyDescent="0.25">
      <c r="B1110" s="10" t="s">
        <v>879</v>
      </c>
      <c r="C1110" s="12">
        <v>59.97</v>
      </c>
    </row>
    <row r="1111" spans="2:3" x14ac:dyDescent="0.25">
      <c r="B1111" s="10" t="s">
        <v>878</v>
      </c>
      <c r="C1111" s="12">
        <v>62.06</v>
      </c>
    </row>
    <row r="1112" spans="2:3" x14ac:dyDescent="0.25">
      <c r="B1112" s="10" t="s">
        <v>877</v>
      </c>
      <c r="C1112" s="12">
        <v>65.25</v>
      </c>
    </row>
    <row r="1113" spans="2:3" x14ac:dyDescent="0.25">
      <c r="B1113" s="10" t="s">
        <v>876</v>
      </c>
      <c r="C1113" s="12">
        <v>65.17</v>
      </c>
    </row>
    <row r="1114" spans="2:3" x14ac:dyDescent="0.25">
      <c r="B1114" s="10" t="s">
        <v>875</v>
      </c>
      <c r="C1114" s="12">
        <v>60.99</v>
      </c>
    </row>
    <row r="1115" spans="2:3" x14ac:dyDescent="0.25">
      <c r="B1115" s="10" t="s">
        <v>874</v>
      </c>
      <c r="C1115" s="12">
        <v>61.13</v>
      </c>
    </row>
    <row r="1116" spans="2:3" x14ac:dyDescent="0.25">
      <c r="B1116" s="10" t="s">
        <v>873</v>
      </c>
      <c r="C1116" s="12">
        <v>65.739999999999995</v>
      </c>
    </row>
    <row r="1117" spans="2:3" x14ac:dyDescent="0.25">
      <c r="B1117" s="10" t="s">
        <v>872</v>
      </c>
      <c r="C1117" s="12">
        <v>65.06</v>
      </c>
    </row>
    <row r="1118" spans="2:3" x14ac:dyDescent="0.25">
      <c r="B1118" s="10" t="s">
        <v>871</v>
      </c>
      <c r="C1118" s="12">
        <v>71.08</v>
      </c>
    </row>
    <row r="1119" spans="2:3" x14ac:dyDescent="0.25">
      <c r="B1119" s="10" t="s">
        <v>870</v>
      </c>
      <c r="C1119" s="12">
        <v>68.48</v>
      </c>
    </row>
    <row r="1120" spans="2:3" x14ac:dyDescent="0.25">
      <c r="B1120" s="10" t="s">
        <v>869</v>
      </c>
      <c r="C1120" s="12">
        <v>63.53</v>
      </c>
    </row>
    <row r="1121" spans="2:3" x14ac:dyDescent="0.25">
      <c r="B1121" s="10" t="s">
        <v>868</v>
      </c>
      <c r="C1121" s="12">
        <v>59.59</v>
      </c>
    </row>
    <row r="1122" spans="2:3" x14ac:dyDescent="0.25">
      <c r="B1122" s="10" t="s">
        <v>867</v>
      </c>
      <c r="C1122" s="12">
        <v>57.64</v>
      </c>
    </row>
    <row r="1123" spans="2:3" x14ac:dyDescent="0.25">
      <c r="B1123" s="10" t="s">
        <v>866</v>
      </c>
      <c r="C1123" s="12">
        <v>61.45</v>
      </c>
    </row>
    <row r="1124" spans="2:3" x14ac:dyDescent="0.25">
      <c r="B1124" s="10" t="s">
        <v>865</v>
      </c>
      <c r="C1124" s="12">
        <v>60.12</v>
      </c>
    </row>
    <row r="1125" spans="2:3" x14ac:dyDescent="0.25">
      <c r="B1125" s="10" t="s">
        <v>864</v>
      </c>
      <c r="C1125" s="12">
        <v>59.17</v>
      </c>
    </row>
    <row r="1126" spans="2:3" x14ac:dyDescent="0.25">
      <c r="B1126" s="10" t="s">
        <v>863</v>
      </c>
      <c r="C1126" s="12">
        <v>59.85</v>
      </c>
    </row>
    <row r="1127" spans="2:3" x14ac:dyDescent="0.25">
      <c r="B1127" s="10" t="s">
        <v>862</v>
      </c>
      <c r="C1127" s="12">
        <v>64.69</v>
      </c>
    </row>
    <row r="1128" spans="2:3" x14ac:dyDescent="0.25">
      <c r="B1128" s="10" t="s">
        <v>861</v>
      </c>
      <c r="C1128" s="12">
        <v>66.05</v>
      </c>
    </row>
    <row r="1129" spans="2:3" x14ac:dyDescent="0.25">
      <c r="B1129" s="10" t="s">
        <v>860</v>
      </c>
      <c r="C1129" s="12">
        <v>62.03</v>
      </c>
    </row>
    <row r="1130" spans="2:3" x14ac:dyDescent="0.25">
      <c r="B1130" s="10" t="s">
        <v>859</v>
      </c>
      <c r="C1130" s="12">
        <v>58.52</v>
      </c>
    </row>
    <row r="1131" spans="2:3" x14ac:dyDescent="0.25">
      <c r="B1131" s="10" t="s">
        <v>858</v>
      </c>
      <c r="C1131" s="12">
        <v>59.08</v>
      </c>
    </row>
    <row r="1132" spans="2:3" x14ac:dyDescent="0.25">
      <c r="B1132" s="10" t="s">
        <v>857</v>
      </c>
      <c r="C1132" s="12">
        <v>56.91</v>
      </c>
    </row>
    <row r="1133" spans="2:3" x14ac:dyDescent="0.25">
      <c r="B1133" s="10" t="s">
        <v>856</v>
      </c>
      <c r="C1133" s="12">
        <v>54.08</v>
      </c>
    </row>
    <row r="1134" spans="2:3" x14ac:dyDescent="0.25">
      <c r="B1134" s="10" t="s">
        <v>855</v>
      </c>
      <c r="C1134" s="12">
        <v>54.41</v>
      </c>
    </row>
    <row r="1135" spans="2:3" x14ac:dyDescent="0.25">
      <c r="B1135" s="10" t="s">
        <v>854</v>
      </c>
      <c r="C1135" s="12">
        <v>52.3</v>
      </c>
    </row>
    <row r="1136" spans="2:3" x14ac:dyDescent="0.25">
      <c r="B1136" s="10" t="s">
        <v>853</v>
      </c>
      <c r="C1136" s="12">
        <v>53.43</v>
      </c>
    </row>
    <row r="1137" spans="2:3" x14ac:dyDescent="0.25">
      <c r="B1137" s="10" t="s">
        <v>852</v>
      </c>
      <c r="C1137" s="12">
        <v>52.88</v>
      </c>
    </row>
    <row r="1138" spans="2:3" x14ac:dyDescent="0.25">
      <c r="B1138" s="10" t="s">
        <v>851</v>
      </c>
      <c r="C1138" s="12">
        <v>53.54</v>
      </c>
    </row>
    <row r="1139" spans="2:3" x14ac:dyDescent="0.25">
      <c r="B1139" s="10" t="s">
        <v>850</v>
      </c>
      <c r="C1139" s="12">
        <v>55.33</v>
      </c>
    </row>
    <row r="1140" spans="2:3" x14ac:dyDescent="0.25">
      <c r="B1140" s="10" t="s">
        <v>849</v>
      </c>
      <c r="C1140" s="12">
        <v>58.39</v>
      </c>
    </row>
    <row r="1141" spans="2:3" x14ac:dyDescent="0.25">
      <c r="B1141" s="10" t="s">
        <v>848</v>
      </c>
      <c r="C1141" s="12">
        <v>59.63</v>
      </c>
    </row>
    <row r="1142" spans="2:3" x14ac:dyDescent="0.25">
      <c r="B1142" s="10" t="s">
        <v>847</v>
      </c>
      <c r="C1142" s="12">
        <v>57.98</v>
      </c>
    </row>
    <row r="1143" spans="2:3" x14ac:dyDescent="0.25">
      <c r="B1143" s="10" t="s">
        <v>846</v>
      </c>
      <c r="C1143" s="12">
        <v>56.09</v>
      </c>
    </row>
    <row r="1144" spans="2:3" x14ac:dyDescent="0.25">
      <c r="B1144" s="10" t="s">
        <v>845</v>
      </c>
      <c r="C1144" s="12">
        <v>54.86</v>
      </c>
    </row>
    <row r="1145" spans="2:3" x14ac:dyDescent="0.25">
      <c r="B1145" s="10" t="s">
        <v>844</v>
      </c>
      <c r="C1145" s="12">
        <v>58.13</v>
      </c>
    </row>
    <row r="1146" spans="2:3" x14ac:dyDescent="0.25">
      <c r="B1146" s="10" t="s">
        <v>843</v>
      </c>
      <c r="C1146" s="12">
        <v>61.84</v>
      </c>
    </row>
    <row r="1147" spans="2:3" x14ac:dyDescent="0.25">
      <c r="B1147" s="10" t="s">
        <v>842</v>
      </c>
      <c r="C1147" s="12">
        <v>61.11</v>
      </c>
    </row>
    <row r="1148" spans="2:3" x14ac:dyDescent="0.25">
      <c r="B1148" s="10" t="s">
        <v>841</v>
      </c>
      <c r="C1148" s="12">
        <v>65.06</v>
      </c>
    </row>
    <row r="1149" spans="2:3" x14ac:dyDescent="0.25">
      <c r="B1149" s="10" t="s">
        <v>840</v>
      </c>
      <c r="C1149" s="12">
        <v>71.77</v>
      </c>
    </row>
    <row r="1150" spans="2:3" x14ac:dyDescent="0.25">
      <c r="B1150" s="10" t="s">
        <v>839</v>
      </c>
      <c r="C1150" s="12">
        <v>71.319999999999993</v>
      </c>
    </row>
    <row r="1151" spans="2:3" x14ac:dyDescent="0.25">
      <c r="B1151" s="10" t="s">
        <v>838</v>
      </c>
      <c r="C1151" s="12">
        <v>68.38</v>
      </c>
    </row>
    <row r="1152" spans="2:3" x14ac:dyDescent="0.25">
      <c r="B1152" s="10" t="s">
        <v>837</v>
      </c>
      <c r="C1152" s="12">
        <v>67.319999999999993</v>
      </c>
    </row>
    <row r="1153" spans="2:3" x14ac:dyDescent="0.25">
      <c r="B1153" s="10" t="s">
        <v>836</v>
      </c>
      <c r="C1153" s="12">
        <v>72.05</v>
      </c>
    </row>
    <row r="1154" spans="2:3" x14ac:dyDescent="0.25">
      <c r="B1154" s="10" t="s">
        <v>835</v>
      </c>
      <c r="C1154" s="12">
        <v>72.97</v>
      </c>
    </row>
    <row r="1155" spans="2:3" x14ac:dyDescent="0.25">
      <c r="B1155" s="10" t="s">
        <v>834</v>
      </c>
      <c r="C1155" s="12">
        <v>70.56</v>
      </c>
    </row>
    <row r="1156" spans="2:3" x14ac:dyDescent="0.25">
      <c r="B1156" s="10" t="s">
        <v>833</v>
      </c>
      <c r="C1156" s="12">
        <v>74.42</v>
      </c>
    </row>
    <row r="1157" spans="2:3" x14ac:dyDescent="0.25">
      <c r="B1157" s="10" t="s">
        <v>832</v>
      </c>
      <c r="C1157" s="12">
        <v>77.55</v>
      </c>
    </row>
    <row r="1158" spans="2:3" x14ac:dyDescent="0.25">
      <c r="B1158" s="10" t="s">
        <v>831</v>
      </c>
      <c r="C1158" s="12">
        <v>87.6</v>
      </c>
    </row>
    <row r="1159" spans="2:3" x14ac:dyDescent="0.25">
      <c r="B1159" s="10" t="s">
        <v>830</v>
      </c>
      <c r="C1159" s="12">
        <v>87.92</v>
      </c>
    </row>
    <row r="1160" spans="2:3" x14ac:dyDescent="0.25">
      <c r="B1160" s="10" t="s">
        <v>829</v>
      </c>
      <c r="C1160" s="12">
        <v>83.75</v>
      </c>
    </row>
    <row r="1161" spans="2:3" x14ac:dyDescent="0.25">
      <c r="B1161" s="10" t="s">
        <v>828</v>
      </c>
      <c r="C1161" s="12">
        <v>83.23</v>
      </c>
    </row>
    <row r="1162" spans="2:3" x14ac:dyDescent="0.25">
      <c r="B1162" s="10" t="s">
        <v>827</v>
      </c>
      <c r="C1162" s="12">
        <v>78.28</v>
      </c>
    </row>
    <row r="1163" spans="2:3" x14ac:dyDescent="0.25">
      <c r="B1163" s="10" t="s">
        <v>826</v>
      </c>
      <c r="C1163" s="12">
        <v>83.53</v>
      </c>
    </row>
    <row r="1164" spans="2:3" x14ac:dyDescent="0.25">
      <c r="B1164" s="10" t="s">
        <v>825</v>
      </c>
      <c r="C1164" s="12">
        <v>84.16</v>
      </c>
    </row>
    <row r="1165" spans="2:3" x14ac:dyDescent="0.25">
      <c r="B1165" s="10" t="s">
        <v>824</v>
      </c>
      <c r="C1165" s="12">
        <v>93.21</v>
      </c>
    </row>
    <row r="1166" spans="2:3" x14ac:dyDescent="0.25">
      <c r="B1166" s="10" t="s">
        <v>823</v>
      </c>
      <c r="C1166" s="12">
        <v>94.63</v>
      </c>
    </row>
    <row r="1167" spans="2:3" x14ac:dyDescent="0.25">
      <c r="B1167" s="10" t="s">
        <v>822</v>
      </c>
      <c r="C1167" s="12">
        <v>98.93</v>
      </c>
    </row>
    <row r="1168" spans="2:3" x14ac:dyDescent="0.25">
      <c r="B1168" s="10" t="s">
        <v>821</v>
      </c>
      <c r="C1168" s="12">
        <v>107.75</v>
      </c>
    </row>
    <row r="1169" spans="2:3" x14ac:dyDescent="0.25">
      <c r="B1169" s="10" t="s">
        <v>820</v>
      </c>
      <c r="C1169" s="12">
        <v>108.21</v>
      </c>
    </row>
    <row r="1170" spans="2:3" x14ac:dyDescent="0.25">
      <c r="B1170" s="10" t="s">
        <v>819</v>
      </c>
      <c r="C1170" s="12">
        <v>97.65</v>
      </c>
    </row>
    <row r="1171" spans="2:3" x14ac:dyDescent="0.25">
      <c r="B1171" s="10" t="s">
        <v>818</v>
      </c>
      <c r="C1171" s="12">
        <v>92.71</v>
      </c>
    </row>
    <row r="1172" spans="2:3" x14ac:dyDescent="0.25">
      <c r="B1172" s="10" t="s">
        <v>817</v>
      </c>
      <c r="C1172" s="12">
        <v>95.13</v>
      </c>
    </row>
    <row r="1173" spans="2:3" x14ac:dyDescent="0.25">
      <c r="B1173" s="10" t="s">
        <v>816</v>
      </c>
      <c r="C1173" s="12">
        <v>95.88</v>
      </c>
    </row>
    <row r="1174" spans="2:3" x14ac:dyDescent="0.25">
      <c r="B1174" s="10" t="s">
        <v>815</v>
      </c>
      <c r="C1174" s="12">
        <v>96.66</v>
      </c>
    </row>
    <row r="1175" spans="2:3" x14ac:dyDescent="0.25">
      <c r="B1175" s="10" t="s">
        <v>814</v>
      </c>
      <c r="C1175" s="12">
        <v>98.43</v>
      </c>
    </row>
    <row r="1176" spans="2:3" x14ac:dyDescent="0.25">
      <c r="B1176" s="10" t="s">
        <v>813</v>
      </c>
      <c r="C1176" s="12">
        <v>97.43</v>
      </c>
    </row>
    <row r="1177" spans="2:3" x14ac:dyDescent="0.25">
      <c r="B1177" s="10" t="s">
        <v>812</v>
      </c>
      <c r="C1177" s="12">
        <v>93.13</v>
      </c>
    </row>
    <row r="1178" spans="2:3" x14ac:dyDescent="0.25">
      <c r="B1178" s="10" t="s">
        <v>811</v>
      </c>
      <c r="C1178" s="12">
        <v>90.29</v>
      </c>
    </row>
    <row r="1179" spans="2:3" x14ac:dyDescent="0.25">
      <c r="B1179" s="10" t="s">
        <v>810</v>
      </c>
      <c r="C1179" s="12">
        <v>88.52</v>
      </c>
    </row>
    <row r="1180" spans="2:3" x14ac:dyDescent="0.25">
      <c r="B1180" s="10" t="s">
        <v>809</v>
      </c>
      <c r="C1180" s="12">
        <v>80.739999999999995</v>
      </c>
    </row>
    <row r="1181" spans="2:3" x14ac:dyDescent="0.25">
      <c r="B1181" s="10" t="s">
        <v>808</v>
      </c>
      <c r="C1181" s="12">
        <v>74.23</v>
      </c>
    </row>
    <row r="1182" spans="2:3" x14ac:dyDescent="0.25">
      <c r="B1182" s="10" t="s">
        <v>807</v>
      </c>
      <c r="C1182" s="12">
        <v>75.23</v>
      </c>
    </row>
    <row r="1183" spans="2:3" x14ac:dyDescent="0.25">
      <c r="B1183" s="10" t="s">
        <v>806</v>
      </c>
      <c r="C1183" s="12">
        <v>73.83</v>
      </c>
    </row>
    <row r="1184" spans="2:3" x14ac:dyDescent="0.25">
      <c r="B1184" s="10" t="s">
        <v>805</v>
      </c>
      <c r="C1184" s="12">
        <v>69.86</v>
      </c>
    </row>
    <row r="1185" spans="2:3" x14ac:dyDescent="0.25">
      <c r="B1185" s="10" t="s">
        <v>804</v>
      </c>
      <c r="C1185" s="12">
        <v>64.62</v>
      </c>
    </row>
    <row r="1186" spans="2:3" x14ac:dyDescent="0.25">
      <c r="B1186" s="10" t="s">
        <v>803</v>
      </c>
      <c r="C1186" s="12">
        <v>61.94</v>
      </c>
    </row>
    <row r="1187" spans="2:3" x14ac:dyDescent="0.25">
      <c r="B1187" s="10" t="s">
        <v>802</v>
      </c>
      <c r="C1187" s="12">
        <v>61.8</v>
      </c>
    </row>
    <row r="1188" spans="2:3" x14ac:dyDescent="0.25">
      <c r="B1188" s="10" t="s">
        <v>801</v>
      </c>
      <c r="C1188" s="12">
        <v>64.489999999999995</v>
      </c>
    </row>
    <row r="1189" spans="2:3" x14ac:dyDescent="0.25">
      <c r="B1189" s="10" t="s">
        <v>800</v>
      </c>
      <c r="C1189" s="12">
        <v>64.55</v>
      </c>
    </row>
    <row r="1190" spans="2:3" x14ac:dyDescent="0.25">
      <c r="B1190" s="10" t="s">
        <v>799</v>
      </c>
      <c r="C1190" s="12">
        <v>65.67</v>
      </c>
    </row>
    <row r="1191" spans="2:3" x14ac:dyDescent="0.25">
      <c r="B1191" s="10" t="s">
        <v>798</v>
      </c>
      <c r="C1191" s="12">
        <v>69.38</v>
      </c>
    </row>
    <row r="1192" spans="2:3" x14ac:dyDescent="0.25">
      <c r="B1192" s="10" t="s">
        <v>797</v>
      </c>
      <c r="C1192" s="12">
        <v>72.88</v>
      </c>
    </row>
    <row r="1193" spans="2:3" x14ac:dyDescent="0.25">
      <c r="B1193" s="10" t="s">
        <v>796</v>
      </c>
      <c r="C1193" s="12">
        <v>72.09</v>
      </c>
    </row>
    <row r="1194" spans="2:3" x14ac:dyDescent="0.25">
      <c r="B1194" s="10" t="s">
        <v>795</v>
      </c>
      <c r="C1194" s="12">
        <v>70.64</v>
      </c>
    </row>
    <row r="1195" spans="2:3" x14ac:dyDescent="0.25">
      <c r="B1195" s="10" t="s">
        <v>794</v>
      </c>
      <c r="C1195" s="12">
        <v>70.760000000000005</v>
      </c>
    </row>
    <row r="1196" spans="2:3" x14ac:dyDescent="0.25">
      <c r="B1196" s="10" t="s">
        <v>793</v>
      </c>
      <c r="C1196" s="12">
        <v>68.430000000000007</v>
      </c>
    </row>
    <row r="1197" spans="2:3" x14ac:dyDescent="0.25">
      <c r="B1197" s="10" t="s">
        <v>792</v>
      </c>
      <c r="C1197" s="12">
        <v>70.55</v>
      </c>
    </row>
    <row r="1198" spans="2:3" x14ac:dyDescent="0.25">
      <c r="B1198" s="10" t="s">
        <v>791</v>
      </c>
      <c r="C1198" s="12">
        <v>78</v>
      </c>
    </row>
    <row r="1199" spans="2:3" x14ac:dyDescent="0.25">
      <c r="B1199" s="10" t="s">
        <v>790</v>
      </c>
      <c r="C1199" s="12">
        <v>81.7</v>
      </c>
    </row>
    <row r="1200" spans="2:3" x14ac:dyDescent="0.25">
      <c r="B1200" s="10" t="s">
        <v>789</v>
      </c>
      <c r="C1200" s="12">
        <v>77.77</v>
      </c>
    </row>
    <row r="1201" spans="2:3" x14ac:dyDescent="0.25">
      <c r="B1201" s="10" t="s">
        <v>788</v>
      </c>
      <c r="C1201" s="12">
        <v>77.349999999999994</v>
      </c>
    </row>
    <row r="1202" spans="2:3" x14ac:dyDescent="0.25">
      <c r="B1202" s="10" t="s">
        <v>787</v>
      </c>
      <c r="C1202" s="12">
        <v>74.709999999999994</v>
      </c>
    </row>
    <row r="1203" spans="2:3" x14ac:dyDescent="0.25">
      <c r="B1203" s="10" t="s">
        <v>786</v>
      </c>
      <c r="C1203" s="12">
        <v>86.33</v>
      </c>
    </row>
    <row r="1204" spans="2:3" x14ac:dyDescent="0.25">
      <c r="B1204" s="10" t="s">
        <v>785</v>
      </c>
      <c r="C1204" s="12">
        <v>89.67</v>
      </c>
    </row>
    <row r="1205" spans="2:3" x14ac:dyDescent="0.25">
      <c r="B1205" s="10" t="s">
        <v>784</v>
      </c>
      <c r="C1205" s="12">
        <v>97.51</v>
      </c>
    </row>
    <row r="1206" spans="2:3" x14ac:dyDescent="0.25">
      <c r="B1206" s="10" t="s">
        <v>783</v>
      </c>
      <c r="C1206" s="12">
        <v>94.98</v>
      </c>
    </row>
    <row r="1207" spans="2:3" x14ac:dyDescent="0.25">
      <c r="B1207" s="10" t="s">
        <v>782</v>
      </c>
      <c r="C1207" s="12">
        <v>89.77</v>
      </c>
    </row>
    <row r="1208" spans="2:3" x14ac:dyDescent="0.25">
      <c r="B1208" s="10" t="s">
        <v>781</v>
      </c>
      <c r="C1208" s="12">
        <v>93.07</v>
      </c>
    </row>
    <row r="1209" spans="2:3" x14ac:dyDescent="0.25">
      <c r="B1209" s="10" t="s">
        <v>780</v>
      </c>
      <c r="C1209" s="12">
        <v>93.3</v>
      </c>
    </row>
    <row r="1210" spans="2:3" x14ac:dyDescent="0.25">
      <c r="B1210" s="10" t="s">
        <v>779</v>
      </c>
      <c r="C1210" s="12">
        <v>103.22</v>
      </c>
    </row>
    <row r="1211" spans="2:3" x14ac:dyDescent="0.25">
      <c r="B1211" s="10" t="s">
        <v>778</v>
      </c>
      <c r="C1211" s="12">
        <v>112.46</v>
      </c>
    </row>
    <row r="1212" spans="2:3" x14ac:dyDescent="0.25">
      <c r="B1212" s="10" t="s">
        <v>777</v>
      </c>
      <c r="C1212" s="12">
        <v>119.48</v>
      </c>
    </row>
    <row r="1213" spans="2:3" x14ac:dyDescent="0.25">
      <c r="B1213" s="10" t="s">
        <v>776</v>
      </c>
      <c r="C1213" s="12">
        <v>118.23</v>
      </c>
    </row>
    <row r="1214" spans="2:3" x14ac:dyDescent="0.25">
      <c r="B1214" s="10" t="s">
        <v>775</v>
      </c>
      <c r="C1214" s="12">
        <v>122.88</v>
      </c>
    </row>
    <row r="1215" spans="2:3" x14ac:dyDescent="0.25">
      <c r="B1215" s="10" t="s">
        <v>774</v>
      </c>
      <c r="C1215" s="12">
        <v>117.32</v>
      </c>
    </row>
    <row r="1216" spans="2:3" x14ac:dyDescent="0.25">
      <c r="B1216" s="10" t="s">
        <v>773</v>
      </c>
      <c r="C1216" s="12">
        <v>111.04</v>
      </c>
    </row>
    <row r="1217" spans="2:3" x14ac:dyDescent="0.25">
      <c r="B1217" s="10" t="s">
        <v>772</v>
      </c>
      <c r="C1217" s="12">
        <v>109.21</v>
      </c>
    </row>
    <row r="1218" spans="2:3" x14ac:dyDescent="0.25">
      <c r="B1218" s="10" t="s">
        <v>771</v>
      </c>
      <c r="C1218" s="12">
        <v>113.39</v>
      </c>
    </row>
    <row r="1219" spans="2:3" x14ac:dyDescent="0.25">
      <c r="B1219" s="10" t="s">
        <v>770</v>
      </c>
      <c r="C1219" s="12">
        <v>120.57</v>
      </c>
    </row>
    <row r="1220" spans="2:3" x14ac:dyDescent="0.25">
      <c r="B1220" s="10" t="s">
        <v>769</v>
      </c>
      <c r="C1220" s="12">
        <v>111.63</v>
      </c>
    </row>
    <row r="1221" spans="2:3" x14ac:dyDescent="0.25">
      <c r="B1221" s="10" t="s">
        <v>768</v>
      </c>
      <c r="C1221" s="12">
        <v>112.37</v>
      </c>
    </row>
    <row r="1222" spans="2:3" x14ac:dyDescent="0.25">
      <c r="B1222" s="10" t="s">
        <v>767</v>
      </c>
      <c r="C1222" s="12">
        <v>108.66</v>
      </c>
    </row>
    <row r="1223" spans="2:3" x14ac:dyDescent="0.25">
      <c r="B1223" s="10" t="s">
        <v>766</v>
      </c>
      <c r="C1223" s="12">
        <v>110.87</v>
      </c>
    </row>
    <row r="1224" spans="2:3" x14ac:dyDescent="0.25">
      <c r="B1224" s="10" t="s">
        <v>765</v>
      </c>
      <c r="C1224" s="12">
        <v>108.65</v>
      </c>
    </row>
    <row r="1225" spans="2:3" x14ac:dyDescent="0.25">
      <c r="B1225" s="10" t="s">
        <v>764</v>
      </c>
      <c r="C1225" s="12">
        <v>112.95</v>
      </c>
    </row>
    <row r="1226" spans="2:3" x14ac:dyDescent="0.25">
      <c r="B1226" s="10" t="s">
        <v>763</v>
      </c>
      <c r="C1226" s="12">
        <v>110.08</v>
      </c>
    </row>
    <row r="1227" spans="2:3" x14ac:dyDescent="0.25">
      <c r="B1227" s="10" t="s">
        <v>762</v>
      </c>
      <c r="C1227" s="12">
        <v>100.75</v>
      </c>
    </row>
    <row r="1228" spans="2:3" x14ac:dyDescent="0.25">
      <c r="B1228" s="10" t="s">
        <v>761</v>
      </c>
      <c r="C1228" s="12">
        <v>89.46</v>
      </c>
    </row>
    <row r="1229" spans="2:3" x14ac:dyDescent="0.25">
      <c r="B1229" s="10" t="s">
        <v>760</v>
      </c>
      <c r="C1229" s="12">
        <v>92.04</v>
      </c>
    </row>
    <row r="1230" spans="2:3" x14ac:dyDescent="0.25">
      <c r="B1230" s="10" t="s">
        <v>759</v>
      </c>
      <c r="C1230" s="12">
        <v>94.9</v>
      </c>
    </row>
    <row r="1231" spans="2:3" x14ac:dyDescent="0.25">
      <c r="B1231" s="10" t="s">
        <v>758</v>
      </c>
      <c r="C1231" s="12">
        <v>97.02</v>
      </c>
    </row>
    <row r="1232" spans="2:3" x14ac:dyDescent="0.25">
      <c r="B1232" s="10" t="s">
        <v>757</v>
      </c>
      <c r="C1232" s="12">
        <v>92.67</v>
      </c>
    </row>
    <row r="1233" spans="2:3" x14ac:dyDescent="0.25">
      <c r="B1233" s="10" t="s">
        <v>756</v>
      </c>
      <c r="C1233" s="12">
        <v>86.14</v>
      </c>
    </row>
    <row r="1234" spans="2:3" x14ac:dyDescent="0.25">
      <c r="B1234" s="10" t="s">
        <v>755</v>
      </c>
      <c r="C1234" s="12">
        <v>83.28</v>
      </c>
    </row>
    <row r="1235" spans="2:3" x14ac:dyDescent="0.25">
      <c r="B1235" s="10" t="s">
        <v>754</v>
      </c>
      <c r="C1235" s="12">
        <v>80.260000000000005</v>
      </c>
    </row>
    <row r="1236" spans="2:3" x14ac:dyDescent="0.25">
      <c r="B1236" s="10" t="s">
        <v>753</v>
      </c>
      <c r="C1236" s="12">
        <v>78.14</v>
      </c>
    </row>
    <row r="1237" spans="2:3" x14ac:dyDescent="0.25">
      <c r="B1237" s="10" t="s">
        <v>752</v>
      </c>
      <c r="C1237" s="12">
        <v>76.87</v>
      </c>
    </row>
    <row r="1238" spans="2:3" x14ac:dyDescent="0.25">
      <c r="B1238" s="10" t="s">
        <v>751</v>
      </c>
      <c r="C1238" s="12">
        <v>75.150000000000006</v>
      </c>
    </row>
    <row r="1239" spans="2:3" x14ac:dyDescent="0.25">
      <c r="B1239" s="10" t="s">
        <v>750</v>
      </c>
      <c r="C1239" s="12">
        <v>76.81</v>
      </c>
    </row>
    <row r="1240" spans="2:3" x14ac:dyDescent="0.25">
      <c r="B1240" s="10" t="s">
        <v>749</v>
      </c>
      <c r="C1240" s="12">
        <v>77.05</v>
      </c>
    </row>
    <row r="1241" spans="2:3" x14ac:dyDescent="0.25">
      <c r="B1241" s="10" t="s">
        <v>748</v>
      </c>
      <c r="C1241" s="12">
        <v>76.930000000000007</v>
      </c>
    </row>
    <row r="1242" spans="2:3" x14ac:dyDescent="0.25">
      <c r="B1242" s="10" t="s">
        <v>747</v>
      </c>
      <c r="C1242" s="12">
        <v>80.540000000000006</v>
      </c>
    </row>
    <row r="1243" spans="2:3" x14ac:dyDescent="0.25">
      <c r="B1243" s="10" t="s">
        <v>746</v>
      </c>
      <c r="C1243" s="12">
        <v>82.68</v>
      </c>
    </row>
    <row r="1244" spans="2:3" x14ac:dyDescent="0.25">
      <c r="B1244" s="10" t="s">
        <v>745</v>
      </c>
      <c r="C1244" s="12">
        <v>81.28</v>
      </c>
    </row>
    <row r="1245" spans="2:3" x14ac:dyDescent="0.25">
      <c r="B1245" s="10" t="s">
        <v>744</v>
      </c>
      <c r="C1245" s="12">
        <v>85.69</v>
      </c>
    </row>
    <row r="1246" spans="2:3" x14ac:dyDescent="0.25">
      <c r="B1246" s="10" t="s">
        <v>743</v>
      </c>
      <c r="C1246" s="12">
        <v>83.27</v>
      </c>
    </row>
    <row r="1247" spans="2:3" x14ac:dyDescent="0.25">
      <c r="B1247" s="10" t="s">
        <v>742</v>
      </c>
      <c r="C1247" s="12">
        <v>81.11</v>
      </c>
    </row>
    <row r="1248" spans="2:3" x14ac:dyDescent="0.25">
      <c r="B1248" s="10" t="s">
        <v>741</v>
      </c>
      <c r="C1248" s="12">
        <v>81.99</v>
      </c>
    </row>
    <row r="1249" spans="2:3" x14ac:dyDescent="0.25">
      <c r="B1249" s="10" t="s">
        <v>740</v>
      </c>
      <c r="C1249" s="12">
        <v>81.52</v>
      </c>
    </row>
    <row r="1250" spans="2:3" x14ac:dyDescent="0.25">
      <c r="B1250" s="10" t="s">
        <v>739</v>
      </c>
      <c r="C1250" s="12">
        <v>83.51</v>
      </c>
    </row>
    <row r="1251" spans="2:3" x14ac:dyDescent="0.25">
      <c r="B1251" s="10" t="s">
        <v>738</v>
      </c>
      <c r="C1251" s="12">
        <v>85.52</v>
      </c>
    </row>
    <row r="1252" spans="2:3" x14ac:dyDescent="0.25">
      <c r="B1252" s="10" t="s">
        <v>737</v>
      </c>
      <c r="C1252" s="12">
        <v>86.73</v>
      </c>
    </row>
    <row r="1253" spans="2:3" x14ac:dyDescent="0.25">
      <c r="B1253" s="10" t="s">
        <v>736</v>
      </c>
      <c r="C1253" s="12">
        <v>87.82</v>
      </c>
    </row>
    <row r="1254" spans="2:3" x14ac:dyDescent="0.25">
      <c r="B1254" s="10" t="s">
        <v>735</v>
      </c>
      <c r="C1254" s="12">
        <v>91.03</v>
      </c>
    </row>
    <row r="1255" spans="2:3" x14ac:dyDescent="0.25">
      <c r="B1255" s="10" t="s">
        <v>734</v>
      </c>
      <c r="C1255" s="12">
        <v>100.7</v>
      </c>
    </row>
    <row r="1256" spans="2:3" x14ac:dyDescent="0.25">
      <c r="B1256" s="10" t="s">
        <v>733</v>
      </c>
      <c r="C1256" s="12">
        <v>112.9</v>
      </c>
    </row>
    <row r="1257" spans="2:3" x14ac:dyDescent="0.25">
      <c r="B1257" s="10" t="s">
        <v>732</v>
      </c>
      <c r="C1257" s="12">
        <v>108.85</v>
      </c>
    </row>
    <row r="1258" spans="2:3" x14ac:dyDescent="0.25">
      <c r="B1258" s="10" t="s">
        <v>731</v>
      </c>
      <c r="C1258" s="12">
        <v>99.87</v>
      </c>
    </row>
    <row r="1259" spans="2:3" x14ac:dyDescent="0.25">
      <c r="B1259" s="10" t="s">
        <v>730</v>
      </c>
      <c r="C1259" s="12">
        <v>104.48</v>
      </c>
    </row>
    <row r="1260" spans="2:3" x14ac:dyDescent="0.25">
      <c r="B1260" s="10" t="s">
        <v>729</v>
      </c>
      <c r="C1260" s="12">
        <v>109.18</v>
      </c>
    </row>
    <row r="1261" spans="2:3" x14ac:dyDescent="0.25">
      <c r="B1261" s="10" t="s">
        <v>728</v>
      </c>
      <c r="C1261" s="12">
        <v>106.91</v>
      </c>
    </row>
    <row r="1262" spans="2:3" x14ac:dyDescent="0.25">
      <c r="B1262" s="10" t="s">
        <v>727</v>
      </c>
      <c r="C1262" s="12">
        <v>107.78</v>
      </c>
    </row>
    <row r="1263" spans="2:3" x14ac:dyDescent="0.25">
      <c r="B1263" s="10" t="s">
        <v>726</v>
      </c>
      <c r="C1263" s="12">
        <v>111.25</v>
      </c>
    </row>
    <row r="1264" spans="2:3" x14ac:dyDescent="0.25">
      <c r="B1264" s="10" t="s">
        <v>725</v>
      </c>
      <c r="C1264" s="12">
        <v>109.58</v>
      </c>
    </row>
    <row r="1265" spans="2:3" x14ac:dyDescent="0.25">
      <c r="B1265" s="10" t="s">
        <v>724</v>
      </c>
      <c r="C1265" s="12">
        <v>107.29</v>
      </c>
    </row>
    <row r="1266" spans="2:3" x14ac:dyDescent="0.25">
      <c r="B1266" s="10" t="s">
        <v>723</v>
      </c>
      <c r="C1266" s="12">
        <v>106.19</v>
      </c>
    </row>
    <row r="1267" spans="2:3" x14ac:dyDescent="0.25">
      <c r="B1267" s="10" t="s">
        <v>722</v>
      </c>
      <c r="C1267" s="12">
        <v>106.78</v>
      </c>
    </row>
    <row r="1268" spans="2:3" x14ac:dyDescent="0.25">
      <c r="B1268" s="10" t="s">
        <v>721</v>
      </c>
      <c r="C1268" s="12">
        <v>115.19</v>
      </c>
    </row>
    <row r="1269" spans="2:3" x14ac:dyDescent="0.25">
      <c r="B1269" s="10" t="s">
        <v>720</v>
      </c>
      <c r="C1269" s="12">
        <v>120.04</v>
      </c>
    </row>
    <row r="1270" spans="2:3" x14ac:dyDescent="0.25">
      <c r="B1270" s="10" t="s">
        <v>719</v>
      </c>
      <c r="C1270" s="12">
        <v>123.28</v>
      </c>
    </row>
    <row r="1271" spans="2:3" x14ac:dyDescent="0.25">
      <c r="B1271" s="10" t="s">
        <v>718</v>
      </c>
      <c r="C1271" s="12">
        <v>121.22</v>
      </c>
    </row>
    <row r="1272" spans="2:3" x14ac:dyDescent="0.25">
      <c r="B1272" s="10" t="s">
        <v>717</v>
      </c>
      <c r="C1272" s="12">
        <v>113.18</v>
      </c>
    </row>
    <row r="1273" spans="2:3" x14ac:dyDescent="0.25">
      <c r="B1273" s="10" t="s">
        <v>716</v>
      </c>
      <c r="C1273" s="12">
        <v>119.65</v>
      </c>
    </row>
    <row r="1274" spans="2:3" x14ac:dyDescent="0.25">
      <c r="B1274" s="10" t="s">
        <v>715</v>
      </c>
      <c r="C1274" s="12">
        <v>122.05</v>
      </c>
    </row>
    <row r="1275" spans="2:3" x14ac:dyDescent="0.25">
      <c r="B1275" s="10" t="s">
        <v>714</v>
      </c>
      <c r="C1275" s="12">
        <v>120.83</v>
      </c>
    </row>
    <row r="1276" spans="2:3" x14ac:dyDescent="0.25">
      <c r="B1276" s="10" t="s">
        <v>713</v>
      </c>
      <c r="C1276" s="12">
        <v>118.07</v>
      </c>
    </row>
    <row r="1277" spans="2:3" x14ac:dyDescent="0.25">
      <c r="B1277" s="10" t="s">
        <v>712</v>
      </c>
      <c r="C1277" s="12">
        <v>104.9</v>
      </c>
    </row>
    <row r="1278" spans="2:3" x14ac:dyDescent="0.25">
      <c r="B1278" s="10" t="s">
        <v>711</v>
      </c>
      <c r="C1278" s="12">
        <v>92.2</v>
      </c>
    </row>
    <row r="1279" spans="2:3" x14ac:dyDescent="0.25">
      <c r="B1279" s="10" t="s">
        <v>710</v>
      </c>
      <c r="C1279" s="12">
        <v>84.87</v>
      </c>
    </row>
    <row r="1280" spans="2:3" x14ac:dyDescent="0.25">
      <c r="B1280" s="10" t="s">
        <v>709</v>
      </c>
      <c r="C1280" s="12">
        <v>85.58</v>
      </c>
    </row>
    <row r="1281" spans="2:3" x14ac:dyDescent="0.25">
      <c r="B1281" s="10" t="s">
        <v>708</v>
      </c>
      <c r="C1281" s="12">
        <v>79.290000000000006</v>
      </c>
    </row>
    <row r="1282" spans="2:3" x14ac:dyDescent="0.25">
      <c r="B1282" s="10" t="s">
        <v>707</v>
      </c>
      <c r="C1282" s="12">
        <v>78.239999999999995</v>
      </c>
    </row>
    <row r="1283" spans="2:3" x14ac:dyDescent="0.25">
      <c r="B1283" s="10" t="s">
        <v>706</v>
      </c>
      <c r="C1283" s="12">
        <v>79.78</v>
      </c>
    </row>
    <row r="1284" spans="2:3" x14ac:dyDescent="0.25">
      <c r="B1284" s="10" t="s">
        <v>705</v>
      </c>
      <c r="C1284" s="12">
        <v>81.459999999999994</v>
      </c>
    </row>
    <row r="1285" spans="2:3" x14ac:dyDescent="0.25">
      <c r="B1285" s="10" t="s">
        <v>704</v>
      </c>
      <c r="C1285" s="12">
        <v>81.55</v>
      </c>
    </row>
    <row r="1286" spans="2:3" x14ac:dyDescent="0.25">
      <c r="B1286" s="10" t="s">
        <v>703</v>
      </c>
      <c r="C1286" s="12">
        <v>81.19</v>
      </c>
    </row>
    <row r="1287" spans="2:3" x14ac:dyDescent="0.25">
      <c r="B1287" s="10" t="s">
        <v>702</v>
      </c>
      <c r="C1287" s="12">
        <v>80.41</v>
      </c>
    </row>
    <row r="1288" spans="2:3" x14ac:dyDescent="0.25">
      <c r="B1288" s="10" t="s">
        <v>701</v>
      </c>
      <c r="C1288" s="12">
        <v>80.89</v>
      </c>
    </row>
    <row r="1289" spans="2:3" x14ac:dyDescent="0.25">
      <c r="B1289" s="10" t="s">
        <v>700</v>
      </c>
      <c r="C1289" s="12">
        <v>76.819999999999993</v>
      </c>
    </row>
    <row r="1290" spans="2:3" x14ac:dyDescent="0.25">
      <c r="B1290" s="10" t="s">
        <v>699</v>
      </c>
      <c r="C1290" s="12">
        <v>73.930000000000007</v>
      </c>
    </row>
    <row r="1291" spans="2:3" x14ac:dyDescent="0.25">
      <c r="B1291" s="10" t="s">
        <v>698</v>
      </c>
      <c r="C1291" s="12">
        <v>73.08</v>
      </c>
    </row>
    <row r="1292" spans="2:3" x14ac:dyDescent="0.25">
      <c r="B1292" s="10" t="s">
        <v>697</v>
      </c>
      <c r="C1292" s="12">
        <v>74.12</v>
      </c>
    </row>
    <row r="1293" spans="2:3" x14ac:dyDescent="0.25">
      <c r="B1293" s="10" t="s">
        <v>696</v>
      </c>
      <c r="C1293" s="12">
        <v>74.569999999999993</v>
      </c>
    </row>
    <row r="1294" spans="2:3" x14ac:dyDescent="0.25">
      <c r="B1294" s="10" t="s">
        <v>695</v>
      </c>
      <c r="C1294" s="12">
        <v>73.23</v>
      </c>
    </row>
    <row r="1295" spans="2:3" x14ac:dyDescent="0.25">
      <c r="B1295" s="10" t="s">
        <v>694</v>
      </c>
      <c r="C1295" s="12">
        <v>69.7</v>
      </c>
    </row>
    <row r="1296" spans="2:3" x14ac:dyDescent="0.25">
      <c r="B1296" s="10" t="s">
        <v>693</v>
      </c>
      <c r="C1296" s="12">
        <v>72.760000000000005</v>
      </c>
    </row>
    <row r="1297" spans="2:3" x14ac:dyDescent="0.25">
      <c r="B1297" s="10" t="s">
        <v>692</v>
      </c>
      <c r="C1297" s="12">
        <v>76.02</v>
      </c>
    </row>
    <row r="1298" spans="2:3" x14ac:dyDescent="0.25">
      <c r="B1298" s="10" t="s">
        <v>691</v>
      </c>
      <c r="C1298" s="12">
        <v>77.59</v>
      </c>
    </row>
    <row r="1299" spans="2:3" x14ac:dyDescent="0.25">
      <c r="B1299" s="10" t="s">
        <v>690</v>
      </c>
      <c r="C1299" s="12">
        <v>76.489999999999995</v>
      </c>
    </row>
    <row r="1300" spans="2:3" x14ac:dyDescent="0.25">
      <c r="B1300" s="10" t="s">
        <v>689</v>
      </c>
      <c r="C1300" s="12">
        <v>77.8</v>
      </c>
    </row>
    <row r="1301" spans="2:3" x14ac:dyDescent="0.25">
      <c r="B1301" s="10" t="s">
        <v>688</v>
      </c>
      <c r="C1301" s="12">
        <v>81.680000000000007</v>
      </c>
    </row>
    <row r="1302" spans="2:3" x14ac:dyDescent="0.25">
      <c r="B1302" s="10" t="s">
        <v>687</v>
      </c>
      <c r="C1302" s="12">
        <v>86.59</v>
      </c>
    </row>
    <row r="1303" spans="2:3" x14ac:dyDescent="0.25">
      <c r="B1303" s="10" t="s">
        <v>686</v>
      </c>
      <c r="C1303" s="12">
        <v>89.32</v>
      </c>
    </row>
    <row r="1304" spans="2:3" x14ac:dyDescent="0.25">
      <c r="B1304" s="10" t="s">
        <v>685</v>
      </c>
      <c r="C1304" s="12">
        <v>87.46</v>
      </c>
    </row>
    <row r="1305" spans="2:3" x14ac:dyDescent="0.25">
      <c r="B1305" s="10" t="s">
        <v>684</v>
      </c>
      <c r="C1305" s="12">
        <v>90.74</v>
      </c>
    </row>
    <row r="1306" spans="2:3" x14ac:dyDescent="0.25">
      <c r="B1306" s="10" t="s">
        <v>683</v>
      </c>
      <c r="C1306" s="12">
        <v>92.15</v>
      </c>
    </row>
    <row r="1307" spans="2:3" x14ac:dyDescent="0.25">
      <c r="B1307" s="10" t="s">
        <v>682</v>
      </c>
      <c r="C1307" s="12">
        <v>111.82</v>
      </c>
    </row>
    <row r="1308" spans="2:3" x14ac:dyDescent="0.25">
      <c r="B1308" s="10" t="s">
        <v>681</v>
      </c>
      <c r="C1308" s="12">
        <v>125.36</v>
      </c>
    </row>
    <row r="1309" spans="2:3" x14ac:dyDescent="0.25">
      <c r="B1309" s="10" t="s">
        <v>680</v>
      </c>
      <c r="C1309" s="12">
        <v>117.77</v>
      </c>
    </row>
    <row r="1310" spans="2:3" x14ac:dyDescent="0.25">
      <c r="B1310" s="10" t="s">
        <v>679</v>
      </c>
      <c r="C1310" s="12">
        <v>105.08</v>
      </c>
    </row>
    <row r="1311" spans="2:3" x14ac:dyDescent="0.25">
      <c r="B1311" s="10" t="s">
        <v>678</v>
      </c>
      <c r="C1311" s="12">
        <v>98.43</v>
      </c>
    </row>
    <row r="1312" spans="2:3" x14ac:dyDescent="0.25">
      <c r="B1312" s="10" t="s">
        <v>677</v>
      </c>
      <c r="C1312" s="12">
        <v>94.49</v>
      </c>
    </row>
    <row r="1313" spans="2:3" x14ac:dyDescent="0.25">
      <c r="B1313" s="10" t="s">
        <v>676</v>
      </c>
      <c r="C1313" s="12">
        <v>92.18</v>
      </c>
    </row>
    <row r="1314" spans="2:3" x14ac:dyDescent="0.25">
      <c r="B1314" s="10" t="s">
        <v>675</v>
      </c>
      <c r="C1314" s="12">
        <v>93.23</v>
      </c>
    </row>
    <row r="1315" spans="2:3" x14ac:dyDescent="0.25">
      <c r="B1315" s="10" t="s">
        <v>674</v>
      </c>
      <c r="C1315" s="12">
        <v>92.97</v>
      </c>
    </row>
    <row r="1316" spans="2:3" x14ac:dyDescent="0.25">
      <c r="B1316" s="10" t="s">
        <v>673</v>
      </c>
      <c r="C1316" s="12">
        <v>92.67</v>
      </c>
    </row>
    <row r="1317" spans="2:3" x14ac:dyDescent="0.25">
      <c r="B1317" s="10" t="s">
        <v>672</v>
      </c>
      <c r="C1317" s="12">
        <v>87</v>
      </c>
    </row>
    <row r="1318" spans="2:3" x14ac:dyDescent="0.25">
      <c r="B1318" s="10" t="s">
        <v>671</v>
      </c>
      <c r="C1318" s="12">
        <v>88.64</v>
      </c>
    </row>
    <row r="1319" spans="2:3" x14ac:dyDescent="0.25">
      <c r="B1319" s="10" t="s">
        <v>670</v>
      </c>
      <c r="C1319" s="12">
        <v>89.09</v>
      </c>
    </row>
    <row r="1320" spans="2:3" x14ac:dyDescent="0.25">
      <c r="B1320" s="10" t="s">
        <v>669</v>
      </c>
      <c r="C1320" s="12">
        <v>84.45</v>
      </c>
    </row>
    <row r="1321" spans="2:3" x14ac:dyDescent="0.25">
      <c r="B1321" s="10" t="s">
        <v>668</v>
      </c>
      <c r="C1321" s="12">
        <v>76.400000000000006</v>
      </c>
    </row>
    <row r="1322" spans="2:3" x14ac:dyDescent="0.25">
      <c r="B1322" s="10" t="s">
        <v>667</v>
      </c>
      <c r="C1322" s="12">
        <v>78.56</v>
      </c>
    </row>
    <row r="1323" spans="2:3" x14ac:dyDescent="0.25">
      <c r="B1323" s="10" t="s">
        <v>666</v>
      </c>
      <c r="C1323" s="12">
        <v>95.33</v>
      </c>
    </row>
    <row r="1324" spans="2:3" x14ac:dyDescent="0.25">
      <c r="B1324" s="10" t="s">
        <v>665</v>
      </c>
      <c r="C1324" s="12">
        <v>89.19</v>
      </c>
    </row>
    <row r="1325" spans="2:3" x14ac:dyDescent="0.25">
      <c r="B1325" s="10" t="s">
        <v>664</v>
      </c>
      <c r="C1325" s="12">
        <v>75.349999999999994</v>
      </c>
    </row>
    <row r="1326" spans="2:3" x14ac:dyDescent="0.25">
      <c r="B1326" s="10" t="s">
        <v>663</v>
      </c>
      <c r="C1326" s="12">
        <v>74.31</v>
      </c>
    </row>
    <row r="1327" spans="2:3" x14ac:dyDescent="0.25">
      <c r="B1327" s="10" t="s">
        <v>662</v>
      </c>
      <c r="C1327" s="12">
        <v>77.06</v>
      </c>
    </row>
    <row r="1328" spans="2:3" x14ac:dyDescent="0.25">
      <c r="B1328" s="10" t="s">
        <v>661</v>
      </c>
      <c r="C1328" s="12">
        <v>75.89</v>
      </c>
    </row>
    <row r="1329" spans="2:3" x14ac:dyDescent="0.25">
      <c r="B1329" s="10" t="s">
        <v>660</v>
      </c>
      <c r="C1329" s="12">
        <v>70.42</v>
      </c>
    </row>
    <row r="1330" spans="2:3" x14ac:dyDescent="0.25">
      <c r="B1330" s="10" t="s">
        <v>659</v>
      </c>
      <c r="C1330" s="12">
        <v>72.42</v>
      </c>
    </row>
    <row r="1331" spans="2:3" x14ac:dyDescent="0.25">
      <c r="B1331" s="10" t="s">
        <v>658</v>
      </c>
      <c r="C1331" s="12">
        <v>82.73</v>
      </c>
    </row>
    <row r="1332" spans="2:3" x14ac:dyDescent="0.25">
      <c r="B1332" s="10" t="s">
        <v>657</v>
      </c>
      <c r="C1332" s="12">
        <v>76.33</v>
      </c>
    </row>
    <row r="1333" spans="2:3" x14ac:dyDescent="0.25">
      <c r="B1333" s="10" t="s">
        <v>656</v>
      </c>
      <c r="C1333" s="12">
        <v>68.739999999999995</v>
      </c>
    </row>
    <row r="1334" spans="2:3" x14ac:dyDescent="0.25">
      <c r="B1334" s="10" t="s">
        <v>655</v>
      </c>
      <c r="C1334" s="12">
        <v>70.28</v>
      </c>
    </row>
    <row r="1335" spans="2:3" x14ac:dyDescent="0.25">
      <c r="B1335" s="10" t="s">
        <v>654</v>
      </c>
      <c r="C1335" s="12">
        <v>67.290000000000006</v>
      </c>
    </row>
    <row r="1336" spans="2:3" x14ac:dyDescent="0.25">
      <c r="B1336" s="10" t="s">
        <v>653</v>
      </c>
      <c r="C1336" s="12">
        <v>68.13</v>
      </c>
    </row>
    <row r="1337" spans="2:3" x14ac:dyDescent="0.25">
      <c r="B1337" s="10" t="s">
        <v>652</v>
      </c>
      <c r="C1337" s="12">
        <v>65.099999999999994</v>
      </c>
    </row>
    <row r="1338" spans="2:3" x14ac:dyDescent="0.25">
      <c r="B1338" s="10" t="s">
        <v>651</v>
      </c>
      <c r="C1338" s="12">
        <v>60.58</v>
      </c>
    </row>
    <row r="1339" spans="2:3" x14ac:dyDescent="0.25">
      <c r="B1339" s="10" t="s">
        <v>650</v>
      </c>
      <c r="C1339" s="12">
        <v>62.05</v>
      </c>
    </row>
    <row r="1340" spans="2:3" x14ac:dyDescent="0.25">
      <c r="B1340" s="10" t="s">
        <v>649</v>
      </c>
      <c r="C1340" s="12">
        <v>64.38</v>
      </c>
    </row>
    <row r="1341" spans="2:3" x14ac:dyDescent="0.25">
      <c r="B1341" s="10" t="s">
        <v>648</v>
      </c>
      <c r="C1341" s="12">
        <v>65.13</v>
      </c>
    </row>
    <row r="1342" spans="2:3" x14ac:dyDescent="0.25">
      <c r="B1342" s="10" t="s">
        <v>647</v>
      </c>
      <c r="C1342" s="12">
        <v>65.86</v>
      </c>
    </row>
    <row r="1343" spans="2:3" x14ac:dyDescent="0.25">
      <c r="B1343" s="10" t="s">
        <v>646</v>
      </c>
      <c r="C1343" s="12">
        <v>70.2</v>
      </c>
    </row>
    <row r="1344" spans="2:3" x14ac:dyDescent="0.25">
      <c r="B1344" s="10" t="s">
        <v>645</v>
      </c>
      <c r="C1344" s="12">
        <v>74.989999999999995</v>
      </c>
    </row>
    <row r="1345" spans="1:3" x14ac:dyDescent="0.25">
      <c r="B1345" s="10" t="s">
        <v>644</v>
      </c>
      <c r="C1345" s="12">
        <v>77.400000000000006</v>
      </c>
    </row>
    <row r="1346" spans="1:3" x14ac:dyDescent="0.25">
      <c r="B1346" s="10" t="s">
        <v>643</v>
      </c>
      <c r="C1346" s="12">
        <v>79.91</v>
      </c>
    </row>
    <row r="1347" spans="1:3" x14ac:dyDescent="0.25">
      <c r="B1347" s="10" t="s">
        <v>642</v>
      </c>
      <c r="C1347" s="12">
        <v>77.680000000000007</v>
      </c>
    </row>
    <row r="1348" spans="1:3" x14ac:dyDescent="0.25">
      <c r="B1348" s="10" t="s">
        <v>641</v>
      </c>
      <c r="C1348" s="12">
        <v>75.38</v>
      </c>
    </row>
    <row r="1349" spans="1:3" x14ac:dyDescent="0.25">
      <c r="B1349" s="10" t="s">
        <v>640</v>
      </c>
      <c r="C1349" s="12">
        <v>73.739999999999995</v>
      </c>
    </row>
    <row r="1350" spans="1:3" x14ac:dyDescent="0.25">
      <c r="B1350" s="10" t="s">
        <v>639</v>
      </c>
      <c r="C1350" s="12">
        <v>78.25</v>
      </c>
    </row>
    <row r="1351" spans="1:3" x14ac:dyDescent="0.25">
      <c r="B1351" s="10" t="s">
        <v>638</v>
      </c>
      <c r="C1351" s="12">
        <v>80.55</v>
      </c>
    </row>
    <row r="1352" spans="1:3" x14ac:dyDescent="0.25">
      <c r="B1352" s="10" t="s">
        <v>637</v>
      </c>
      <c r="C1352" s="12">
        <v>78.08</v>
      </c>
    </row>
    <row r="1353" spans="1:3" x14ac:dyDescent="0.25">
      <c r="B1353" s="10" t="s">
        <v>636</v>
      </c>
      <c r="C1353" s="12">
        <v>80.099999999999994</v>
      </c>
    </row>
    <row r="1356" spans="1:3" x14ac:dyDescent="0.25">
      <c r="A1356" s="8" t="s">
        <v>75</v>
      </c>
    </row>
    <row r="1357" spans="1:3" x14ac:dyDescent="0.25">
      <c r="A1357" s="8" t="s">
        <v>633</v>
      </c>
    </row>
    <row r="1358" spans="1:3" x14ac:dyDescent="0.25">
      <c r="A1358" s="8" t="s">
        <v>635</v>
      </c>
    </row>
    <row r="1360" spans="1:3" x14ac:dyDescent="0.25">
      <c r="A1360" s="8" t="s">
        <v>73</v>
      </c>
    </row>
    <row r="1361" spans="1:1" x14ac:dyDescent="0.25">
      <c r="A1361" s="8" t="s">
        <v>72</v>
      </c>
    </row>
    <row r="1363" spans="1:1" x14ac:dyDescent="0.25">
      <c r="A1363" s="8" t="s">
        <v>71</v>
      </c>
    </row>
    <row r="1364" spans="1:1" x14ac:dyDescent="0.25">
      <c r="A1364" s="8" t="s">
        <v>633</v>
      </c>
    </row>
    <row r="1365" spans="1:1" x14ac:dyDescent="0.25">
      <c r="A1365" s="8" t="s">
        <v>70</v>
      </c>
    </row>
    <row r="1366" spans="1:1" x14ac:dyDescent="0.25">
      <c r="A1366" s="8" t="s">
        <v>69</v>
      </c>
    </row>
    <row r="1367" spans="1:1" x14ac:dyDescent="0.25">
      <c r="A1367" s="8" t="s">
        <v>68</v>
      </c>
    </row>
    <row r="1372" spans="1:1" x14ac:dyDescent="0.25">
      <c r="A1372" s="8" t="s">
        <v>64</v>
      </c>
    </row>
    <row r="1373" spans="1:1" x14ac:dyDescent="0.25">
      <c r="A1373" s="8" t="s">
        <v>633</v>
      </c>
    </row>
    <row r="1374" spans="1:1" x14ac:dyDescent="0.25">
      <c r="A1374" s="8" t="s">
        <v>634</v>
      </c>
    </row>
    <row r="1375" spans="1:1" x14ac:dyDescent="0.25">
      <c r="A1375" s="8" t="s">
        <v>62</v>
      </c>
    </row>
    <row r="1376" spans="1:1" x14ac:dyDescent="0.25">
      <c r="A1376" s="8" t="s">
        <v>633</v>
      </c>
    </row>
    <row r="1377" spans="1:1" x14ac:dyDescent="0.25">
      <c r="A1377" s="8" t="s">
        <v>60</v>
      </c>
    </row>
    <row r="1379" spans="1:1" x14ac:dyDescent="0.25">
      <c r="A1379" s="8" t="s">
        <v>59</v>
      </c>
    </row>
    <row r="1380" spans="1:1" x14ac:dyDescent="0.25">
      <c r="A1380" s="8" t="s">
        <v>632</v>
      </c>
    </row>
    <row r="1381" spans="1:1" x14ac:dyDescent="0.25">
      <c r="A1381" s="8" t="s">
        <v>631</v>
      </c>
    </row>
    <row r="1387" spans="1:1" x14ac:dyDescent="0.25">
      <c r="A1387" s="8" t="s">
        <v>56</v>
      </c>
    </row>
    <row r="1389" spans="1:1" x14ac:dyDescent="0.25">
      <c r="A1389" s="8" t="s">
        <v>55</v>
      </c>
    </row>
    <row r="1390" spans="1:1" x14ac:dyDescent="0.25">
      <c r="A1390" s="8" t="s">
        <v>54</v>
      </c>
    </row>
    <row r="1392" spans="1:1" x14ac:dyDescent="0.25">
      <c r="A1392" s="8" t="s">
        <v>53</v>
      </c>
    </row>
    <row r="1393" spans="1:1" x14ac:dyDescent="0.25">
      <c r="A1393" s="8" t="s">
        <v>630</v>
      </c>
    </row>
  </sheetData>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A7E98-AF5A-4086-8BA0-C64F90BEED07}">
  <dimension ref="A1:C599"/>
  <sheetViews>
    <sheetView zoomScale="85" zoomScaleNormal="85" workbookViewId="0">
      <selection activeCell="G26" sqref="G26"/>
    </sheetView>
  </sheetViews>
  <sheetFormatPr defaultRowHeight="15" x14ac:dyDescent="0.25"/>
  <cols>
    <col min="1" max="1" width="16" style="8" customWidth="1"/>
    <col min="2" max="3" width="9.140625" style="8" customWidth="1"/>
    <col min="4" max="16384" width="9.140625" style="8"/>
  </cols>
  <sheetData>
    <row r="1" spans="1:3" ht="18.75" x14ac:dyDescent="0.3">
      <c r="A1" s="11" t="s">
        <v>629</v>
      </c>
    </row>
    <row r="3" spans="1:3" x14ac:dyDescent="0.25">
      <c r="C3" s="10" t="s">
        <v>58</v>
      </c>
    </row>
    <row r="4" spans="1:3" x14ac:dyDescent="0.25">
      <c r="A4" s="10" t="s">
        <v>628</v>
      </c>
      <c r="B4" s="10" t="s">
        <v>627</v>
      </c>
      <c r="C4" s="9">
        <v>8123</v>
      </c>
    </row>
    <row r="5" spans="1:3" x14ac:dyDescent="0.25">
      <c r="B5" s="10" t="s">
        <v>626</v>
      </c>
      <c r="C5" s="9">
        <v>7672</v>
      </c>
    </row>
    <row r="6" spans="1:3" x14ac:dyDescent="0.25">
      <c r="B6" s="10" t="s">
        <v>625</v>
      </c>
      <c r="C6" s="9">
        <v>8003</v>
      </c>
    </row>
    <row r="7" spans="1:3" x14ac:dyDescent="0.25">
      <c r="B7" s="10" t="s">
        <v>624</v>
      </c>
      <c r="C7" s="9">
        <v>7578</v>
      </c>
    </row>
    <row r="8" spans="1:3" x14ac:dyDescent="0.25">
      <c r="B8" s="10" t="s">
        <v>623</v>
      </c>
      <c r="C8" s="9">
        <v>7423</v>
      </c>
    </row>
    <row r="9" spans="1:3" x14ac:dyDescent="0.25">
      <c r="B9" s="10" t="s">
        <v>622</v>
      </c>
      <c r="C9" s="9">
        <v>7798</v>
      </c>
    </row>
    <row r="10" spans="1:3" x14ac:dyDescent="0.25">
      <c r="B10" s="10" t="s">
        <v>621</v>
      </c>
      <c r="C10" s="9">
        <v>5840</v>
      </c>
    </row>
    <row r="11" spans="1:3" x14ac:dyDescent="0.25">
      <c r="B11" s="10" t="s">
        <v>620</v>
      </c>
      <c r="C11" s="9">
        <v>6815</v>
      </c>
    </row>
    <row r="12" spans="1:3" x14ac:dyDescent="0.25">
      <c r="B12" s="10" t="s">
        <v>619</v>
      </c>
      <c r="C12" s="9">
        <v>7353</v>
      </c>
    </row>
    <row r="13" spans="1:3" x14ac:dyDescent="0.25">
      <c r="B13" s="10" t="s">
        <v>618</v>
      </c>
      <c r="C13" s="9">
        <v>8337</v>
      </c>
    </row>
    <row r="14" spans="1:3" x14ac:dyDescent="0.25">
      <c r="B14" s="10" t="s">
        <v>617</v>
      </c>
      <c r="C14" s="9">
        <v>7561</v>
      </c>
    </row>
    <row r="15" spans="1:3" x14ac:dyDescent="0.25">
      <c r="B15" s="10" t="s">
        <v>616</v>
      </c>
      <c r="C15" s="9">
        <v>9169</v>
      </c>
    </row>
    <row r="16" spans="1:3" x14ac:dyDescent="0.25">
      <c r="B16" s="10" t="s">
        <v>615</v>
      </c>
      <c r="C16" s="9">
        <v>8296</v>
      </c>
    </row>
    <row r="17" spans="2:3" x14ac:dyDescent="0.25">
      <c r="B17" s="10" t="s">
        <v>614</v>
      </c>
      <c r="C17" s="9">
        <v>7586</v>
      </c>
    </row>
    <row r="18" spans="2:3" x14ac:dyDescent="0.25">
      <c r="B18" s="10" t="s">
        <v>613</v>
      </c>
      <c r="C18" s="9">
        <v>9080</v>
      </c>
    </row>
    <row r="19" spans="2:3" x14ac:dyDescent="0.25">
      <c r="B19" s="10" t="s">
        <v>612</v>
      </c>
      <c r="C19" s="9">
        <v>8838</v>
      </c>
    </row>
    <row r="20" spans="2:3" x14ac:dyDescent="0.25">
      <c r="B20" s="10" t="s">
        <v>611</v>
      </c>
      <c r="C20" s="9">
        <v>8453</v>
      </c>
    </row>
    <row r="21" spans="2:3" x14ac:dyDescent="0.25">
      <c r="B21" s="10" t="s">
        <v>610</v>
      </c>
      <c r="C21" s="9">
        <v>9874</v>
      </c>
    </row>
    <row r="22" spans="2:3" x14ac:dyDescent="0.25">
      <c r="B22" s="10" t="s">
        <v>609</v>
      </c>
      <c r="C22" s="9">
        <v>8383</v>
      </c>
    </row>
    <row r="23" spans="2:3" x14ac:dyDescent="0.25">
      <c r="B23" s="10" t="s">
        <v>608</v>
      </c>
      <c r="C23" s="9">
        <v>6368</v>
      </c>
    </row>
    <row r="24" spans="2:3" x14ac:dyDescent="0.25">
      <c r="B24" s="10" t="s">
        <v>607</v>
      </c>
      <c r="C24" s="9">
        <v>9070</v>
      </c>
    </row>
    <row r="25" spans="2:3" x14ac:dyDescent="0.25">
      <c r="B25" s="10" t="s">
        <v>606</v>
      </c>
      <c r="C25" s="9">
        <v>9280</v>
      </c>
    </row>
    <row r="26" spans="2:3" x14ac:dyDescent="0.25">
      <c r="B26" s="10" t="s">
        <v>605</v>
      </c>
      <c r="C26" s="9">
        <v>9486</v>
      </c>
    </row>
    <row r="27" spans="2:3" x14ac:dyDescent="0.25">
      <c r="B27" s="10" t="s">
        <v>604</v>
      </c>
      <c r="C27" s="9">
        <v>9552</v>
      </c>
    </row>
    <row r="28" spans="2:3" x14ac:dyDescent="0.25">
      <c r="B28" s="10" t="s">
        <v>603</v>
      </c>
      <c r="C28" s="9">
        <v>8858</v>
      </c>
    </row>
    <row r="29" spans="2:3" x14ac:dyDescent="0.25">
      <c r="B29" s="10" t="s">
        <v>602</v>
      </c>
      <c r="C29" s="9">
        <v>8679</v>
      </c>
    </row>
    <row r="30" spans="2:3" x14ac:dyDescent="0.25">
      <c r="B30" s="10" t="s">
        <v>601</v>
      </c>
      <c r="C30" s="9">
        <v>10448</v>
      </c>
    </row>
    <row r="31" spans="2:3" x14ac:dyDescent="0.25">
      <c r="B31" s="10" t="s">
        <v>600</v>
      </c>
      <c r="C31" s="9">
        <v>10052</v>
      </c>
    </row>
    <row r="32" spans="2:3" x14ac:dyDescent="0.25">
      <c r="B32" s="10" t="s">
        <v>599</v>
      </c>
      <c r="C32" s="9">
        <v>8237</v>
      </c>
    </row>
    <row r="33" spans="2:3" x14ac:dyDescent="0.25">
      <c r="B33" s="10" t="s">
        <v>598</v>
      </c>
      <c r="C33" s="9">
        <v>9059</v>
      </c>
    </row>
    <row r="34" spans="2:3" x14ac:dyDescent="0.25">
      <c r="B34" s="10" t="s">
        <v>597</v>
      </c>
      <c r="C34" s="9">
        <v>9321</v>
      </c>
    </row>
    <row r="35" spans="2:3" x14ac:dyDescent="0.25">
      <c r="B35" s="10" t="s">
        <v>596</v>
      </c>
      <c r="C35" s="9">
        <v>7940</v>
      </c>
    </row>
    <row r="36" spans="2:3" x14ac:dyDescent="0.25">
      <c r="B36" s="10" t="s">
        <v>595</v>
      </c>
      <c r="C36" s="9">
        <v>9615</v>
      </c>
    </row>
    <row r="37" spans="2:3" x14ac:dyDescent="0.25">
      <c r="B37" s="10" t="s">
        <v>594</v>
      </c>
      <c r="C37" s="9">
        <v>9214</v>
      </c>
    </row>
    <row r="38" spans="2:3" x14ac:dyDescent="0.25">
      <c r="B38" s="10" t="s">
        <v>593</v>
      </c>
      <c r="C38" s="9">
        <v>10682</v>
      </c>
    </row>
    <row r="39" spans="2:3" x14ac:dyDescent="0.25">
      <c r="B39" s="10" t="s">
        <v>592</v>
      </c>
      <c r="C39" s="9">
        <v>11131</v>
      </c>
    </row>
    <row r="40" spans="2:3" x14ac:dyDescent="0.25">
      <c r="B40" s="10" t="s">
        <v>591</v>
      </c>
      <c r="C40" s="9">
        <v>9780</v>
      </c>
    </row>
    <row r="41" spans="2:3" x14ac:dyDescent="0.25">
      <c r="B41" s="10" t="s">
        <v>590</v>
      </c>
      <c r="C41" s="9">
        <v>9713</v>
      </c>
    </row>
    <row r="42" spans="2:3" x14ac:dyDescent="0.25">
      <c r="B42" s="10" t="s">
        <v>589</v>
      </c>
      <c r="C42" s="9">
        <v>11465</v>
      </c>
    </row>
    <row r="43" spans="2:3" x14ac:dyDescent="0.25">
      <c r="B43" s="10" t="s">
        <v>588</v>
      </c>
      <c r="C43" s="9">
        <v>11264</v>
      </c>
    </row>
    <row r="44" spans="2:3" x14ac:dyDescent="0.25">
      <c r="B44" s="10" t="s">
        <v>587</v>
      </c>
      <c r="C44" s="9">
        <v>10712</v>
      </c>
    </row>
    <row r="45" spans="2:3" x14ac:dyDescent="0.25">
      <c r="B45" s="10" t="s">
        <v>586</v>
      </c>
      <c r="C45" s="9">
        <v>10185</v>
      </c>
    </row>
    <row r="46" spans="2:3" x14ac:dyDescent="0.25">
      <c r="B46" s="10" t="s">
        <v>585</v>
      </c>
      <c r="C46" s="9">
        <v>10684</v>
      </c>
    </row>
    <row r="47" spans="2:3" x14ac:dyDescent="0.25">
      <c r="B47" s="10" t="s">
        <v>584</v>
      </c>
      <c r="C47" s="9">
        <v>9832</v>
      </c>
    </row>
    <row r="48" spans="2:3" x14ac:dyDescent="0.25">
      <c r="B48" s="10" t="s">
        <v>583</v>
      </c>
      <c r="C48" s="9">
        <v>10319</v>
      </c>
    </row>
    <row r="49" spans="2:3" x14ac:dyDescent="0.25">
      <c r="B49" s="10" t="s">
        <v>582</v>
      </c>
      <c r="C49" s="9">
        <v>12444</v>
      </c>
    </row>
    <row r="50" spans="2:3" x14ac:dyDescent="0.25">
      <c r="B50" s="10" t="s">
        <v>581</v>
      </c>
      <c r="C50" s="9">
        <v>11995</v>
      </c>
    </row>
    <row r="51" spans="2:3" x14ac:dyDescent="0.25">
      <c r="B51" s="10" t="s">
        <v>580</v>
      </c>
      <c r="C51" s="9">
        <v>13003</v>
      </c>
    </row>
    <row r="52" spans="2:3" x14ac:dyDescent="0.25">
      <c r="B52" s="10" t="s">
        <v>579</v>
      </c>
      <c r="C52" s="9">
        <v>13149</v>
      </c>
    </row>
    <row r="53" spans="2:3" x14ac:dyDescent="0.25">
      <c r="B53" s="10" t="s">
        <v>578</v>
      </c>
      <c r="C53" s="9">
        <v>12183</v>
      </c>
    </row>
    <row r="54" spans="2:3" x14ac:dyDescent="0.25">
      <c r="B54" s="10" t="s">
        <v>577</v>
      </c>
      <c r="C54" s="9">
        <v>13006</v>
      </c>
    </row>
    <row r="55" spans="2:3" x14ac:dyDescent="0.25">
      <c r="B55" s="10" t="s">
        <v>576</v>
      </c>
      <c r="C55" s="9">
        <v>11409</v>
      </c>
    </row>
    <row r="56" spans="2:3" x14ac:dyDescent="0.25">
      <c r="B56" s="10" t="s">
        <v>575</v>
      </c>
      <c r="C56" s="9">
        <v>12268</v>
      </c>
    </row>
    <row r="57" spans="2:3" x14ac:dyDescent="0.25">
      <c r="B57" s="10" t="s">
        <v>574</v>
      </c>
      <c r="C57" s="9">
        <v>12505</v>
      </c>
    </row>
    <row r="58" spans="2:3" x14ac:dyDescent="0.25">
      <c r="B58" s="10" t="s">
        <v>573</v>
      </c>
      <c r="C58" s="9">
        <v>12423</v>
      </c>
    </row>
    <row r="59" spans="2:3" x14ac:dyDescent="0.25">
      <c r="B59" s="10" t="s">
        <v>572</v>
      </c>
      <c r="C59" s="9">
        <v>11576</v>
      </c>
    </row>
    <row r="60" spans="2:3" x14ac:dyDescent="0.25">
      <c r="B60" s="10" t="s">
        <v>571</v>
      </c>
      <c r="C60" s="9">
        <v>12311</v>
      </c>
    </row>
    <row r="61" spans="2:3" x14ac:dyDescent="0.25">
      <c r="B61" s="10" t="s">
        <v>570</v>
      </c>
      <c r="C61" s="9">
        <v>14056</v>
      </c>
    </row>
    <row r="62" spans="2:3" x14ac:dyDescent="0.25">
      <c r="B62" s="10" t="s">
        <v>569</v>
      </c>
      <c r="C62" s="9">
        <v>15081</v>
      </c>
    </row>
    <row r="63" spans="2:3" x14ac:dyDescent="0.25">
      <c r="B63" s="10" t="s">
        <v>568</v>
      </c>
      <c r="C63" s="9">
        <v>14067</v>
      </c>
    </row>
    <row r="64" spans="2:3" x14ac:dyDescent="0.25">
      <c r="B64" s="10" t="s">
        <v>567</v>
      </c>
      <c r="C64" s="9">
        <v>14211</v>
      </c>
    </row>
    <row r="65" spans="2:3" x14ac:dyDescent="0.25">
      <c r="B65" s="10" t="s">
        <v>566</v>
      </c>
      <c r="C65" s="9">
        <v>13280</v>
      </c>
    </row>
    <row r="66" spans="2:3" x14ac:dyDescent="0.25">
      <c r="B66" s="10" t="s">
        <v>565</v>
      </c>
      <c r="C66" s="9">
        <v>15503</v>
      </c>
    </row>
    <row r="67" spans="2:3" x14ac:dyDescent="0.25">
      <c r="B67" s="10" t="s">
        <v>564</v>
      </c>
      <c r="C67" s="9">
        <v>14635</v>
      </c>
    </row>
    <row r="68" spans="2:3" x14ac:dyDescent="0.25">
      <c r="B68" s="10" t="s">
        <v>563</v>
      </c>
      <c r="C68" s="9">
        <v>14252</v>
      </c>
    </row>
    <row r="69" spans="2:3" x14ac:dyDescent="0.25">
      <c r="B69" s="10" t="s">
        <v>562</v>
      </c>
      <c r="C69" s="9">
        <v>12854</v>
      </c>
    </row>
    <row r="70" spans="2:3" x14ac:dyDescent="0.25">
      <c r="B70" s="10" t="s">
        <v>561</v>
      </c>
      <c r="C70" s="9">
        <v>13498</v>
      </c>
    </row>
    <row r="71" spans="2:3" x14ac:dyDescent="0.25">
      <c r="B71" s="10" t="s">
        <v>560</v>
      </c>
      <c r="C71" s="9">
        <v>12898</v>
      </c>
    </row>
    <row r="72" spans="2:3" x14ac:dyDescent="0.25">
      <c r="B72" s="10" t="s">
        <v>559</v>
      </c>
      <c r="C72" s="9">
        <v>13479</v>
      </c>
    </row>
    <row r="73" spans="2:3" x14ac:dyDescent="0.25">
      <c r="B73" s="10" t="s">
        <v>558</v>
      </c>
      <c r="C73" s="9">
        <v>16495</v>
      </c>
    </row>
    <row r="74" spans="2:3" x14ac:dyDescent="0.25">
      <c r="B74" s="10" t="s">
        <v>557</v>
      </c>
      <c r="C74" s="9">
        <v>14066</v>
      </c>
    </row>
    <row r="75" spans="2:3" x14ac:dyDescent="0.25">
      <c r="B75" s="10" t="s">
        <v>556</v>
      </c>
      <c r="C75" s="9">
        <v>15563</v>
      </c>
    </row>
    <row r="76" spans="2:3" x14ac:dyDescent="0.25">
      <c r="B76" s="10" t="s">
        <v>555</v>
      </c>
      <c r="C76" s="9">
        <v>13900</v>
      </c>
    </row>
    <row r="77" spans="2:3" x14ac:dyDescent="0.25">
      <c r="B77" s="10" t="s">
        <v>554</v>
      </c>
      <c r="C77" s="9">
        <v>12043</v>
      </c>
    </row>
    <row r="78" spans="2:3" x14ac:dyDescent="0.25">
      <c r="B78" s="10" t="s">
        <v>553</v>
      </c>
      <c r="C78" s="9">
        <v>11693</v>
      </c>
    </row>
    <row r="79" spans="2:3" x14ac:dyDescent="0.25">
      <c r="B79" s="10" t="s">
        <v>552</v>
      </c>
      <c r="C79" s="9">
        <v>8663</v>
      </c>
    </row>
    <row r="80" spans="2:3" x14ac:dyDescent="0.25">
      <c r="B80" s="10" t="s">
        <v>551</v>
      </c>
      <c r="C80" s="9">
        <v>10106</v>
      </c>
    </row>
    <row r="81" spans="2:3" x14ac:dyDescent="0.25">
      <c r="B81" s="10" t="s">
        <v>550</v>
      </c>
      <c r="C81" s="9">
        <v>10873</v>
      </c>
    </row>
    <row r="82" spans="2:3" x14ac:dyDescent="0.25">
      <c r="B82" s="10" t="s">
        <v>549</v>
      </c>
      <c r="C82" s="9">
        <v>9741</v>
      </c>
    </row>
    <row r="83" spans="2:3" x14ac:dyDescent="0.25">
      <c r="B83" s="10" t="s">
        <v>548</v>
      </c>
      <c r="C83" s="9">
        <v>9520</v>
      </c>
    </row>
    <row r="84" spans="2:3" x14ac:dyDescent="0.25">
      <c r="B84" s="10" t="s">
        <v>547</v>
      </c>
      <c r="C84" s="9">
        <v>10540</v>
      </c>
    </row>
    <row r="85" spans="2:3" x14ac:dyDescent="0.25">
      <c r="B85" s="10" t="s">
        <v>546</v>
      </c>
      <c r="C85" s="9">
        <v>12559</v>
      </c>
    </row>
    <row r="86" spans="2:3" x14ac:dyDescent="0.25">
      <c r="B86" s="10" t="s">
        <v>545</v>
      </c>
      <c r="C86" s="9">
        <v>11675</v>
      </c>
    </row>
    <row r="87" spans="2:3" x14ac:dyDescent="0.25">
      <c r="B87" s="10" t="s">
        <v>544</v>
      </c>
      <c r="C87" s="9">
        <v>12535</v>
      </c>
    </row>
    <row r="88" spans="2:3" x14ac:dyDescent="0.25">
      <c r="B88" s="10" t="s">
        <v>543</v>
      </c>
      <c r="C88" s="9">
        <v>11894</v>
      </c>
    </row>
    <row r="89" spans="2:3" x14ac:dyDescent="0.25">
      <c r="B89" s="10" t="s">
        <v>542</v>
      </c>
      <c r="C89" s="9">
        <v>13328</v>
      </c>
    </row>
    <row r="90" spans="2:3" x14ac:dyDescent="0.25">
      <c r="B90" s="10" t="s">
        <v>541</v>
      </c>
      <c r="C90" s="9">
        <v>12828</v>
      </c>
    </row>
    <row r="91" spans="2:3" x14ac:dyDescent="0.25">
      <c r="B91" s="10" t="s">
        <v>540</v>
      </c>
      <c r="C91" s="9">
        <v>12660</v>
      </c>
    </row>
    <row r="92" spans="2:3" x14ac:dyDescent="0.25">
      <c r="B92" s="10" t="s">
        <v>539</v>
      </c>
      <c r="C92" s="9">
        <v>12051</v>
      </c>
    </row>
    <row r="93" spans="2:3" x14ac:dyDescent="0.25">
      <c r="B93" s="10" t="s">
        <v>538</v>
      </c>
      <c r="C93" s="9">
        <v>11389</v>
      </c>
    </row>
    <row r="94" spans="2:3" x14ac:dyDescent="0.25">
      <c r="B94" s="10" t="s">
        <v>537</v>
      </c>
      <c r="C94" s="9">
        <v>11401</v>
      </c>
    </row>
    <row r="95" spans="2:3" x14ac:dyDescent="0.25">
      <c r="B95" s="10" t="s">
        <v>536</v>
      </c>
      <c r="C95" s="9">
        <v>8616</v>
      </c>
    </row>
    <row r="96" spans="2:3" x14ac:dyDescent="0.25">
      <c r="B96" s="10" t="s">
        <v>535</v>
      </c>
      <c r="C96" s="9">
        <v>11368</v>
      </c>
    </row>
    <row r="97" spans="2:3" x14ac:dyDescent="0.25">
      <c r="B97" s="10" t="s">
        <v>534</v>
      </c>
      <c r="C97" s="9">
        <v>12614</v>
      </c>
    </row>
    <row r="98" spans="2:3" x14ac:dyDescent="0.25">
      <c r="B98" s="10" t="s">
        <v>533</v>
      </c>
      <c r="C98" s="9">
        <v>11788</v>
      </c>
    </row>
    <row r="99" spans="2:3" x14ac:dyDescent="0.25">
      <c r="B99" s="10" t="s">
        <v>532</v>
      </c>
      <c r="C99" s="9">
        <v>14608</v>
      </c>
    </row>
    <row r="100" spans="2:3" x14ac:dyDescent="0.25">
      <c r="B100" s="10" t="s">
        <v>531</v>
      </c>
      <c r="C100" s="9">
        <v>10198</v>
      </c>
    </row>
    <row r="101" spans="2:3" x14ac:dyDescent="0.25">
      <c r="B101" s="10" t="s">
        <v>530</v>
      </c>
      <c r="C101" s="9">
        <v>11817</v>
      </c>
    </row>
    <row r="102" spans="2:3" x14ac:dyDescent="0.25">
      <c r="B102" s="10" t="s">
        <v>529</v>
      </c>
      <c r="C102" s="9">
        <v>12379</v>
      </c>
    </row>
    <row r="103" spans="2:3" x14ac:dyDescent="0.25">
      <c r="B103" s="10" t="s">
        <v>528</v>
      </c>
      <c r="C103" s="9">
        <v>12019</v>
      </c>
    </row>
    <row r="104" spans="2:3" x14ac:dyDescent="0.25">
      <c r="B104" s="10" t="s">
        <v>527</v>
      </c>
      <c r="C104" s="9">
        <v>11703</v>
      </c>
    </row>
    <row r="105" spans="2:3" x14ac:dyDescent="0.25">
      <c r="B105" s="10" t="s">
        <v>526</v>
      </c>
      <c r="C105" s="9">
        <v>11952</v>
      </c>
    </row>
    <row r="106" spans="2:3" x14ac:dyDescent="0.25">
      <c r="B106" s="10" t="s">
        <v>525</v>
      </c>
      <c r="C106" s="9">
        <v>10943</v>
      </c>
    </row>
    <row r="107" spans="2:3" x14ac:dyDescent="0.25">
      <c r="B107" s="10" t="s">
        <v>524</v>
      </c>
      <c r="C107" s="9">
        <v>11822</v>
      </c>
    </row>
    <row r="108" spans="2:3" x14ac:dyDescent="0.25">
      <c r="B108" s="10" t="s">
        <v>523</v>
      </c>
      <c r="C108" s="9">
        <v>12851</v>
      </c>
    </row>
    <row r="109" spans="2:3" x14ac:dyDescent="0.25">
      <c r="B109" s="10" t="s">
        <v>522</v>
      </c>
      <c r="C109" s="9">
        <v>13982</v>
      </c>
    </row>
    <row r="110" spans="2:3" x14ac:dyDescent="0.25">
      <c r="B110" s="10" t="s">
        <v>521</v>
      </c>
      <c r="C110" s="9">
        <v>13194</v>
      </c>
    </row>
    <row r="111" spans="2:3" x14ac:dyDescent="0.25">
      <c r="B111" s="10" t="s">
        <v>520</v>
      </c>
      <c r="C111" s="9">
        <v>13305</v>
      </c>
    </row>
    <row r="112" spans="2:3" x14ac:dyDescent="0.25">
      <c r="B112" s="10" t="s">
        <v>519</v>
      </c>
      <c r="C112" s="9">
        <v>14808</v>
      </c>
    </row>
    <row r="113" spans="2:3" x14ac:dyDescent="0.25">
      <c r="B113" s="10" t="s">
        <v>518</v>
      </c>
      <c r="C113" s="9">
        <v>13492</v>
      </c>
    </row>
    <row r="114" spans="2:3" x14ac:dyDescent="0.25">
      <c r="B114" s="10" t="s">
        <v>517</v>
      </c>
      <c r="C114" s="9">
        <v>15324</v>
      </c>
    </row>
    <row r="115" spans="2:3" x14ac:dyDescent="0.25">
      <c r="B115" s="10" t="s">
        <v>516</v>
      </c>
      <c r="C115" s="9">
        <v>16715</v>
      </c>
    </row>
    <row r="116" spans="2:3" x14ac:dyDescent="0.25">
      <c r="B116" s="10" t="s">
        <v>515</v>
      </c>
      <c r="C116" s="9">
        <v>16057</v>
      </c>
    </row>
    <row r="117" spans="2:3" x14ac:dyDescent="0.25">
      <c r="B117" s="10" t="s">
        <v>514</v>
      </c>
      <c r="C117" s="9">
        <v>15536</v>
      </c>
    </row>
    <row r="118" spans="2:3" x14ac:dyDescent="0.25">
      <c r="B118" s="10" t="s">
        <v>513</v>
      </c>
      <c r="C118" s="9">
        <v>14976</v>
      </c>
    </row>
    <row r="119" spans="2:3" x14ac:dyDescent="0.25">
      <c r="B119" s="10" t="s">
        <v>512</v>
      </c>
      <c r="C119" s="9">
        <v>15988</v>
      </c>
    </row>
    <row r="120" spans="2:3" x14ac:dyDescent="0.25">
      <c r="B120" s="10" t="s">
        <v>511</v>
      </c>
      <c r="C120" s="9">
        <v>15285</v>
      </c>
    </row>
    <row r="121" spans="2:3" x14ac:dyDescent="0.25">
      <c r="B121" s="10" t="s">
        <v>510</v>
      </c>
      <c r="C121" s="9">
        <v>16702</v>
      </c>
    </row>
    <row r="122" spans="2:3" x14ac:dyDescent="0.25">
      <c r="B122" s="10" t="s">
        <v>509</v>
      </c>
      <c r="C122" s="9">
        <v>16881</v>
      </c>
    </row>
    <row r="123" spans="2:3" x14ac:dyDescent="0.25">
      <c r="B123" s="10" t="s">
        <v>508</v>
      </c>
      <c r="C123" s="9">
        <v>15382</v>
      </c>
    </row>
    <row r="124" spans="2:3" x14ac:dyDescent="0.25">
      <c r="B124" s="10" t="s">
        <v>507</v>
      </c>
      <c r="C124" s="9">
        <v>17441</v>
      </c>
    </row>
    <row r="125" spans="2:3" x14ac:dyDescent="0.25">
      <c r="B125" s="10" t="s">
        <v>506</v>
      </c>
      <c r="C125" s="9">
        <v>14906</v>
      </c>
    </row>
    <row r="126" spans="2:3" x14ac:dyDescent="0.25">
      <c r="B126" s="10" t="s">
        <v>505</v>
      </c>
      <c r="C126" s="9">
        <v>16937</v>
      </c>
    </row>
    <row r="127" spans="2:3" x14ac:dyDescent="0.25">
      <c r="B127" s="10" t="s">
        <v>504</v>
      </c>
      <c r="C127" s="9">
        <v>15477</v>
      </c>
    </row>
    <row r="128" spans="2:3" x14ac:dyDescent="0.25">
      <c r="B128" s="10" t="s">
        <v>503</v>
      </c>
      <c r="C128" s="9">
        <v>15581</v>
      </c>
    </row>
    <row r="129" spans="2:3" x14ac:dyDescent="0.25">
      <c r="B129" s="10" t="s">
        <v>502</v>
      </c>
      <c r="C129" s="9">
        <v>16496</v>
      </c>
    </row>
    <row r="130" spans="2:3" x14ac:dyDescent="0.25">
      <c r="B130" s="10" t="s">
        <v>501</v>
      </c>
      <c r="C130" s="9">
        <v>15002</v>
      </c>
    </row>
    <row r="131" spans="2:3" x14ac:dyDescent="0.25">
      <c r="B131" s="10" t="s">
        <v>500</v>
      </c>
      <c r="C131" s="9">
        <v>16251</v>
      </c>
    </row>
    <row r="132" spans="2:3" x14ac:dyDescent="0.25">
      <c r="B132" s="10" t="s">
        <v>499</v>
      </c>
      <c r="C132" s="9">
        <v>19028</v>
      </c>
    </row>
    <row r="133" spans="2:3" x14ac:dyDescent="0.25">
      <c r="B133" s="10" t="s">
        <v>498</v>
      </c>
      <c r="C133" s="9">
        <v>23130</v>
      </c>
    </row>
    <row r="134" spans="2:3" x14ac:dyDescent="0.25">
      <c r="B134" s="10" t="s">
        <v>497</v>
      </c>
      <c r="C134" s="9">
        <v>21864</v>
      </c>
    </row>
    <row r="135" spans="2:3" x14ac:dyDescent="0.25">
      <c r="B135" s="10" t="s">
        <v>496</v>
      </c>
      <c r="C135" s="9">
        <v>19464</v>
      </c>
    </row>
    <row r="136" spans="2:3" x14ac:dyDescent="0.25">
      <c r="B136" s="10" t="s">
        <v>495</v>
      </c>
      <c r="C136" s="9">
        <v>19915</v>
      </c>
    </row>
    <row r="137" spans="2:3" x14ac:dyDescent="0.25">
      <c r="B137" s="10" t="s">
        <v>494</v>
      </c>
      <c r="C137" s="9">
        <v>16657</v>
      </c>
    </row>
    <row r="138" spans="2:3" x14ac:dyDescent="0.25">
      <c r="B138" s="10" t="s">
        <v>493</v>
      </c>
      <c r="C138" s="9">
        <v>17496</v>
      </c>
    </row>
    <row r="139" spans="2:3" x14ac:dyDescent="0.25">
      <c r="B139" s="10" t="s">
        <v>492</v>
      </c>
      <c r="C139" s="9">
        <v>20082</v>
      </c>
    </row>
    <row r="140" spans="2:3" x14ac:dyDescent="0.25">
      <c r="B140" s="10" t="s">
        <v>491</v>
      </c>
      <c r="C140" s="9">
        <v>18580</v>
      </c>
    </row>
    <row r="141" spans="2:3" x14ac:dyDescent="0.25">
      <c r="B141" s="10" t="s">
        <v>490</v>
      </c>
      <c r="C141" s="9">
        <v>18378</v>
      </c>
    </row>
    <row r="142" spans="2:3" x14ac:dyDescent="0.25">
      <c r="B142" s="10" t="s">
        <v>489</v>
      </c>
      <c r="C142" s="9">
        <v>17986</v>
      </c>
    </row>
    <row r="143" spans="2:3" x14ac:dyDescent="0.25">
      <c r="B143" s="10" t="s">
        <v>488</v>
      </c>
      <c r="C143" s="9">
        <v>14420</v>
      </c>
    </row>
    <row r="144" spans="2:3" x14ac:dyDescent="0.25">
      <c r="B144" s="10" t="s">
        <v>487</v>
      </c>
      <c r="C144" s="9">
        <v>20499</v>
      </c>
    </row>
    <row r="145" spans="2:3" x14ac:dyDescent="0.25">
      <c r="B145" s="10" t="s">
        <v>486</v>
      </c>
      <c r="C145" s="9">
        <v>19386</v>
      </c>
    </row>
    <row r="146" spans="2:3" x14ac:dyDescent="0.25">
      <c r="B146" s="10" t="s">
        <v>485</v>
      </c>
      <c r="C146" s="9">
        <v>17851</v>
      </c>
    </row>
    <row r="147" spans="2:3" x14ac:dyDescent="0.25">
      <c r="B147" s="10" t="s">
        <v>484</v>
      </c>
      <c r="C147" s="9">
        <v>19066</v>
      </c>
    </row>
    <row r="148" spans="2:3" x14ac:dyDescent="0.25">
      <c r="B148" s="10" t="s">
        <v>483</v>
      </c>
      <c r="C148" s="9">
        <v>18718</v>
      </c>
    </row>
    <row r="149" spans="2:3" x14ac:dyDescent="0.25">
      <c r="B149" s="10" t="s">
        <v>482</v>
      </c>
      <c r="C149" s="9">
        <v>16395</v>
      </c>
    </row>
    <row r="150" spans="2:3" x14ac:dyDescent="0.25">
      <c r="B150" s="10" t="s">
        <v>481</v>
      </c>
      <c r="C150" s="9">
        <v>21136</v>
      </c>
    </row>
    <row r="151" spans="2:3" x14ac:dyDescent="0.25">
      <c r="B151" s="10" t="s">
        <v>480</v>
      </c>
      <c r="C151" s="9">
        <v>17979</v>
      </c>
    </row>
    <row r="152" spans="2:3" x14ac:dyDescent="0.25">
      <c r="B152" s="10" t="s">
        <v>479</v>
      </c>
      <c r="C152" s="9">
        <v>17604</v>
      </c>
    </row>
    <row r="153" spans="2:3" x14ac:dyDescent="0.25">
      <c r="B153" s="10" t="s">
        <v>478</v>
      </c>
      <c r="C153" s="9">
        <v>18607</v>
      </c>
    </row>
    <row r="154" spans="2:3" x14ac:dyDescent="0.25">
      <c r="B154" s="10" t="s">
        <v>477</v>
      </c>
      <c r="C154" s="9">
        <v>17121</v>
      </c>
    </row>
    <row r="155" spans="2:3" x14ac:dyDescent="0.25">
      <c r="B155" s="10" t="s">
        <v>476</v>
      </c>
      <c r="C155" s="9">
        <v>15548</v>
      </c>
    </row>
    <row r="156" spans="2:3" x14ac:dyDescent="0.25">
      <c r="B156" s="10" t="s">
        <v>475</v>
      </c>
      <c r="C156" s="9">
        <v>18183</v>
      </c>
    </row>
    <row r="157" spans="2:3" x14ac:dyDescent="0.25">
      <c r="B157" s="10" t="s">
        <v>474</v>
      </c>
      <c r="C157" s="9">
        <v>18751</v>
      </c>
    </row>
    <row r="158" spans="2:3" x14ac:dyDescent="0.25">
      <c r="B158" s="10" t="s">
        <v>473</v>
      </c>
      <c r="C158" s="9">
        <v>18912</v>
      </c>
    </row>
    <row r="159" spans="2:3" x14ac:dyDescent="0.25">
      <c r="B159" s="10" t="s">
        <v>472</v>
      </c>
      <c r="C159" s="9">
        <v>19421</v>
      </c>
    </row>
    <row r="160" spans="2:3" x14ac:dyDescent="0.25">
      <c r="B160" s="10" t="s">
        <v>471</v>
      </c>
      <c r="C160" s="9">
        <v>17159</v>
      </c>
    </row>
    <row r="161" spans="2:3" x14ac:dyDescent="0.25">
      <c r="B161" s="10" t="s">
        <v>470</v>
      </c>
      <c r="C161" s="9">
        <v>17632</v>
      </c>
    </row>
    <row r="162" spans="2:3" x14ac:dyDescent="0.25">
      <c r="B162" s="10" t="s">
        <v>469</v>
      </c>
      <c r="C162" s="9">
        <v>19501</v>
      </c>
    </row>
    <row r="163" spans="2:3" x14ac:dyDescent="0.25">
      <c r="B163" s="10" t="s">
        <v>468</v>
      </c>
      <c r="C163" s="9">
        <v>20574</v>
      </c>
    </row>
    <row r="164" spans="2:3" x14ac:dyDescent="0.25">
      <c r="B164" s="10" t="s">
        <v>467</v>
      </c>
      <c r="C164" s="9">
        <v>18988</v>
      </c>
    </row>
    <row r="165" spans="2:3" x14ac:dyDescent="0.25">
      <c r="B165" s="10" t="s">
        <v>466</v>
      </c>
      <c r="C165" s="9">
        <v>19703</v>
      </c>
    </row>
    <row r="166" spans="2:3" x14ac:dyDescent="0.25">
      <c r="B166" s="10" t="s">
        <v>465</v>
      </c>
      <c r="C166" s="9">
        <v>17744</v>
      </c>
    </row>
    <row r="167" spans="2:3" x14ac:dyDescent="0.25">
      <c r="B167" s="10" t="s">
        <v>464</v>
      </c>
      <c r="C167" s="9">
        <v>19033</v>
      </c>
    </row>
    <row r="168" spans="2:3" x14ac:dyDescent="0.25">
      <c r="B168" s="10" t="s">
        <v>463</v>
      </c>
      <c r="C168" s="9">
        <v>17148</v>
      </c>
    </row>
    <row r="169" spans="2:3" x14ac:dyDescent="0.25">
      <c r="B169" s="10" t="s">
        <v>462</v>
      </c>
      <c r="C169" s="9">
        <v>20527</v>
      </c>
    </row>
    <row r="170" spans="2:3" x14ac:dyDescent="0.25">
      <c r="B170" s="10" t="s">
        <v>461</v>
      </c>
      <c r="C170" s="9">
        <v>19523</v>
      </c>
    </row>
    <row r="171" spans="2:3" x14ac:dyDescent="0.25">
      <c r="B171" s="10" t="s">
        <v>460</v>
      </c>
      <c r="C171" s="9">
        <v>19094</v>
      </c>
    </row>
    <row r="172" spans="2:3" x14ac:dyDescent="0.25">
      <c r="B172" s="10" t="s">
        <v>459</v>
      </c>
      <c r="C172" s="9">
        <v>17858</v>
      </c>
    </row>
    <row r="173" spans="2:3" x14ac:dyDescent="0.25">
      <c r="B173" s="10" t="s">
        <v>458</v>
      </c>
      <c r="C173" s="9">
        <v>19279</v>
      </c>
    </row>
    <row r="174" spans="2:3" x14ac:dyDescent="0.25">
      <c r="B174" s="10" t="s">
        <v>457</v>
      </c>
      <c r="C174" s="9">
        <v>20081</v>
      </c>
    </row>
    <row r="175" spans="2:3" x14ac:dyDescent="0.25">
      <c r="B175" s="10" t="s">
        <v>456</v>
      </c>
      <c r="C175" s="9">
        <v>18606</v>
      </c>
    </row>
    <row r="176" spans="2:3" x14ac:dyDescent="0.25">
      <c r="B176" s="10" t="s">
        <v>455</v>
      </c>
      <c r="C176" s="9">
        <v>19762</v>
      </c>
    </row>
    <row r="177" spans="2:3" x14ac:dyDescent="0.25">
      <c r="B177" s="10" t="s">
        <v>454</v>
      </c>
      <c r="C177" s="9">
        <v>21219</v>
      </c>
    </row>
    <row r="178" spans="2:3" x14ac:dyDescent="0.25">
      <c r="B178" s="10" t="s">
        <v>453</v>
      </c>
      <c r="C178" s="9">
        <v>19818</v>
      </c>
    </row>
    <row r="179" spans="2:3" x14ac:dyDescent="0.25">
      <c r="B179" s="10" t="s">
        <v>452</v>
      </c>
      <c r="C179" s="9">
        <v>17544</v>
      </c>
    </row>
    <row r="180" spans="2:3" x14ac:dyDescent="0.25">
      <c r="B180" s="10" t="s">
        <v>451</v>
      </c>
      <c r="C180" s="9">
        <v>21667</v>
      </c>
    </row>
    <row r="181" spans="2:3" x14ac:dyDescent="0.25">
      <c r="B181" s="10" t="s">
        <v>450</v>
      </c>
      <c r="C181" s="9">
        <v>22953</v>
      </c>
    </row>
    <row r="182" spans="2:3" x14ac:dyDescent="0.25">
      <c r="B182" s="10" t="s">
        <v>449</v>
      </c>
      <c r="C182" s="9">
        <v>21774</v>
      </c>
    </row>
    <row r="183" spans="2:3" x14ac:dyDescent="0.25">
      <c r="B183" s="10" t="s">
        <v>448</v>
      </c>
      <c r="C183" s="9">
        <v>23916</v>
      </c>
    </row>
    <row r="184" spans="2:3" x14ac:dyDescent="0.25">
      <c r="B184" s="10" t="s">
        <v>447</v>
      </c>
      <c r="C184" s="9">
        <v>22524</v>
      </c>
    </row>
    <row r="185" spans="2:3" x14ac:dyDescent="0.25">
      <c r="B185" s="10" t="s">
        <v>446</v>
      </c>
      <c r="C185" s="9">
        <v>21178</v>
      </c>
    </row>
    <row r="186" spans="2:3" x14ac:dyDescent="0.25">
      <c r="B186" s="10" t="s">
        <v>445</v>
      </c>
      <c r="C186" s="9">
        <v>24097</v>
      </c>
    </row>
    <row r="187" spans="2:3" x14ac:dyDescent="0.25">
      <c r="B187" s="10" t="s">
        <v>444</v>
      </c>
      <c r="C187" s="9">
        <v>20542</v>
      </c>
    </row>
    <row r="188" spans="2:3" x14ac:dyDescent="0.25">
      <c r="B188" s="10" t="s">
        <v>443</v>
      </c>
      <c r="C188" s="9">
        <v>23347</v>
      </c>
    </row>
    <row r="189" spans="2:3" x14ac:dyDescent="0.25">
      <c r="B189" s="10" t="s">
        <v>442</v>
      </c>
      <c r="C189" s="9">
        <v>20680</v>
      </c>
    </row>
    <row r="190" spans="2:3" x14ac:dyDescent="0.25">
      <c r="B190" s="10" t="s">
        <v>441</v>
      </c>
      <c r="C190" s="9">
        <v>21025</v>
      </c>
    </row>
    <row r="191" spans="2:3" x14ac:dyDescent="0.25">
      <c r="B191" s="10" t="s">
        <v>440</v>
      </c>
      <c r="C191" s="9">
        <v>20786</v>
      </c>
    </row>
    <row r="192" spans="2:3" x14ac:dyDescent="0.25">
      <c r="B192" s="10" t="s">
        <v>439</v>
      </c>
      <c r="C192" s="9">
        <v>22299</v>
      </c>
    </row>
    <row r="193" spans="2:3" x14ac:dyDescent="0.25">
      <c r="B193" s="10" t="s">
        <v>438</v>
      </c>
      <c r="C193" s="9">
        <v>24433</v>
      </c>
    </row>
    <row r="194" spans="2:3" x14ac:dyDescent="0.25">
      <c r="B194" s="10" t="s">
        <v>437</v>
      </c>
      <c r="C194" s="9">
        <v>22085</v>
      </c>
    </row>
    <row r="195" spans="2:3" x14ac:dyDescent="0.25">
      <c r="B195" s="10" t="s">
        <v>436</v>
      </c>
      <c r="C195" s="9">
        <v>22887</v>
      </c>
    </row>
    <row r="196" spans="2:3" x14ac:dyDescent="0.25">
      <c r="B196" s="10" t="s">
        <v>435</v>
      </c>
      <c r="C196" s="9">
        <v>24968</v>
      </c>
    </row>
    <row r="197" spans="2:3" x14ac:dyDescent="0.25">
      <c r="B197" s="10" t="s">
        <v>434</v>
      </c>
      <c r="C197" s="9">
        <v>24852</v>
      </c>
    </row>
    <row r="198" spans="2:3" x14ac:dyDescent="0.25">
      <c r="B198" s="10" t="s">
        <v>433</v>
      </c>
      <c r="C198" s="9">
        <v>27348</v>
      </c>
    </row>
    <row r="199" spans="2:3" x14ac:dyDescent="0.25">
      <c r="B199" s="10" t="s">
        <v>432</v>
      </c>
      <c r="C199" s="9">
        <v>26067</v>
      </c>
    </row>
    <row r="200" spans="2:3" x14ac:dyDescent="0.25">
      <c r="B200" s="10" t="s">
        <v>431</v>
      </c>
      <c r="C200" s="9">
        <v>25055</v>
      </c>
    </row>
    <row r="201" spans="2:3" x14ac:dyDescent="0.25">
      <c r="B201" s="10" t="s">
        <v>430</v>
      </c>
      <c r="C201" s="9">
        <v>24833</v>
      </c>
    </row>
    <row r="202" spans="2:3" x14ac:dyDescent="0.25">
      <c r="B202" s="10" t="s">
        <v>429</v>
      </c>
      <c r="C202" s="9">
        <v>24100</v>
      </c>
    </row>
    <row r="203" spans="2:3" x14ac:dyDescent="0.25">
      <c r="B203" s="10" t="s">
        <v>428</v>
      </c>
      <c r="C203" s="9">
        <v>26358</v>
      </c>
    </row>
    <row r="204" spans="2:3" x14ac:dyDescent="0.25">
      <c r="B204" s="10" t="s">
        <v>427</v>
      </c>
      <c r="C204" s="9">
        <v>27200</v>
      </c>
    </row>
    <row r="205" spans="2:3" x14ac:dyDescent="0.25">
      <c r="B205" s="10" t="s">
        <v>426</v>
      </c>
      <c r="C205" s="9">
        <v>30649</v>
      </c>
    </row>
    <row r="206" spans="2:3" x14ac:dyDescent="0.25">
      <c r="B206" s="10" t="s">
        <v>425</v>
      </c>
      <c r="C206" s="9">
        <v>30492</v>
      </c>
    </row>
    <row r="207" spans="2:3" x14ac:dyDescent="0.25">
      <c r="B207" s="10" t="s">
        <v>424</v>
      </c>
      <c r="C207" s="9">
        <v>28208</v>
      </c>
    </row>
    <row r="208" spans="2:3" x14ac:dyDescent="0.25">
      <c r="B208" s="10" t="s">
        <v>423</v>
      </c>
      <c r="C208" s="9">
        <v>31402</v>
      </c>
    </row>
    <row r="209" spans="2:3" x14ac:dyDescent="0.25">
      <c r="B209" s="10" t="s">
        <v>422</v>
      </c>
      <c r="C209" s="9">
        <v>26145</v>
      </c>
    </row>
    <row r="210" spans="2:3" x14ac:dyDescent="0.25">
      <c r="B210" s="10" t="s">
        <v>421</v>
      </c>
      <c r="C210" s="9">
        <v>27285</v>
      </c>
    </row>
    <row r="211" spans="2:3" x14ac:dyDescent="0.25">
      <c r="B211" s="10" t="s">
        <v>420</v>
      </c>
      <c r="C211" s="9">
        <v>29059</v>
      </c>
    </row>
    <row r="212" spans="2:3" x14ac:dyDescent="0.25">
      <c r="B212" s="10" t="s">
        <v>419</v>
      </c>
      <c r="C212" s="9">
        <v>28337</v>
      </c>
    </row>
    <row r="213" spans="2:3" x14ac:dyDescent="0.25">
      <c r="B213" s="10" t="s">
        <v>418</v>
      </c>
      <c r="C213" s="9">
        <v>26414</v>
      </c>
    </row>
    <row r="214" spans="2:3" x14ac:dyDescent="0.25">
      <c r="B214" s="10" t="s">
        <v>417</v>
      </c>
      <c r="C214" s="9">
        <v>28413</v>
      </c>
    </row>
    <row r="215" spans="2:3" x14ac:dyDescent="0.25">
      <c r="B215" s="10" t="s">
        <v>416</v>
      </c>
      <c r="C215" s="9">
        <v>26197</v>
      </c>
    </row>
    <row r="216" spans="2:3" x14ac:dyDescent="0.25">
      <c r="B216" s="10" t="s">
        <v>415</v>
      </c>
      <c r="C216" s="9">
        <v>29976</v>
      </c>
    </row>
    <row r="217" spans="2:3" x14ac:dyDescent="0.25">
      <c r="B217" s="10" t="s">
        <v>414</v>
      </c>
      <c r="C217" s="9">
        <v>30361</v>
      </c>
    </row>
    <row r="218" spans="2:3" x14ac:dyDescent="0.25">
      <c r="B218" s="10" t="s">
        <v>413</v>
      </c>
      <c r="C218" s="9">
        <v>29500</v>
      </c>
    </row>
    <row r="219" spans="2:3" x14ac:dyDescent="0.25">
      <c r="B219" s="10" t="s">
        <v>412</v>
      </c>
      <c r="C219" s="9">
        <v>29332</v>
      </c>
    </row>
    <row r="220" spans="2:3" x14ac:dyDescent="0.25">
      <c r="B220" s="10" t="s">
        <v>411</v>
      </c>
      <c r="C220" s="9">
        <v>29726</v>
      </c>
    </row>
    <row r="221" spans="2:3" x14ac:dyDescent="0.25">
      <c r="B221" s="10" t="s">
        <v>410</v>
      </c>
      <c r="C221" s="9">
        <v>25410</v>
      </c>
    </row>
    <row r="222" spans="2:3" x14ac:dyDescent="0.25">
      <c r="B222" s="10" t="s">
        <v>409</v>
      </c>
      <c r="C222" s="9">
        <v>29850</v>
      </c>
    </row>
    <row r="223" spans="2:3" x14ac:dyDescent="0.25">
      <c r="B223" s="10" t="s">
        <v>408</v>
      </c>
      <c r="C223" s="9">
        <v>25625</v>
      </c>
    </row>
    <row r="224" spans="2:3" x14ac:dyDescent="0.25">
      <c r="B224" s="10" t="s">
        <v>407</v>
      </c>
      <c r="C224" s="9">
        <v>24527</v>
      </c>
    </row>
    <row r="225" spans="2:3" x14ac:dyDescent="0.25">
      <c r="B225" s="10" t="s">
        <v>406</v>
      </c>
      <c r="C225" s="9">
        <v>25298</v>
      </c>
    </row>
    <row r="226" spans="2:3" x14ac:dyDescent="0.25">
      <c r="B226" s="10" t="s">
        <v>405</v>
      </c>
      <c r="C226" s="9">
        <v>23242</v>
      </c>
    </row>
    <row r="227" spans="2:3" x14ac:dyDescent="0.25">
      <c r="B227" s="10" t="s">
        <v>404</v>
      </c>
      <c r="C227" s="9">
        <v>21074</v>
      </c>
    </row>
    <row r="228" spans="2:3" x14ac:dyDescent="0.25">
      <c r="B228" s="10" t="s">
        <v>403</v>
      </c>
      <c r="C228" s="9">
        <v>25677</v>
      </c>
    </row>
    <row r="229" spans="2:3" x14ac:dyDescent="0.25">
      <c r="B229" s="10" t="s">
        <v>402</v>
      </c>
      <c r="C229" s="9">
        <v>26306</v>
      </c>
    </row>
    <row r="230" spans="2:3" x14ac:dyDescent="0.25">
      <c r="B230" s="10" t="s">
        <v>401</v>
      </c>
      <c r="C230" s="9">
        <v>24312</v>
      </c>
    </row>
    <row r="231" spans="2:3" x14ac:dyDescent="0.25">
      <c r="B231" s="10" t="s">
        <v>400</v>
      </c>
      <c r="C231" s="9">
        <v>23607</v>
      </c>
    </row>
    <row r="232" spans="2:3" x14ac:dyDescent="0.25">
      <c r="B232" s="10" t="s">
        <v>399</v>
      </c>
      <c r="C232" s="9">
        <v>22028</v>
      </c>
    </row>
    <row r="233" spans="2:3" x14ac:dyDescent="0.25">
      <c r="B233" s="10" t="s">
        <v>398</v>
      </c>
      <c r="C233" s="9">
        <v>22827</v>
      </c>
    </row>
    <row r="234" spans="2:3" x14ac:dyDescent="0.25">
      <c r="B234" s="10" t="s">
        <v>397</v>
      </c>
      <c r="C234" s="9">
        <v>27758</v>
      </c>
    </row>
    <row r="235" spans="2:3" x14ac:dyDescent="0.25">
      <c r="B235" s="10" t="s">
        <v>396</v>
      </c>
      <c r="C235" s="9">
        <v>25600</v>
      </c>
    </row>
    <row r="236" spans="2:3" x14ac:dyDescent="0.25">
      <c r="B236" s="10" t="s">
        <v>395</v>
      </c>
      <c r="C236" s="9">
        <v>25463</v>
      </c>
    </row>
    <row r="237" spans="2:3" x14ac:dyDescent="0.25">
      <c r="B237" s="10" t="s">
        <v>394</v>
      </c>
      <c r="C237" s="9">
        <v>29320</v>
      </c>
    </row>
    <row r="238" spans="2:3" x14ac:dyDescent="0.25">
      <c r="B238" s="10" t="s">
        <v>393</v>
      </c>
      <c r="C238" s="9">
        <v>27004</v>
      </c>
    </row>
    <row r="239" spans="2:3" x14ac:dyDescent="0.25">
      <c r="B239" s="10" t="s">
        <v>392</v>
      </c>
      <c r="C239" s="9">
        <v>30667</v>
      </c>
    </row>
    <row r="240" spans="2:3" x14ac:dyDescent="0.25">
      <c r="B240" s="10" t="s">
        <v>391</v>
      </c>
      <c r="C240" s="9">
        <v>33175</v>
      </c>
    </row>
    <row r="241" spans="2:3" x14ac:dyDescent="0.25">
      <c r="B241" s="10" t="s">
        <v>390</v>
      </c>
      <c r="C241" s="9">
        <v>34554</v>
      </c>
    </row>
    <row r="242" spans="2:3" x14ac:dyDescent="0.25">
      <c r="B242" s="10" t="s">
        <v>389</v>
      </c>
      <c r="C242" s="9">
        <v>38830</v>
      </c>
    </row>
    <row r="243" spans="2:3" x14ac:dyDescent="0.25">
      <c r="B243" s="10" t="s">
        <v>388</v>
      </c>
      <c r="C243" s="9">
        <v>37945</v>
      </c>
    </row>
    <row r="244" spans="2:3" x14ac:dyDescent="0.25">
      <c r="B244" s="10" t="s">
        <v>387</v>
      </c>
      <c r="C244" s="9">
        <v>38985</v>
      </c>
    </row>
    <row r="245" spans="2:3" x14ac:dyDescent="0.25">
      <c r="B245" s="10" t="s">
        <v>386</v>
      </c>
      <c r="C245" s="9">
        <v>38900</v>
      </c>
    </row>
    <row r="246" spans="2:3" x14ac:dyDescent="0.25">
      <c r="B246" s="10" t="s">
        <v>385</v>
      </c>
      <c r="C246" s="9">
        <v>42813</v>
      </c>
    </row>
    <row r="247" spans="2:3" x14ac:dyDescent="0.25">
      <c r="B247" s="10" t="s">
        <v>384</v>
      </c>
      <c r="C247" s="9">
        <v>37147</v>
      </c>
    </row>
    <row r="248" spans="2:3" x14ac:dyDescent="0.25">
      <c r="B248" s="10" t="s">
        <v>383</v>
      </c>
      <c r="C248" s="9">
        <v>43463</v>
      </c>
    </row>
    <row r="249" spans="2:3" x14ac:dyDescent="0.25">
      <c r="B249" s="10" t="s">
        <v>382</v>
      </c>
      <c r="C249" s="9">
        <v>41200</v>
      </c>
    </row>
    <row r="250" spans="2:3" x14ac:dyDescent="0.25">
      <c r="B250" s="10" t="s">
        <v>381</v>
      </c>
      <c r="C250" s="9">
        <v>40961</v>
      </c>
    </row>
    <row r="251" spans="2:3" x14ac:dyDescent="0.25">
      <c r="B251" s="10" t="s">
        <v>380</v>
      </c>
      <c r="C251" s="9">
        <v>48092</v>
      </c>
    </row>
    <row r="252" spans="2:3" x14ac:dyDescent="0.25">
      <c r="B252" s="10" t="s">
        <v>379</v>
      </c>
      <c r="C252" s="9">
        <v>46327</v>
      </c>
    </row>
    <row r="253" spans="2:3" x14ac:dyDescent="0.25">
      <c r="B253" s="10" t="s">
        <v>378</v>
      </c>
      <c r="C253" s="9">
        <v>52590</v>
      </c>
    </row>
    <row r="254" spans="2:3" x14ac:dyDescent="0.25">
      <c r="B254" s="10" t="s">
        <v>377</v>
      </c>
      <c r="C254" s="9">
        <v>53518</v>
      </c>
    </row>
    <row r="255" spans="2:3" x14ac:dyDescent="0.25">
      <c r="B255" s="10" t="s">
        <v>376</v>
      </c>
      <c r="C255" s="9">
        <v>45816</v>
      </c>
    </row>
    <row r="256" spans="2:3" x14ac:dyDescent="0.25">
      <c r="B256" s="10" t="s">
        <v>375</v>
      </c>
      <c r="C256" s="9">
        <v>50394</v>
      </c>
    </row>
    <row r="257" spans="2:3" x14ac:dyDescent="0.25">
      <c r="B257" s="10" t="s">
        <v>374</v>
      </c>
      <c r="C257" s="9">
        <v>42706</v>
      </c>
    </row>
    <row r="258" spans="2:3" x14ac:dyDescent="0.25">
      <c r="B258" s="10" t="s">
        <v>373</v>
      </c>
      <c r="C258" s="9">
        <v>45535</v>
      </c>
    </row>
    <row r="259" spans="2:3" x14ac:dyDescent="0.25">
      <c r="B259" s="10" t="s">
        <v>372</v>
      </c>
      <c r="C259" s="9">
        <v>44396</v>
      </c>
    </row>
    <row r="260" spans="2:3" x14ac:dyDescent="0.25">
      <c r="B260" s="10" t="s">
        <v>371</v>
      </c>
      <c r="C260" s="9">
        <v>46982</v>
      </c>
    </row>
    <row r="261" spans="2:3" x14ac:dyDescent="0.25">
      <c r="B261" s="10" t="s">
        <v>370</v>
      </c>
      <c r="C261" s="9">
        <v>42862</v>
      </c>
    </row>
    <row r="262" spans="2:3" x14ac:dyDescent="0.25">
      <c r="B262" s="10" t="s">
        <v>369</v>
      </c>
      <c r="C262" s="9">
        <v>46018</v>
      </c>
    </row>
    <row r="263" spans="2:3" x14ac:dyDescent="0.25">
      <c r="B263" s="10" t="s">
        <v>368</v>
      </c>
      <c r="C263" s="9">
        <v>41530</v>
      </c>
    </row>
    <row r="264" spans="2:3" x14ac:dyDescent="0.25">
      <c r="B264" s="10" t="s">
        <v>367</v>
      </c>
      <c r="C264" s="9">
        <v>42441</v>
      </c>
    </row>
    <row r="265" spans="2:3" x14ac:dyDescent="0.25">
      <c r="B265" s="10" t="s">
        <v>366</v>
      </c>
      <c r="C265" s="9">
        <v>44725</v>
      </c>
    </row>
    <row r="266" spans="2:3" x14ac:dyDescent="0.25">
      <c r="B266" s="10" t="s">
        <v>365</v>
      </c>
      <c r="C266" s="9">
        <v>39677</v>
      </c>
    </row>
    <row r="267" spans="2:3" x14ac:dyDescent="0.25">
      <c r="B267" s="10" t="s">
        <v>364</v>
      </c>
      <c r="C267" s="9">
        <v>44996</v>
      </c>
    </row>
    <row r="268" spans="2:3" x14ac:dyDescent="0.25">
      <c r="B268" s="10" t="s">
        <v>363</v>
      </c>
      <c r="C268" s="9">
        <v>36655</v>
      </c>
    </row>
    <row r="269" spans="2:3" x14ac:dyDescent="0.25">
      <c r="B269" s="10" t="s">
        <v>362</v>
      </c>
      <c r="C269" s="9">
        <v>37124</v>
      </c>
    </row>
    <row r="270" spans="2:3" x14ac:dyDescent="0.25">
      <c r="B270" s="10" t="s">
        <v>361</v>
      </c>
      <c r="C270" s="9">
        <v>41555</v>
      </c>
    </row>
    <row r="271" spans="2:3" x14ac:dyDescent="0.25">
      <c r="B271" s="10" t="s">
        <v>360</v>
      </c>
      <c r="C271" s="9">
        <v>43274</v>
      </c>
    </row>
    <row r="272" spans="2:3" x14ac:dyDescent="0.25">
      <c r="B272" s="10" t="s">
        <v>359</v>
      </c>
      <c r="C272" s="9">
        <v>38761</v>
      </c>
    </row>
    <row r="273" spans="2:3" x14ac:dyDescent="0.25">
      <c r="B273" s="10" t="s">
        <v>358</v>
      </c>
      <c r="C273" s="9">
        <v>38505</v>
      </c>
    </row>
    <row r="274" spans="2:3" x14ac:dyDescent="0.25">
      <c r="B274" s="10" t="s">
        <v>357</v>
      </c>
      <c r="C274" s="9">
        <v>36245</v>
      </c>
    </row>
    <row r="275" spans="2:3" x14ac:dyDescent="0.25">
      <c r="B275" s="10" t="s">
        <v>356</v>
      </c>
      <c r="C275" s="9">
        <v>37567</v>
      </c>
    </row>
    <row r="276" spans="2:3" x14ac:dyDescent="0.25">
      <c r="B276" s="10" t="s">
        <v>355</v>
      </c>
      <c r="C276" s="9">
        <v>38949</v>
      </c>
    </row>
    <row r="277" spans="2:3" x14ac:dyDescent="0.25">
      <c r="B277" s="10" t="s">
        <v>354</v>
      </c>
      <c r="C277" s="9">
        <v>40868</v>
      </c>
    </row>
    <row r="278" spans="2:3" x14ac:dyDescent="0.25">
      <c r="B278" s="10" t="s">
        <v>353</v>
      </c>
      <c r="C278" s="9">
        <v>41117</v>
      </c>
    </row>
    <row r="279" spans="2:3" x14ac:dyDescent="0.25">
      <c r="B279" s="10" t="s">
        <v>352</v>
      </c>
      <c r="C279" s="9">
        <v>42334</v>
      </c>
    </row>
    <row r="280" spans="2:3" x14ac:dyDescent="0.25">
      <c r="B280" s="10" t="s">
        <v>351</v>
      </c>
      <c r="C280" s="9">
        <v>41116</v>
      </c>
    </row>
    <row r="281" spans="2:3" x14ac:dyDescent="0.25">
      <c r="B281" s="10" t="s">
        <v>350</v>
      </c>
      <c r="C281" s="9">
        <v>41070</v>
      </c>
    </row>
    <row r="282" spans="2:3" x14ac:dyDescent="0.25">
      <c r="B282" s="10" t="s">
        <v>349</v>
      </c>
      <c r="C282" s="9">
        <v>40742</v>
      </c>
    </row>
    <row r="283" spans="2:3" x14ac:dyDescent="0.25">
      <c r="B283" s="10" t="s">
        <v>348</v>
      </c>
      <c r="C283" s="9">
        <v>41028</v>
      </c>
    </row>
    <row r="284" spans="2:3" x14ac:dyDescent="0.25">
      <c r="B284" s="10" t="s">
        <v>347</v>
      </c>
      <c r="C284" s="9">
        <v>39235</v>
      </c>
    </row>
    <row r="285" spans="2:3" x14ac:dyDescent="0.25">
      <c r="B285" s="10" t="s">
        <v>346</v>
      </c>
      <c r="C285" s="9">
        <v>34581</v>
      </c>
    </row>
    <row r="286" spans="2:3" x14ac:dyDescent="0.25">
      <c r="B286" s="10" t="s">
        <v>345</v>
      </c>
      <c r="C286" s="9">
        <v>37725</v>
      </c>
    </row>
    <row r="287" spans="2:3" x14ac:dyDescent="0.25">
      <c r="B287" s="10" t="s">
        <v>344</v>
      </c>
      <c r="C287" s="9">
        <v>37396</v>
      </c>
    </row>
    <row r="288" spans="2:3" x14ac:dyDescent="0.25">
      <c r="B288" s="10" t="s">
        <v>343</v>
      </c>
      <c r="C288" s="9">
        <v>38497</v>
      </c>
    </row>
    <row r="289" spans="2:3" x14ac:dyDescent="0.25">
      <c r="B289" s="10" t="s">
        <v>342</v>
      </c>
      <c r="C289" s="9">
        <v>46518</v>
      </c>
    </row>
    <row r="290" spans="2:3" x14ac:dyDescent="0.25">
      <c r="B290" s="10" t="s">
        <v>341</v>
      </c>
      <c r="C290" s="9">
        <v>41665</v>
      </c>
    </row>
    <row r="291" spans="2:3" x14ac:dyDescent="0.25">
      <c r="B291" s="10" t="s">
        <v>340</v>
      </c>
      <c r="C291" s="9">
        <v>43359</v>
      </c>
    </row>
    <row r="292" spans="2:3" x14ac:dyDescent="0.25">
      <c r="B292" s="10" t="s">
        <v>339</v>
      </c>
      <c r="C292" s="9">
        <v>42455</v>
      </c>
    </row>
    <row r="293" spans="2:3" x14ac:dyDescent="0.25">
      <c r="B293" s="10" t="s">
        <v>338</v>
      </c>
      <c r="C293" s="9">
        <v>44869</v>
      </c>
    </row>
    <row r="294" spans="2:3" x14ac:dyDescent="0.25">
      <c r="B294" s="10" t="s">
        <v>337</v>
      </c>
      <c r="C294" s="9">
        <v>47696</v>
      </c>
    </row>
    <row r="295" spans="2:3" x14ac:dyDescent="0.25">
      <c r="B295" s="10" t="s">
        <v>336</v>
      </c>
      <c r="C295" s="9">
        <v>45252</v>
      </c>
    </row>
    <row r="296" spans="2:3" x14ac:dyDescent="0.25">
      <c r="B296" s="10" t="s">
        <v>335</v>
      </c>
      <c r="C296" s="9">
        <v>43755</v>
      </c>
    </row>
    <row r="297" spans="2:3" x14ac:dyDescent="0.25">
      <c r="B297" s="10" t="s">
        <v>334</v>
      </c>
      <c r="C297" s="9">
        <v>44202</v>
      </c>
    </row>
    <row r="298" spans="2:3" x14ac:dyDescent="0.25">
      <c r="B298" s="10" t="s">
        <v>333</v>
      </c>
      <c r="C298" s="9">
        <v>47216</v>
      </c>
    </row>
    <row r="299" spans="2:3" x14ac:dyDescent="0.25">
      <c r="B299" s="10" t="s">
        <v>332</v>
      </c>
      <c r="C299" s="9">
        <v>42696</v>
      </c>
    </row>
    <row r="300" spans="2:3" x14ac:dyDescent="0.25">
      <c r="B300" s="10" t="s">
        <v>331</v>
      </c>
      <c r="C300" s="9">
        <v>48072</v>
      </c>
    </row>
    <row r="301" spans="2:3" x14ac:dyDescent="0.25">
      <c r="B301" s="10" t="s">
        <v>330</v>
      </c>
      <c r="C301" s="9">
        <v>51998</v>
      </c>
    </row>
    <row r="302" spans="2:3" x14ac:dyDescent="0.25">
      <c r="B302" s="10" t="s">
        <v>329</v>
      </c>
      <c r="C302" s="9">
        <v>51369</v>
      </c>
    </row>
    <row r="303" spans="2:3" x14ac:dyDescent="0.25">
      <c r="B303" s="10" t="s">
        <v>328</v>
      </c>
      <c r="C303" s="9">
        <v>45316</v>
      </c>
    </row>
    <row r="304" spans="2:3" x14ac:dyDescent="0.25">
      <c r="B304" s="10" t="s">
        <v>327</v>
      </c>
      <c r="C304" s="9">
        <v>48652</v>
      </c>
    </row>
    <row r="305" spans="2:3" x14ac:dyDescent="0.25">
      <c r="B305" s="10" t="s">
        <v>326</v>
      </c>
      <c r="C305" s="9">
        <v>49840</v>
      </c>
    </row>
    <row r="306" spans="2:3" x14ac:dyDescent="0.25">
      <c r="B306" s="10" t="s">
        <v>325</v>
      </c>
      <c r="C306" s="9">
        <v>53943</v>
      </c>
    </row>
    <row r="307" spans="2:3" x14ac:dyDescent="0.25">
      <c r="B307" s="10" t="s">
        <v>324</v>
      </c>
      <c r="C307" s="9">
        <v>59761</v>
      </c>
    </row>
    <row r="308" spans="2:3" x14ac:dyDescent="0.25">
      <c r="B308" s="10" t="s">
        <v>323</v>
      </c>
      <c r="C308" s="9">
        <v>52185</v>
      </c>
    </row>
    <row r="309" spans="2:3" x14ac:dyDescent="0.25">
      <c r="B309" s="10" t="s">
        <v>322</v>
      </c>
      <c r="C309" s="9">
        <v>49667</v>
      </c>
    </row>
    <row r="310" spans="2:3" x14ac:dyDescent="0.25">
      <c r="B310" s="10" t="s">
        <v>321</v>
      </c>
      <c r="C310" s="9">
        <v>54083</v>
      </c>
    </row>
    <row r="311" spans="2:3" x14ac:dyDescent="0.25">
      <c r="B311" s="10" t="s">
        <v>320</v>
      </c>
      <c r="C311" s="9">
        <v>57128</v>
      </c>
    </row>
    <row r="312" spans="2:3" x14ac:dyDescent="0.25">
      <c r="B312" s="10" t="s">
        <v>319</v>
      </c>
      <c r="C312" s="9">
        <v>57541</v>
      </c>
    </row>
    <row r="313" spans="2:3" x14ac:dyDescent="0.25">
      <c r="B313" s="10" t="s">
        <v>318</v>
      </c>
      <c r="C313" s="9">
        <v>64133</v>
      </c>
    </row>
    <row r="314" spans="2:3" x14ac:dyDescent="0.25">
      <c r="B314" s="10" t="s">
        <v>317</v>
      </c>
      <c r="C314" s="9">
        <v>58043</v>
      </c>
    </row>
    <row r="315" spans="2:3" x14ac:dyDescent="0.25">
      <c r="B315" s="10" t="s">
        <v>316</v>
      </c>
      <c r="C315" s="9">
        <v>63783</v>
      </c>
    </row>
    <row r="316" spans="2:3" x14ac:dyDescent="0.25">
      <c r="B316" s="10" t="s">
        <v>315</v>
      </c>
      <c r="C316" s="9">
        <v>70255</v>
      </c>
    </row>
    <row r="317" spans="2:3" x14ac:dyDescent="0.25">
      <c r="B317" s="10" t="s">
        <v>314</v>
      </c>
      <c r="C317" s="9">
        <v>61274</v>
      </c>
    </row>
    <row r="318" spans="2:3" x14ac:dyDescent="0.25">
      <c r="B318" s="10" t="s">
        <v>313</v>
      </c>
      <c r="C318" s="9">
        <v>72719</v>
      </c>
    </row>
    <row r="319" spans="2:3" x14ac:dyDescent="0.25">
      <c r="B319" s="10" t="s">
        <v>312</v>
      </c>
      <c r="C319" s="9">
        <v>62410</v>
      </c>
    </row>
    <row r="320" spans="2:3" x14ac:dyDescent="0.25">
      <c r="B320" s="10" t="s">
        <v>311</v>
      </c>
      <c r="C320" s="9">
        <v>62350</v>
      </c>
    </row>
    <row r="321" spans="2:3" x14ac:dyDescent="0.25">
      <c r="B321" s="10" t="s">
        <v>310</v>
      </c>
      <c r="C321" s="9">
        <v>65520</v>
      </c>
    </row>
    <row r="322" spans="2:3" x14ac:dyDescent="0.25">
      <c r="B322" s="10" t="s">
        <v>309</v>
      </c>
      <c r="C322" s="9">
        <v>62813</v>
      </c>
    </row>
    <row r="323" spans="2:3" x14ac:dyDescent="0.25">
      <c r="B323" s="10" t="s">
        <v>308</v>
      </c>
      <c r="C323" s="9">
        <v>65240</v>
      </c>
    </row>
    <row r="324" spans="2:3" x14ac:dyDescent="0.25">
      <c r="B324" s="10" t="s">
        <v>307</v>
      </c>
      <c r="C324" s="9">
        <v>60268</v>
      </c>
    </row>
    <row r="325" spans="2:3" x14ac:dyDescent="0.25">
      <c r="B325" s="10" t="s">
        <v>306</v>
      </c>
      <c r="C325" s="9">
        <v>68745</v>
      </c>
    </row>
    <row r="326" spans="2:3" x14ac:dyDescent="0.25">
      <c r="B326" s="10" t="s">
        <v>305</v>
      </c>
      <c r="C326" s="9">
        <v>67685</v>
      </c>
    </row>
    <row r="327" spans="2:3" x14ac:dyDescent="0.25">
      <c r="B327" s="10" t="s">
        <v>304</v>
      </c>
      <c r="C327" s="9">
        <v>63664</v>
      </c>
    </row>
    <row r="328" spans="2:3" x14ac:dyDescent="0.25">
      <c r="B328" s="10" t="s">
        <v>303</v>
      </c>
      <c r="C328" s="9">
        <v>67604</v>
      </c>
    </row>
    <row r="329" spans="2:3" x14ac:dyDescent="0.25">
      <c r="B329" s="10" t="s">
        <v>302</v>
      </c>
      <c r="C329" s="9">
        <v>59469</v>
      </c>
    </row>
    <row r="330" spans="2:3" x14ac:dyDescent="0.25">
      <c r="B330" s="10" t="s">
        <v>301</v>
      </c>
      <c r="C330" s="9">
        <v>69119</v>
      </c>
    </row>
    <row r="331" spans="2:3" x14ac:dyDescent="0.25">
      <c r="B331" s="10" t="s">
        <v>300</v>
      </c>
      <c r="C331" s="9">
        <v>63304</v>
      </c>
    </row>
    <row r="332" spans="2:3" x14ac:dyDescent="0.25">
      <c r="B332" s="10" t="s">
        <v>299</v>
      </c>
      <c r="C332" s="9">
        <v>63610</v>
      </c>
    </row>
    <row r="333" spans="2:3" x14ac:dyDescent="0.25">
      <c r="B333" s="10" t="s">
        <v>298</v>
      </c>
      <c r="C333" s="9">
        <v>63367</v>
      </c>
    </row>
    <row r="334" spans="2:3" x14ac:dyDescent="0.25">
      <c r="B334" s="10" t="s">
        <v>297</v>
      </c>
      <c r="C334" s="9">
        <v>59884</v>
      </c>
    </row>
    <row r="335" spans="2:3" x14ac:dyDescent="0.25">
      <c r="B335" s="10" t="s">
        <v>296</v>
      </c>
      <c r="C335" s="9">
        <v>63448</v>
      </c>
    </row>
    <row r="336" spans="2:3" x14ac:dyDescent="0.25">
      <c r="B336" s="10" t="s">
        <v>295</v>
      </c>
      <c r="C336" s="9">
        <v>64319</v>
      </c>
    </row>
    <row r="337" spans="2:3" x14ac:dyDescent="0.25">
      <c r="B337" s="10" t="s">
        <v>294</v>
      </c>
      <c r="C337" s="9">
        <v>72463</v>
      </c>
    </row>
    <row r="338" spans="2:3" x14ac:dyDescent="0.25">
      <c r="B338" s="10" t="s">
        <v>293</v>
      </c>
      <c r="C338" s="9">
        <v>72748</v>
      </c>
    </row>
    <row r="339" spans="2:3" x14ac:dyDescent="0.25">
      <c r="B339" s="10" t="s">
        <v>292</v>
      </c>
      <c r="C339" s="9">
        <v>76030</v>
      </c>
    </row>
    <row r="340" spans="2:3" x14ac:dyDescent="0.25">
      <c r="B340" s="10" t="s">
        <v>291</v>
      </c>
      <c r="C340" s="9">
        <v>78569</v>
      </c>
    </row>
    <row r="341" spans="2:3" x14ac:dyDescent="0.25">
      <c r="B341" s="10" t="s">
        <v>290</v>
      </c>
      <c r="C341" s="9">
        <v>79394</v>
      </c>
    </row>
    <row r="342" spans="2:3" x14ac:dyDescent="0.25">
      <c r="B342" s="10" t="s">
        <v>289</v>
      </c>
      <c r="C342" s="9">
        <v>78533</v>
      </c>
    </row>
    <row r="343" spans="2:3" x14ac:dyDescent="0.25">
      <c r="B343" s="10" t="s">
        <v>288</v>
      </c>
      <c r="C343" s="9">
        <v>85041</v>
      </c>
    </row>
    <row r="344" spans="2:3" x14ac:dyDescent="0.25">
      <c r="B344" s="10" t="s">
        <v>287</v>
      </c>
      <c r="C344" s="9">
        <v>82807</v>
      </c>
    </row>
    <row r="345" spans="2:3" x14ac:dyDescent="0.25">
      <c r="B345" s="10" t="s">
        <v>286</v>
      </c>
      <c r="C345" s="9">
        <v>81263</v>
      </c>
    </row>
    <row r="346" spans="2:3" x14ac:dyDescent="0.25">
      <c r="B346" s="10" t="s">
        <v>285</v>
      </c>
      <c r="C346" s="9">
        <v>81115</v>
      </c>
    </row>
    <row r="347" spans="2:3" x14ac:dyDescent="0.25">
      <c r="B347" s="10" t="s">
        <v>284</v>
      </c>
      <c r="C347" s="9">
        <v>78140</v>
      </c>
    </row>
    <row r="348" spans="2:3" x14ac:dyDescent="0.25">
      <c r="B348" s="10" t="s">
        <v>283</v>
      </c>
      <c r="C348" s="9">
        <v>74339</v>
      </c>
    </row>
    <row r="349" spans="2:3" x14ac:dyDescent="0.25">
      <c r="B349" s="10" t="s">
        <v>282</v>
      </c>
      <c r="C349" s="9">
        <v>83774</v>
      </c>
    </row>
    <row r="350" spans="2:3" x14ac:dyDescent="0.25">
      <c r="B350" s="10" t="s">
        <v>281</v>
      </c>
      <c r="C350" s="9">
        <v>77775</v>
      </c>
    </row>
    <row r="351" spans="2:3" x14ac:dyDescent="0.25">
      <c r="B351" s="10" t="s">
        <v>280</v>
      </c>
      <c r="C351" s="9">
        <v>72403</v>
      </c>
    </row>
    <row r="352" spans="2:3" x14ac:dyDescent="0.25">
      <c r="B352" s="10" t="s">
        <v>279</v>
      </c>
      <c r="C352" s="9">
        <v>68333</v>
      </c>
    </row>
    <row r="353" spans="2:3" x14ac:dyDescent="0.25">
      <c r="B353" s="10" t="s">
        <v>278</v>
      </c>
      <c r="C353" s="9">
        <v>65197</v>
      </c>
    </row>
    <row r="354" spans="2:3" x14ac:dyDescent="0.25">
      <c r="B354" s="10" t="s">
        <v>277</v>
      </c>
      <c r="C354" s="9">
        <v>69777</v>
      </c>
    </row>
    <row r="355" spans="2:3" x14ac:dyDescent="0.25">
      <c r="B355" s="10" t="s">
        <v>276</v>
      </c>
      <c r="C355" s="9">
        <v>55656</v>
      </c>
    </row>
    <row r="356" spans="2:3" x14ac:dyDescent="0.25">
      <c r="B356" s="10" t="s">
        <v>275</v>
      </c>
      <c r="C356" s="9">
        <v>53449</v>
      </c>
    </row>
    <row r="357" spans="2:3" x14ac:dyDescent="0.25">
      <c r="B357" s="10" t="s">
        <v>274</v>
      </c>
      <c r="C357" s="9">
        <v>56855</v>
      </c>
    </row>
    <row r="358" spans="2:3" x14ac:dyDescent="0.25">
      <c r="B358" s="10" t="s">
        <v>273</v>
      </c>
      <c r="C358" s="9">
        <v>60843</v>
      </c>
    </row>
    <row r="359" spans="2:3" x14ac:dyDescent="0.25">
      <c r="B359" s="10" t="s">
        <v>272</v>
      </c>
      <c r="C359" s="9">
        <v>54873</v>
      </c>
    </row>
    <row r="360" spans="2:3" x14ac:dyDescent="0.25">
      <c r="B360" s="10" t="s">
        <v>271</v>
      </c>
      <c r="C360" s="9">
        <v>57493</v>
      </c>
    </row>
    <row r="361" spans="2:3" x14ac:dyDescent="0.25">
      <c r="B361" s="10" t="s">
        <v>270</v>
      </c>
      <c r="C361" s="9">
        <v>63117</v>
      </c>
    </row>
    <row r="362" spans="2:3" x14ac:dyDescent="0.25">
      <c r="B362" s="10" t="s">
        <v>269</v>
      </c>
      <c r="C362" s="9">
        <v>63890</v>
      </c>
    </row>
    <row r="363" spans="2:3" x14ac:dyDescent="0.25">
      <c r="B363" s="10" t="s">
        <v>268</v>
      </c>
      <c r="C363" s="9">
        <v>61823</v>
      </c>
    </row>
    <row r="364" spans="2:3" x14ac:dyDescent="0.25">
      <c r="B364" s="10" t="s">
        <v>267</v>
      </c>
      <c r="C364" s="9">
        <v>63909</v>
      </c>
    </row>
    <row r="365" spans="2:3" x14ac:dyDescent="0.25">
      <c r="B365" s="10" t="s">
        <v>266</v>
      </c>
      <c r="C365" s="9">
        <v>66175</v>
      </c>
    </row>
    <row r="366" spans="2:3" x14ac:dyDescent="0.25">
      <c r="B366" s="10" t="s">
        <v>265</v>
      </c>
      <c r="C366" s="9">
        <v>71130</v>
      </c>
    </row>
    <row r="367" spans="2:3" x14ac:dyDescent="0.25">
      <c r="B367" s="10" t="s">
        <v>264</v>
      </c>
      <c r="C367" s="9">
        <v>63015</v>
      </c>
    </row>
    <row r="368" spans="2:3" x14ac:dyDescent="0.25">
      <c r="B368" s="10" t="s">
        <v>263</v>
      </c>
      <c r="C368" s="9">
        <v>59043</v>
      </c>
    </row>
    <row r="369" spans="2:3" x14ac:dyDescent="0.25">
      <c r="B369" s="10" t="s">
        <v>262</v>
      </c>
      <c r="C369" s="9">
        <v>66522</v>
      </c>
    </row>
    <row r="370" spans="2:3" x14ac:dyDescent="0.25">
      <c r="B370" s="10" t="s">
        <v>261</v>
      </c>
      <c r="C370" s="9">
        <v>60853</v>
      </c>
    </row>
    <row r="371" spans="2:3" x14ac:dyDescent="0.25">
      <c r="B371" s="10" t="s">
        <v>260</v>
      </c>
      <c r="C371" s="9">
        <v>56488</v>
      </c>
    </row>
    <row r="372" spans="2:3" x14ac:dyDescent="0.25">
      <c r="B372" s="10" t="s">
        <v>259</v>
      </c>
      <c r="C372" s="9">
        <v>63770</v>
      </c>
    </row>
    <row r="373" spans="2:3" x14ac:dyDescent="0.25">
      <c r="B373" s="10" t="s">
        <v>258</v>
      </c>
      <c r="C373" s="9">
        <v>66955</v>
      </c>
    </row>
    <row r="374" spans="2:3" x14ac:dyDescent="0.25">
      <c r="B374" s="10" t="s">
        <v>257</v>
      </c>
      <c r="C374" s="9">
        <v>73166</v>
      </c>
    </row>
    <row r="375" spans="2:3" x14ac:dyDescent="0.25">
      <c r="B375" s="10" t="s">
        <v>256</v>
      </c>
      <c r="C375" s="9">
        <v>77093</v>
      </c>
    </row>
    <row r="376" spans="2:3" x14ac:dyDescent="0.25">
      <c r="B376" s="10" t="s">
        <v>255</v>
      </c>
      <c r="C376" s="9">
        <v>76393</v>
      </c>
    </row>
    <row r="377" spans="2:3" x14ac:dyDescent="0.25">
      <c r="B377" s="10" t="s">
        <v>254</v>
      </c>
      <c r="C377" s="9">
        <v>71457</v>
      </c>
    </row>
    <row r="378" spans="2:3" x14ac:dyDescent="0.25">
      <c r="B378" s="10" t="s">
        <v>253</v>
      </c>
      <c r="C378" s="9">
        <v>82203</v>
      </c>
    </row>
    <row r="379" spans="2:3" x14ac:dyDescent="0.25">
      <c r="B379" s="10" t="s">
        <v>252</v>
      </c>
      <c r="C379" s="9">
        <v>78141</v>
      </c>
    </row>
    <row r="380" spans="2:3" x14ac:dyDescent="0.25">
      <c r="B380" s="10" t="s">
        <v>251</v>
      </c>
      <c r="C380" s="9">
        <v>69312</v>
      </c>
    </row>
    <row r="381" spans="2:3" x14ac:dyDescent="0.25">
      <c r="B381" s="10" t="s">
        <v>250</v>
      </c>
      <c r="C381" s="9">
        <v>67057</v>
      </c>
    </row>
    <row r="382" spans="2:3" x14ac:dyDescent="0.25">
      <c r="B382" s="10" t="s">
        <v>249</v>
      </c>
      <c r="C382" s="9">
        <v>71986</v>
      </c>
    </row>
    <row r="383" spans="2:3" x14ac:dyDescent="0.25">
      <c r="B383" s="10" t="s">
        <v>248</v>
      </c>
      <c r="C383" s="9">
        <v>71827</v>
      </c>
    </row>
    <row r="384" spans="2:3" x14ac:dyDescent="0.25">
      <c r="B384" s="10" t="s">
        <v>247</v>
      </c>
      <c r="C384" s="9">
        <v>74834</v>
      </c>
    </row>
    <row r="385" spans="2:3" x14ac:dyDescent="0.25">
      <c r="B385" s="10" t="s">
        <v>246</v>
      </c>
      <c r="C385" s="9">
        <v>72089</v>
      </c>
    </row>
    <row r="386" spans="2:3" x14ac:dyDescent="0.25">
      <c r="B386" s="10" t="s">
        <v>245</v>
      </c>
      <c r="C386" s="9">
        <v>81756</v>
      </c>
    </row>
    <row r="387" spans="2:3" x14ac:dyDescent="0.25">
      <c r="B387" s="10" t="s">
        <v>244</v>
      </c>
      <c r="C387" s="9">
        <v>81538</v>
      </c>
    </row>
    <row r="388" spans="2:3" x14ac:dyDescent="0.25">
      <c r="B388" s="10" t="s">
        <v>243</v>
      </c>
      <c r="C388" s="9">
        <v>83196</v>
      </c>
    </row>
    <row r="389" spans="2:3" x14ac:dyDescent="0.25">
      <c r="B389" s="10" t="s">
        <v>242</v>
      </c>
      <c r="C389" s="9">
        <v>86488</v>
      </c>
    </row>
    <row r="390" spans="2:3" x14ac:dyDescent="0.25">
      <c r="B390" s="10" t="s">
        <v>241</v>
      </c>
      <c r="C390" s="9">
        <v>90991</v>
      </c>
    </row>
    <row r="391" spans="2:3" x14ac:dyDescent="0.25">
      <c r="B391" s="10" t="s">
        <v>240</v>
      </c>
      <c r="C391" s="9">
        <v>75882</v>
      </c>
    </row>
    <row r="392" spans="2:3" x14ac:dyDescent="0.25">
      <c r="B392" s="10" t="s">
        <v>239</v>
      </c>
      <c r="C392" s="9">
        <v>81901</v>
      </c>
    </row>
    <row r="393" spans="2:3" x14ac:dyDescent="0.25">
      <c r="B393" s="10" t="s">
        <v>238</v>
      </c>
      <c r="C393" s="9">
        <v>71807</v>
      </c>
    </row>
    <row r="394" spans="2:3" x14ac:dyDescent="0.25">
      <c r="B394" s="10" t="s">
        <v>237</v>
      </c>
      <c r="C394" s="9">
        <v>71952</v>
      </c>
    </row>
    <row r="395" spans="2:3" x14ac:dyDescent="0.25">
      <c r="B395" s="10" t="s">
        <v>236</v>
      </c>
      <c r="C395" s="9">
        <v>74038</v>
      </c>
    </row>
    <row r="396" spans="2:3" x14ac:dyDescent="0.25">
      <c r="B396" s="10" t="s">
        <v>235</v>
      </c>
      <c r="C396" s="9">
        <v>65114</v>
      </c>
    </row>
    <row r="397" spans="2:3" x14ac:dyDescent="0.25">
      <c r="B397" s="10" t="s">
        <v>234</v>
      </c>
      <c r="C397" s="9">
        <v>82047</v>
      </c>
    </row>
    <row r="398" spans="2:3" x14ac:dyDescent="0.25">
      <c r="B398" s="10" t="s">
        <v>233</v>
      </c>
      <c r="C398" s="9">
        <v>77207</v>
      </c>
    </row>
    <row r="399" spans="2:3" x14ac:dyDescent="0.25">
      <c r="B399" s="10" t="s">
        <v>232</v>
      </c>
      <c r="C399" s="9">
        <v>74666</v>
      </c>
    </row>
    <row r="400" spans="2:3" x14ac:dyDescent="0.25">
      <c r="B400" s="10" t="s">
        <v>231</v>
      </c>
      <c r="C400" s="9">
        <v>76693</v>
      </c>
    </row>
    <row r="401" spans="2:3" x14ac:dyDescent="0.25">
      <c r="B401" s="10" t="s">
        <v>230</v>
      </c>
      <c r="C401" s="9">
        <v>74643</v>
      </c>
    </row>
    <row r="402" spans="2:3" x14ac:dyDescent="0.25">
      <c r="B402" s="10" t="s">
        <v>229</v>
      </c>
      <c r="C402" s="9">
        <v>77107</v>
      </c>
    </row>
    <row r="403" spans="2:3" x14ac:dyDescent="0.25">
      <c r="B403" s="10" t="s">
        <v>228</v>
      </c>
      <c r="C403" s="9">
        <v>70404</v>
      </c>
    </row>
    <row r="404" spans="2:3" x14ac:dyDescent="0.25">
      <c r="B404" s="10" t="s">
        <v>227</v>
      </c>
      <c r="C404" s="9">
        <v>73201</v>
      </c>
    </row>
    <row r="405" spans="2:3" x14ac:dyDescent="0.25">
      <c r="B405" s="10" t="s">
        <v>226</v>
      </c>
      <c r="C405" s="9">
        <v>74301</v>
      </c>
    </row>
    <row r="406" spans="2:3" x14ac:dyDescent="0.25">
      <c r="B406" s="10" t="s">
        <v>225</v>
      </c>
      <c r="C406" s="9">
        <v>79687</v>
      </c>
    </row>
    <row r="407" spans="2:3" x14ac:dyDescent="0.25">
      <c r="B407" s="10" t="s">
        <v>224</v>
      </c>
      <c r="C407" s="9">
        <v>73242</v>
      </c>
    </row>
    <row r="408" spans="2:3" x14ac:dyDescent="0.25">
      <c r="B408" s="10" t="s">
        <v>223</v>
      </c>
      <c r="C408" s="9">
        <v>67502</v>
      </c>
    </row>
    <row r="409" spans="2:3" x14ac:dyDescent="0.25">
      <c r="B409" s="10" t="s">
        <v>222</v>
      </c>
      <c r="C409" s="9">
        <v>80411</v>
      </c>
    </row>
    <row r="410" spans="2:3" x14ac:dyDescent="0.25">
      <c r="B410" s="10" t="s">
        <v>221</v>
      </c>
      <c r="C410" s="9">
        <v>87227</v>
      </c>
    </row>
    <row r="411" spans="2:3" x14ac:dyDescent="0.25">
      <c r="B411" s="10" t="s">
        <v>220</v>
      </c>
      <c r="C411" s="9">
        <v>82114</v>
      </c>
    </row>
    <row r="412" spans="2:3" x14ac:dyDescent="0.25">
      <c r="B412" s="10" t="s">
        <v>219</v>
      </c>
      <c r="C412" s="9">
        <v>91187</v>
      </c>
    </row>
    <row r="413" spans="2:3" x14ac:dyDescent="0.25">
      <c r="B413" s="10" t="s">
        <v>218</v>
      </c>
      <c r="C413" s="9">
        <v>78110</v>
      </c>
    </row>
    <row r="414" spans="2:3" x14ac:dyDescent="0.25">
      <c r="B414" s="10" t="s">
        <v>217</v>
      </c>
      <c r="C414" s="9">
        <v>82088</v>
      </c>
    </row>
    <row r="415" spans="2:3" x14ac:dyDescent="0.25">
      <c r="B415" s="10" t="s">
        <v>216</v>
      </c>
      <c r="C415" s="9">
        <v>75421</v>
      </c>
    </row>
    <row r="416" spans="2:3" x14ac:dyDescent="0.25">
      <c r="B416" s="10" t="s">
        <v>215</v>
      </c>
      <c r="C416" s="9">
        <v>71842</v>
      </c>
    </row>
    <row r="417" spans="2:3" x14ac:dyDescent="0.25">
      <c r="B417" s="10" t="s">
        <v>214</v>
      </c>
      <c r="C417" s="9">
        <v>65991</v>
      </c>
    </row>
    <row r="418" spans="2:3" x14ac:dyDescent="0.25">
      <c r="B418" s="10" t="s">
        <v>213</v>
      </c>
      <c r="C418" s="9">
        <v>69932</v>
      </c>
    </row>
    <row r="419" spans="2:3" x14ac:dyDescent="0.25">
      <c r="B419" s="10" t="s">
        <v>212</v>
      </c>
      <c r="C419" s="9">
        <v>67751</v>
      </c>
    </row>
    <row r="420" spans="2:3" x14ac:dyDescent="0.25">
      <c r="B420" s="10" t="s">
        <v>211</v>
      </c>
      <c r="C420" s="9">
        <v>71657</v>
      </c>
    </row>
    <row r="421" spans="2:3" x14ac:dyDescent="0.25">
      <c r="B421" s="10" t="s">
        <v>210</v>
      </c>
      <c r="C421" s="9">
        <v>85631</v>
      </c>
    </row>
    <row r="422" spans="2:3" x14ac:dyDescent="0.25">
      <c r="B422" s="10" t="s">
        <v>209</v>
      </c>
      <c r="C422" s="9">
        <v>73269</v>
      </c>
    </row>
    <row r="423" spans="2:3" x14ac:dyDescent="0.25">
      <c r="B423" s="10" t="s">
        <v>208</v>
      </c>
      <c r="C423" s="9">
        <v>76157</v>
      </c>
    </row>
    <row r="424" spans="2:3" x14ac:dyDescent="0.25">
      <c r="B424" s="10" t="s">
        <v>207</v>
      </c>
      <c r="C424" s="9">
        <v>70017</v>
      </c>
    </row>
    <row r="425" spans="2:3" x14ac:dyDescent="0.25">
      <c r="B425" s="10" t="s">
        <v>206</v>
      </c>
      <c r="C425" s="9">
        <v>68878</v>
      </c>
    </row>
    <row r="426" spans="2:3" x14ac:dyDescent="0.25">
      <c r="B426" s="10" t="s">
        <v>205</v>
      </c>
      <c r="C426" s="9">
        <v>79138</v>
      </c>
    </row>
    <row r="427" spans="2:3" x14ac:dyDescent="0.25">
      <c r="B427" s="10" t="s">
        <v>204</v>
      </c>
      <c r="C427" s="9">
        <v>65801</v>
      </c>
    </row>
    <row r="428" spans="2:3" x14ac:dyDescent="0.25">
      <c r="B428" s="10" t="s">
        <v>203</v>
      </c>
      <c r="C428" s="9">
        <v>67375</v>
      </c>
    </row>
    <row r="429" spans="2:3" x14ac:dyDescent="0.25">
      <c r="B429" s="10" t="s">
        <v>202</v>
      </c>
      <c r="C429" s="9">
        <v>70453</v>
      </c>
    </row>
    <row r="430" spans="2:3" x14ac:dyDescent="0.25">
      <c r="B430" s="10" t="s">
        <v>201</v>
      </c>
      <c r="C430" s="9">
        <v>69719</v>
      </c>
    </row>
    <row r="431" spans="2:3" x14ac:dyDescent="0.25">
      <c r="B431" s="10" t="s">
        <v>200</v>
      </c>
      <c r="C431" s="9">
        <v>67656</v>
      </c>
    </row>
    <row r="432" spans="2:3" x14ac:dyDescent="0.25">
      <c r="B432" s="10" t="s">
        <v>199</v>
      </c>
      <c r="C432" s="9">
        <v>68336</v>
      </c>
    </row>
    <row r="433" spans="2:3" x14ac:dyDescent="0.25">
      <c r="B433" s="10" t="s">
        <v>198</v>
      </c>
      <c r="C433" s="9">
        <v>73823</v>
      </c>
    </row>
    <row r="434" spans="2:3" x14ac:dyDescent="0.25">
      <c r="B434" s="10" t="s">
        <v>197</v>
      </c>
      <c r="C434" s="9">
        <v>67229</v>
      </c>
    </row>
    <row r="435" spans="2:3" x14ac:dyDescent="0.25">
      <c r="B435" s="10" t="s">
        <v>196</v>
      </c>
      <c r="C435" s="9">
        <v>66841</v>
      </c>
    </row>
    <row r="436" spans="2:3" x14ac:dyDescent="0.25">
      <c r="B436" s="10" t="s">
        <v>195</v>
      </c>
      <c r="C436" s="9">
        <v>60686</v>
      </c>
    </row>
    <row r="437" spans="2:3" x14ac:dyDescent="0.25">
      <c r="B437" s="10" t="s">
        <v>194</v>
      </c>
      <c r="C437" s="9">
        <v>60392</v>
      </c>
    </row>
    <row r="438" spans="2:3" x14ac:dyDescent="0.25">
      <c r="B438" s="10" t="s">
        <v>193</v>
      </c>
      <c r="C438" s="9">
        <v>61908</v>
      </c>
    </row>
    <row r="439" spans="2:3" x14ac:dyDescent="0.25">
      <c r="B439" s="10" t="s">
        <v>192</v>
      </c>
      <c r="C439" s="9">
        <v>61521</v>
      </c>
    </row>
    <row r="440" spans="2:3" x14ac:dyDescent="0.25">
      <c r="B440" s="10" t="s">
        <v>191</v>
      </c>
      <c r="C440" s="9">
        <v>58402</v>
      </c>
    </row>
    <row r="441" spans="2:3" x14ac:dyDescent="0.25">
      <c r="B441" s="10" t="s">
        <v>190</v>
      </c>
      <c r="C441" s="9">
        <v>60356</v>
      </c>
    </row>
    <row r="442" spans="2:3" x14ac:dyDescent="0.25">
      <c r="B442" s="10" t="s">
        <v>189</v>
      </c>
      <c r="C442" s="9">
        <v>59394</v>
      </c>
    </row>
    <row r="443" spans="2:3" x14ac:dyDescent="0.25">
      <c r="B443" s="10" t="s">
        <v>188</v>
      </c>
      <c r="C443" s="9">
        <v>59569</v>
      </c>
    </row>
    <row r="444" spans="2:3" x14ac:dyDescent="0.25">
      <c r="B444" s="10" t="s">
        <v>187</v>
      </c>
      <c r="C444" s="9">
        <v>57479</v>
      </c>
    </row>
    <row r="445" spans="2:3" x14ac:dyDescent="0.25">
      <c r="B445" s="10" t="s">
        <v>186</v>
      </c>
      <c r="C445" s="9">
        <v>68955</v>
      </c>
    </row>
    <row r="446" spans="2:3" x14ac:dyDescent="0.25">
      <c r="B446" s="10" t="s">
        <v>185</v>
      </c>
      <c r="C446" s="9">
        <v>70550</v>
      </c>
    </row>
    <row r="447" spans="2:3" x14ac:dyDescent="0.25">
      <c r="B447" s="10" t="s">
        <v>184</v>
      </c>
      <c r="C447" s="9">
        <v>72371</v>
      </c>
    </row>
    <row r="448" spans="2:3" x14ac:dyDescent="0.25">
      <c r="B448" s="10" t="s">
        <v>183</v>
      </c>
      <c r="C448" s="9">
        <v>77510</v>
      </c>
    </row>
    <row r="449" spans="2:3" x14ac:dyDescent="0.25">
      <c r="B449" s="10" t="s">
        <v>182</v>
      </c>
      <c r="C449" s="9">
        <v>70981</v>
      </c>
    </row>
    <row r="450" spans="2:3" x14ac:dyDescent="0.25">
      <c r="B450" s="10" t="s">
        <v>181</v>
      </c>
      <c r="C450" s="9">
        <v>78230</v>
      </c>
    </row>
    <row r="451" spans="2:3" x14ac:dyDescent="0.25">
      <c r="B451" s="10" t="s">
        <v>180</v>
      </c>
      <c r="C451" s="9">
        <v>68595</v>
      </c>
    </row>
    <row r="452" spans="2:3" x14ac:dyDescent="0.25">
      <c r="B452" s="10" t="s">
        <v>179</v>
      </c>
      <c r="C452" s="9">
        <v>68881</v>
      </c>
    </row>
    <row r="453" spans="2:3" x14ac:dyDescent="0.25">
      <c r="B453" s="10" t="s">
        <v>178</v>
      </c>
      <c r="C453" s="9">
        <v>68955</v>
      </c>
    </row>
    <row r="454" spans="2:3" x14ac:dyDescent="0.25">
      <c r="B454" s="10" t="s">
        <v>177</v>
      </c>
      <c r="C454" s="9">
        <v>62930</v>
      </c>
    </row>
    <row r="455" spans="2:3" x14ac:dyDescent="0.25">
      <c r="B455" s="10" t="s">
        <v>176</v>
      </c>
      <c r="C455" s="9">
        <v>68710</v>
      </c>
    </row>
    <row r="456" spans="2:3" x14ac:dyDescent="0.25">
      <c r="B456" s="10" t="s">
        <v>175</v>
      </c>
      <c r="C456" s="9">
        <v>66519</v>
      </c>
    </row>
    <row r="457" spans="2:3" x14ac:dyDescent="0.25">
      <c r="B457" s="10" t="s">
        <v>174</v>
      </c>
      <c r="C457" s="9">
        <v>75292</v>
      </c>
    </row>
    <row r="458" spans="2:3" x14ac:dyDescent="0.25">
      <c r="B458" s="10" t="s">
        <v>173</v>
      </c>
      <c r="C458" s="9">
        <v>78886</v>
      </c>
    </row>
    <row r="459" spans="2:3" x14ac:dyDescent="0.25">
      <c r="B459" s="10" t="s">
        <v>172</v>
      </c>
      <c r="C459" s="9">
        <v>78134</v>
      </c>
    </row>
    <row r="460" spans="2:3" x14ac:dyDescent="0.25">
      <c r="B460" s="10" t="s">
        <v>171</v>
      </c>
      <c r="C460" s="9">
        <v>85602</v>
      </c>
    </row>
    <row r="461" spans="2:3" x14ac:dyDescent="0.25">
      <c r="B461" s="10" t="s">
        <v>170</v>
      </c>
      <c r="C461" s="9">
        <v>75891</v>
      </c>
    </row>
    <row r="462" spans="2:3" x14ac:dyDescent="0.25">
      <c r="B462" s="10" t="s">
        <v>169</v>
      </c>
      <c r="C462" s="9">
        <v>82132</v>
      </c>
    </row>
    <row r="463" spans="2:3" x14ac:dyDescent="0.25">
      <c r="B463" s="10" t="s">
        <v>168</v>
      </c>
      <c r="C463" s="9">
        <v>80395</v>
      </c>
    </row>
    <row r="464" spans="2:3" x14ac:dyDescent="0.25">
      <c r="B464" s="10" t="s">
        <v>167</v>
      </c>
      <c r="C464" s="9">
        <v>80627</v>
      </c>
    </row>
    <row r="465" spans="2:3" x14ac:dyDescent="0.25">
      <c r="B465" s="10" t="s">
        <v>166</v>
      </c>
      <c r="C465" s="9">
        <v>79849</v>
      </c>
    </row>
    <row r="466" spans="2:3" x14ac:dyDescent="0.25">
      <c r="B466" s="10" t="s">
        <v>165</v>
      </c>
      <c r="C466" s="9">
        <v>82053</v>
      </c>
    </row>
    <row r="467" spans="2:3" x14ac:dyDescent="0.25">
      <c r="B467" s="10" t="s">
        <v>164</v>
      </c>
      <c r="C467" s="9">
        <v>87097</v>
      </c>
    </row>
    <row r="468" spans="2:3" x14ac:dyDescent="0.25">
      <c r="B468" s="10" t="s">
        <v>163</v>
      </c>
      <c r="C468" s="9">
        <v>81689</v>
      </c>
    </row>
    <row r="469" spans="2:3" x14ac:dyDescent="0.25">
      <c r="B469" s="10" t="s">
        <v>162</v>
      </c>
      <c r="C469" s="9">
        <v>98281</v>
      </c>
    </row>
    <row r="470" spans="2:3" x14ac:dyDescent="0.25">
      <c r="B470" s="10" t="s">
        <v>161</v>
      </c>
      <c r="C470" s="9">
        <v>86960</v>
      </c>
    </row>
    <row r="471" spans="2:3" x14ac:dyDescent="0.25">
      <c r="B471" s="10" t="s">
        <v>160</v>
      </c>
      <c r="C471" s="9">
        <v>79696</v>
      </c>
    </row>
    <row r="472" spans="2:3" x14ac:dyDescent="0.25">
      <c r="B472" s="10" t="s">
        <v>159</v>
      </c>
      <c r="C472" s="9">
        <v>86774</v>
      </c>
    </row>
    <row r="473" spans="2:3" x14ac:dyDescent="0.25">
      <c r="B473" s="10" t="s">
        <v>158</v>
      </c>
      <c r="C473" s="9">
        <v>76606</v>
      </c>
    </row>
    <row r="474" spans="2:3" x14ac:dyDescent="0.25">
      <c r="B474" s="10" t="s">
        <v>157</v>
      </c>
      <c r="C474" s="9">
        <v>85077</v>
      </c>
    </row>
    <row r="475" spans="2:3" x14ac:dyDescent="0.25">
      <c r="B475" s="10" t="s">
        <v>156</v>
      </c>
      <c r="C475" s="9">
        <v>77719</v>
      </c>
    </row>
    <row r="476" spans="2:3" x14ac:dyDescent="0.25">
      <c r="B476" s="10" t="s">
        <v>155</v>
      </c>
      <c r="C476" s="9">
        <v>76345</v>
      </c>
    </row>
    <row r="477" spans="2:3" x14ac:dyDescent="0.25">
      <c r="B477" s="10" t="s">
        <v>154</v>
      </c>
      <c r="C477" s="9">
        <v>66113</v>
      </c>
    </row>
    <row r="478" spans="2:3" x14ac:dyDescent="0.25">
      <c r="B478" s="10" t="s">
        <v>153</v>
      </c>
      <c r="C478" s="9">
        <v>67059</v>
      </c>
    </row>
    <row r="479" spans="2:3" x14ac:dyDescent="0.25">
      <c r="B479" s="10" t="s">
        <v>152</v>
      </c>
      <c r="C479" s="9">
        <v>65693</v>
      </c>
    </row>
    <row r="480" spans="2:3" x14ac:dyDescent="0.25">
      <c r="B480" s="10" t="s">
        <v>151</v>
      </c>
      <c r="C480" s="9">
        <v>66204</v>
      </c>
    </row>
    <row r="481" spans="2:3" x14ac:dyDescent="0.25">
      <c r="B481" s="10" t="s">
        <v>150</v>
      </c>
      <c r="C481" s="9">
        <v>76900</v>
      </c>
    </row>
    <row r="482" spans="2:3" x14ac:dyDescent="0.25">
      <c r="B482" s="10" t="s">
        <v>149</v>
      </c>
      <c r="C482" s="9">
        <v>86115</v>
      </c>
    </row>
    <row r="483" spans="2:3" x14ac:dyDescent="0.25">
      <c r="B483" s="10" t="s">
        <v>148</v>
      </c>
      <c r="C483" s="9">
        <v>84891</v>
      </c>
    </row>
    <row r="484" spans="2:3" x14ac:dyDescent="0.25">
      <c r="B484" s="10" t="s">
        <v>147</v>
      </c>
      <c r="C484" s="9">
        <v>78453</v>
      </c>
    </row>
    <row r="485" spans="2:3" x14ac:dyDescent="0.25">
      <c r="B485" s="10" t="s">
        <v>146</v>
      </c>
      <c r="C485" s="9">
        <v>74067</v>
      </c>
    </row>
    <row r="486" spans="2:3" x14ac:dyDescent="0.25">
      <c r="B486" s="10" t="s">
        <v>145</v>
      </c>
      <c r="C486" s="9">
        <v>66463</v>
      </c>
    </row>
    <row r="487" spans="2:3" x14ac:dyDescent="0.25">
      <c r="B487" s="10" t="s">
        <v>144</v>
      </c>
      <c r="C487" s="9">
        <v>52480</v>
      </c>
    </row>
    <row r="488" spans="2:3" x14ac:dyDescent="0.25">
      <c r="B488" s="10" t="s">
        <v>143</v>
      </c>
      <c r="C488" s="9">
        <v>51278</v>
      </c>
    </row>
    <row r="489" spans="2:3" x14ac:dyDescent="0.25">
      <c r="B489" s="10" t="s">
        <v>142</v>
      </c>
      <c r="C489" s="9">
        <v>56920</v>
      </c>
    </row>
    <row r="490" spans="2:3" x14ac:dyDescent="0.25">
      <c r="B490" s="10" t="s">
        <v>141</v>
      </c>
      <c r="C490" s="9">
        <v>58975</v>
      </c>
    </row>
    <row r="491" spans="2:3" x14ac:dyDescent="0.25">
      <c r="B491" s="10" t="s">
        <v>140</v>
      </c>
      <c r="C491" s="9">
        <v>58503</v>
      </c>
    </row>
    <row r="492" spans="2:3" x14ac:dyDescent="0.25">
      <c r="B492" s="10" t="s">
        <v>139</v>
      </c>
      <c r="C492" s="9">
        <v>61831</v>
      </c>
    </row>
    <row r="493" spans="2:3" x14ac:dyDescent="0.25">
      <c r="B493" s="10" t="s">
        <v>138</v>
      </c>
      <c r="C493" s="9">
        <v>71986</v>
      </c>
    </row>
    <row r="494" spans="2:3" x14ac:dyDescent="0.25">
      <c r="B494" s="10" t="s">
        <v>137</v>
      </c>
      <c r="C494" s="9">
        <v>70126</v>
      </c>
    </row>
    <row r="495" spans="2:3" x14ac:dyDescent="0.25">
      <c r="B495" s="10" t="s">
        <v>136</v>
      </c>
      <c r="C495" s="9">
        <v>78372</v>
      </c>
    </row>
    <row r="496" spans="2:3" x14ac:dyDescent="0.25">
      <c r="B496" s="10" t="s">
        <v>135</v>
      </c>
      <c r="C496" s="9">
        <v>84092</v>
      </c>
    </row>
    <row r="497" spans="2:3" x14ac:dyDescent="0.25">
      <c r="B497" s="10" t="s">
        <v>134</v>
      </c>
      <c r="C497" s="9">
        <v>79762</v>
      </c>
    </row>
    <row r="498" spans="2:3" x14ac:dyDescent="0.25">
      <c r="B498" s="10" t="s">
        <v>133</v>
      </c>
      <c r="C498" s="9">
        <v>94603</v>
      </c>
    </row>
    <row r="499" spans="2:3" x14ac:dyDescent="0.25">
      <c r="B499" s="10" t="s">
        <v>132</v>
      </c>
      <c r="C499" s="9">
        <v>85400</v>
      </c>
    </row>
    <row r="500" spans="2:3" x14ac:dyDescent="0.25">
      <c r="B500" s="10" t="s">
        <v>131</v>
      </c>
      <c r="C500" s="9">
        <v>90824</v>
      </c>
    </row>
    <row r="501" spans="2:3" x14ac:dyDescent="0.25">
      <c r="B501" s="10" t="s">
        <v>130</v>
      </c>
      <c r="C501" s="9">
        <v>100083</v>
      </c>
    </row>
    <row r="502" spans="2:3" x14ac:dyDescent="0.25">
      <c r="B502" s="10" t="s">
        <v>129</v>
      </c>
      <c r="C502" s="9">
        <v>113955</v>
      </c>
    </row>
    <row r="503" spans="2:3" x14ac:dyDescent="0.25">
      <c r="B503" s="10" t="s">
        <v>128</v>
      </c>
      <c r="C503" s="9">
        <v>124303</v>
      </c>
    </row>
    <row r="504" spans="2:3" x14ac:dyDescent="0.25">
      <c r="B504" s="10" t="s">
        <v>127</v>
      </c>
      <c r="C504" s="9">
        <v>140098</v>
      </c>
    </row>
    <row r="505" spans="2:3" x14ac:dyDescent="0.25">
      <c r="B505" s="10" t="s">
        <v>126</v>
      </c>
      <c r="C505" s="9">
        <v>178636</v>
      </c>
    </row>
    <row r="506" spans="2:3" x14ac:dyDescent="0.25">
      <c r="B506" s="10" t="s">
        <v>125</v>
      </c>
      <c r="C506" s="9">
        <v>176646</v>
      </c>
    </row>
    <row r="507" spans="2:3" x14ac:dyDescent="0.25">
      <c r="B507" s="10" t="s">
        <v>124</v>
      </c>
      <c r="C507" s="9">
        <v>224657</v>
      </c>
    </row>
    <row r="508" spans="2:3" x14ac:dyDescent="0.25">
      <c r="B508" s="10" t="s">
        <v>123</v>
      </c>
      <c r="C508" s="9">
        <v>177721</v>
      </c>
    </row>
    <row r="509" spans="2:3" x14ac:dyDescent="0.25">
      <c r="B509" s="10" t="s">
        <v>122</v>
      </c>
      <c r="C509" s="9">
        <v>173061</v>
      </c>
    </row>
    <row r="510" spans="2:3" x14ac:dyDescent="0.25">
      <c r="B510" s="10" t="s">
        <v>121</v>
      </c>
      <c r="C510" s="9">
        <v>251761</v>
      </c>
    </row>
    <row r="511" spans="2:3" x14ac:dyDescent="0.25">
      <c r="B511" s="10" t="s">
        <v>120</v>
      </c>
      <c r="C511" s="9">
        <v>188135</v>
      </c>
    </row>
    <row r="512" spans="2:3" x14ac:dyDescent="0.25">
      <c r="B512" s="10" t="s">
        <v>119</v>
      </c>
      <c r="C512" s="9">
        <v>198241</v>
      </c>
    </row>
    <row r="513" spans="2:3" x14ac:dyDescent="0.25">
      <c r="B513" s="10" t="s">
        <v>118</v>
      </c>
      <c r="C513" s="9">
        <v>202339</v>
      </c>
    </row>
    <row r="514" spans="2:3" x14ac:dyDescent="0.25">
      <c r="B514" s="10" t="s">
        <v>117</v>
      </c>
      <c r="C514" s="9">
        <v>261120</v>
      </c>
    </row>
    <row r="515" spans="2:3" x14ac:dyDescent="0.25">
      <c r="B515" s="10" t="s">
        <v>116</v>
      </c>
      <c r="C515" s="9">
        <v>320341</v>
      </c>
    </row>
    <row r="516" spans="2:3" x14ac:dyDescent="0.25">
      <c r="B516" s="10" t="s">
        <v>115</v>
      </c>
      <c r="C516" s="9">
        <v>252529</v>
      </c>
    </row>
    <row r="517" spans="2:3" x14ac:dyDescent="0.25">
      <c r="B517" s="10" t="s">
        <v>114</v>
      </c>
      <c r="C517" s="9">
        <v>191473</v>
      </c>
    </row>
    <row r="518" spans="2:3" x14ac:dyDescent="0.25">
      <c r="B518" s="10" t="s">
        <v>113</v>
      </c>
      <c r="C518" s="9">
        <v>199112</v>
      </c>
    </row>
    <row r="519" spans="2:3" x14ac:dyDescent="0.25">
      <c r="B519" s="10" t="s">
        <v>112</v>
      </c>
      <c r="C519" s="9">
        <v>246794</v>
      </c>
    </row>
    <row r="520" spans="2:3" x14ac:dyDescent="0.25">
      <c r="B520" s="10" t="s">
        <v>111</v>
      </c>
      <c r="C520" s="9">
        <v>183886</v>
      </c>
    </row>
    <row r="521" spans="2:3" x14ac:dyDescent="0.25">
      <c r="B521" s="10" t="s">
        <v>110</v>
      </c>
      <c r="C521" s="9">
        <v>164885</v>
      </c>
    </row>
    <row r="522" spans="2:3" x14ac:dyDescent="0.25">
      <c r="B522" s="10" t="s">
        <v>109</v>
      </c>
      <c r="C522" s="9">
        <v>178621</v>
      </c>
    </row>
    <row r="523" spans="2:3" x14ac:dyDescent="0.25">
      <c r="B523" s="10" t="s">
        <v>108</v>
      </c>
      <c r="C523" s="9">
        <v>159075</v>
      </c>
    </row>
    <row r="524" spans="2:3" x14ac:dyDescent="0.25">
      <c r="B524" s="10" t="s">
        <v>107</v>
      </c>
      <c r="C524" s="9">
        <v>139552</v>
      </c>
    </row>
    <row r="525" spans="2:3" x14ac:dyDescent="0.25">
      <c r="B525" s="10" t="s">
        <v>106</v>
      </c>
      <c r="C525" s="9">
        <v>139554</v>
      </c>
    </row>
    <row r="526" spans="2:3" x14ac:dyDescent="0.25">
      <c r="B526" s="10" t="s">
        <v>105</v>
      </c>
      <c r="C526" s="9">
        <v>140893</v>
      </c>
    </row>
    <row r="527" spans="2:3" x14ac:dyDescent="0.25">
      <c r="B527" s="10" t="s">
        <v>104</v>
      </c>
      <c r="C527" s="9">
        <v>144322</v>
      </c>
    </row>
    <row r="528" spans="2:3" x14ac:dyDescent="0.25">
      <c r="B528" s="10" t="s">
        <v>103</v>
      </c>
      <c r="C528" s="9">
        <v>135722</v>
      </c>
    </row>
    <row r="529" spans="2:3" x14ac:dyDescent="0.25">
      <c r="B529" s="10" t="s">
        <v>102</v>
      </c>
      <c r="C529" s="9">
        <v>173408</v>
      </c>
    </row>
    <row r="530" spans="2:3" x14ac:dyDescent="0.25">
      <c r="B530" s="10" t="s">
        <v>101</v>
      </c>
      <c r="C530" s="9">
        <v>167383</v>
      </c>
    </row>
    <row r="531" spans="2:3" x14ac:dyDescent="0.25">
      <c r="B531" s="10" t="s">
        <v>100</v>
      </c>
      <c r="C531" s="9">
        <v>156087</v>
      </c>
    </row>
    <row r="532" spans="2:3" x14ac:dyDescent="0.25">
      <c r="B532" s="10" t="s">
        <v>99</v>
      </c>
      <c r="C532" s="9">
        <v>148697</v>
      </c>
    </row>
    <row r="533" spans="2:3" x14ac:dyDescent="0.25">
      <c r="B533" s="10" t="s">
        <v>98</v>
      </c>
      <c r="C533" s="9">
        <v>131665</v>
      </c>
    </row>
    <row r="534" spans="2:3" x14ac:dyDescent="0.25">
      <c r="B534" s="10" t="s">
        <v>97</v>
      </c>
      <c r="C534" s="9">
        <v>144257</v>
      </c>
    </row>
    <row r="535" spans="2:3" x14ac:dyDescent="0.25">
      <c r="B535" s="10" t="s">
        <v>96</v>
      </c>
      <c r="C535" s="9">
        <v>157740</v>
      </c>
    </row>
    <row r="536" spans="2:3" x14ac:dyDescent="0.25">
      <c r="B536" s="10" t="s">
        <v>95</v>
      </c>
      <c r="C536" s="9">
        <v>149218</v>
      </c>
    </row>
    <row r="537" spans="2:3" x14ac:dyDescent="0.25">
      <c r="B537" s="10" t="s">
        <v>94</v>
      </c>
      <c r="C537" s="9">
        <v>154071</v>
      </c>
    </row>
    <row r="538" spans="2:3" x14ac:dyDescent="0.25">
      <c r="B538" s="10" t="s">
        <v>93</v>
      </c>
      <c r="C538" s="9">
        <v>146680</v>
      </c>
    </row>
    <row r="539" spans="2:3" x14ac:dyDescent="0.25">
      <c r="B539" s="10" t="s">
        <v>92</v>
      </c>
      <c r="C539" s="9">
        <v>151217</v>
      </c>
    </row>
    <row r="540" spans="2:3" x14ac:dyDescent="0.25">
      <c r="B540" s="10" t="s">
        <v>91</v>
      </c>
      <c r="C540" s="9">
        <v>131033</v>
      </c>
    </row>
    <row r="541" spans="2:3" x14ac:dyDescent="0.25">
      <c r="B541" s="10" t="s">
        <v>90</v>
      </c>
      <c r="C541" s="9">
        <v>160711</v>
      </c>
    </row>
    <row r="542" spans="2:3" x14ac:dyDescent="0.25">
      <c r="B542" s="10" t="s">
        <v>89</v>
      </c>
      <c r="C542" s="9">
        <v>164102</v>
      </c>
    </row>
    <row r="543" spans="2:3" x14ac:dyDescent="0.25">
      <c r="B543" s="10" t="s">
        <v>88</v>
      </c>
      <c r="C543" s="9">
        <v>168779</v>
      </c>
    </row>
    <row r="544" spans="2:3" x14ac:dyDescent="0.25">
      <c r="B544" s="10" t="s">
        <v>87</v>
      </c>
      <c r="C544" s="9">
        <v>176834</v>
      </c>
    </row>
    <row r="545" spans="1:3" x14ac:dyDescent="0.25">
      <c r="B545" s="10" t="s">
        <v>86</v>
      </c>
      <c r="C545" s="9">
        <v>168193</v>
      </c>
    </row>
    <row r="546" spans="1:3" x14ac:dyDescent="0.25">
      <c r="B546" s="10" t="s">
        <v>85</v>
      </c>
      <c r="C546" s="9">
        <v>155655</v>
      </c>
    </row>
    <row r="547" spans="1:3" x14ac:dyDescent="0.25">
      <c r="B547" s="10" t="s">
        <v>84</v>
      </c>
      <c r="C547" s="9">
        <v>145888</v>
      </c>
    </row>
    <row r="548" spans="1:3" x14ac:dyDescent="0.25">
      <c r="B548" s="10" t="s">
        <v>83</v>
      </c>
      <c r="C548" s="9">
        <v>136942</v>
      </c>
    </row>
    <row r="549" spans="1:3" x14ac:dyDescent="0.25">
      <c r="B549" s="10" t="s">
        <v>82</v>
      </c>
      <c r="C549" s="9">
        <v>140481</v>
      </c>
    </row>
    <row r="550" spans="1:3" x14ac:dyDescent="0.25">
      <c r="B550" s="10" t="s">
        <v>81</v>
      </c>
      <c r="C550" s="9">
        <v>142998</v>
      </c>
    </row>
    <row r="551" spans="1:3" x14ac:dyDescent="0.25">
      <c r="B551" s="10" t="s">
        <v>80</v>
      </c>
      <c r="C551" s="9">
        <v>143213</v>
      </c>
    </row>
    <row r="552" spans="1:3" x14ac:dyDescent="0.25">
      <c r="B552" s="10" t="s">
        <v>79</v>
      </c>
      <c r="C552" s="9">
        <v>131746</v>
      </c>
    </row>
    <row r="553" spans="1:3" x14ac:dyDescent="0.25">
      <c r="B553" s="10" t="s">
        <v>78</v>
      </c>
      <c r="C553" s="9">
        <v>154466</v>
      </c>
    </row>
    <row r="555" spans="1:3" x14ac:dyDescent="0.25">
      <c r="A555" s="8" t="s">
        <v>77</v>
      </c>
    </row>
    <row r="556" spans="1:3" x14ac:dyDescent="0.25">
      <c r="A556" s="8" t="s">
        <v>76</v>
      </c>
    </row>
    <row r="558" spans="1:3" x14ac:dyDescent="0.25">
      <c r="A558" s="8" t="s">
        <v>75</v>
      </c>
    </row>
    <row r="559" spans="1:3" x14ac:dyDescent="0.25">
      <c r="A559" s="8" t="s">
        <v>61</v>
      </c>
    </row>
    <row r="560" spans="1:3" x14ac:dyDescent="0.25">
      <c r="A560" s="8" t="s">
        <v>74</v>
      </c>
    </row>
    <row r="562" spans="1:1" x14ac:dyDescent="0.25">
      <c r="A562" s="8" t="s">
        <v>73</v>
      </c>
    </row>
    <row r="563" spans="1:1" x14ac:dyDescent="0.25">
      <c r="A563" s="8" t="s">
        <v>72</v>
      </c>
    </row>
    <row r="565" spans="1:1" x14ac:dyDescent="0.25">
      <c r="A565" s="8" t="s">
        <v>71</v>
      </c>
    </row>
    <row r="566" spans="1:1" x14ac:dyDescent="0.25">
      <c r="A566" s="8" t="s">
        <v>61</v>
      </c>
    </row>
    <row r="567" spans="1:1" x14ac:dyDescent="0.25">
      <c r="A567" s="8" t="s">
        <v>70</v>
      </c>
    </row>
    <row r="568" spans="1:1" x14ac:dyDescent="0.25">
      <c r="A568" s="8" t="s">
        <v>69</v>
      </c>
    </row>
    <row r="569" spans="1:1" x14ac:dyDescent="0.25">
      <c r="A569" s="8" t="s">
        <v>68</v>
      </c>
    </row>
    <row r="571" spans="1:1" x14ac:dyDescent="0.25">
      <c r="A571" s="8" t="s">
        <v>67</v>
      </c>
    </row>
    <row r="572" spans="1:1" x14ac:dyDescent="0.25">
      <c r="A572" s="8" t="s">
        <v>66</v>
      </c>
    </row>
    <row r="573" spans="1:1" x14ac:dyDescent="0.25">
      <c r="A573" s="8" t="s">
        <v>65</v>
      </c>
    </row>
    <row r="578" spans="1:1" x14ac:dyDescent="0.25">
      <c r="A578" s="8" t="s">
        <v>64</v>
      </c>
    </row>
    <row r="579" spans="1:1" x14ac:dyDescent="0.25">
      <c r="A579" s="8" t="s">
        <v>61</v>
      </c>
    </row>
    <row r="580" spans="1:1" x14ac:dyDescent="0.25">
      <c r="A580" s="8" t="s">
        <v>63</v>
      </c>
    </row>
    <row r="581" spans="1:1" x14ac:dyDescent="0.25">
      <c r="A581" s="8" t="s">
        <v>62</v>
      </c>
    </row>
    <row r="582" spans="1:1" x14ac:dyDescent="0.25">
      <c r="A582" s="8" t="s">
        <v>61</v>
      </c>
    </row>
    <row r="583" spans="1:1" x14ac:dyDescent="0.25">
      <c r="A583" s="8" t="s">
        <v>60</v>
      </c>
    </row>
    <row r="585" spans="1:1" x14ac:dyDescent="0.25">
      <c r="A585" s="8" t="s">
        <v>59</v>
      </c>
    </row>
    <row r="586" spans="1:1" x14ac:dyDescent="0.25">
      <c r="A586" s="8" t="s">
        <v>58</v>
      </c>
    </row>
    <row r="587" spans="1:1" x14ac:dyDescent="0.25">
      <c r="A587" s="8" t="s">
        <v>57</v>
      </c>
    </row>
    <row r="593" spans="1:1" x14ac:dyDescent="0.25">
      <c r="A593" s="8" t="s">
        <v>56</v>
      </c>
    </row>
    <row r="595" spans="1:1" x14ac:dyDescent="0.25">
      <c r="A595" s="8" t="s">
        <v>55</v>
      </c>
    </row>
    <row r="596" spans="1:1" x14ac:dyDescent="0.25">
      <c r="A596" s="8" t="s">
        <v>54</v>
      </c>
    </row>
    <row r="598" spans="1:1" x14ac:dyDescent="0.25">
      <c r="A598" s="8" t="s">
        <v>53</v>
      </c>
    </row>
    <row r="599" spans="1:1" x14ac:dyDescent="0.25">
      <c r="A599" s="8" t="s">
        <v>52</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1.1 Dashboard</vt:lpstr>
      <vt:lpstr>1.2 Working Sheet</vt:lpstr>
      <vt:lpstr>1.3 Pivot Table</vt:lpstr>
      <vt:lpstr>1.4 Data</vt:lpstr>
      <vt:lpstr>2.1 Chart</vt:lpstr>
      <vt:lpstr>2.2 Working Sheet</vt:lpstr>
      <vt:lpstr>2.3 Data</vt:lpstr>
      <vt:lpstr>2.4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Peter Megyes</cp:lastModifiedBy>
  <dcterms:created xsi:type="dcterms:W3CDTF">2022-03-18T02:50:57Z</dcterms:created>
  <dcterms:modified xsi:type="dcterms:W3CDTF">2025-12-05T08:34:15Z</dcterms:modified>
</cp:coreProperties>
</file>